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42CDAB9A-479C-8F41-8587-6377A5D95052}" xr6:coauthVersionLast="47" xr6:coauthVersionMax="47" xr10:uidLastSave="{00000000-0000-0000-0000-000000000000}"/>
  <bookViews>
    <workbookView xWindow="0" yWindow="0" windowWidth="28800" windowHeight="18000" tabRatio="843" xr2:uid="{00000000-000D-0000-FFFF-FFFF00000000}"/>
  </bookViews>
  <sheets>
    <sheet name="Today" sheetId="49" r:id="rId1"/>
    <sheet name="About theClass" sheetId="14" r:id="rId2"/>
    <sheet name="CourseContent" sheetId="16" r:id="rId3"/>
    <sheet name="ClassPhilosophy" sheetId="26" r:id="rId4"/>
    <sheet name="Resources_4_Prequisites" sheetId="28" r:id="rId5"/>
    <sheet name="MathReview" sheetId="48" r:id="rId6"/>
    <sheet name="Combinatorics" sheetId="29" state="hidden" r:id="rId7"/>
    <sheet name="TVM" sheetId="30" state="hidden" r:id="rId8"/>
    <sheet name="Normal" sheetId="31" state="hidden" r:id="rId9"/>
    <sheet name="LogNormal" sheetId="33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_2_15_2017">[1]VaR3!$D$11:$H$11</definedName>
    <definedName name="a">[2]Liquidity1!$B$7:$B$23</definedName>
    <definedName name="AccrualPMT">[3]PD2Spread!$I$23:$I$27</definedName>
    <definedName name="ad">#REF!</definedName>
    <definedName name="age">[4]Aggregation!$E$4:$E$15</definedName>
    <definedName name="alan">#REF!</definedName>
    <definedName name="alpha">#REF!</definedName>
    <definedName name="b">#REF!</definedName>
    <definedName name="bid">[2]Liquidity1!$C$7:$C$23</definedName>
    <definedName name="Bins">#REF!</definedName>
    <definedName name="Bond_Value">#REF!</definedName>
    <definedName name="Bond_Value_">#REF!</definedName>
    <definedName name="C_">[5]A4_1!$C$20:$E$20</definedName>
    <definedName name="Cd">#REF!</definedName>
    <definedName name="Cd_">[6]BOPM3!#REF!</definedName>
    <definedName name="Change">#REF!</definedName>
    <definedName name="CI">#REF!</definedName>
    <definedName name="CI_lo">#REF!</definedName>
    <definedName name="contracts">[5]A4_1!$C$25:$E$25</definedName>
    <definedName name="corrmat">[7]VaR4!$M$43:$Q$47</definedName>
    <definedName name="CountVec">[8]Example!$H$5:$AE$5</definedName>
    <definedName name="CouponPmt">#REF!</definedName>
    <definedName name="couponrate">#REF!</definedName>
    <definedName name="couponrate_ctd">[9]A4_2_1!$C$18</definedName>
    <definedName name="covmat">[1]VaR3!$D$43:$H$47</definedName>
    <definedName name="covmat_calc">[7]VaR4!$M$59:$Q$63</definedName>
    <definedName name="Cu">#REF!</definedName>
    <definedName name="d">#REF!</definedName>
    <definedName name="d1_">[5]A4_1!$C$9:$E$9</definedName>
    <definedName name="d2_">[5]A4_1!$C$10:$E$10</definedName>
    <definedName name="Data">[10]Vlookup!$C$4:$E$7</definedName>
    <definedName name="Denomination_F">[9]A4_2_1!$C$24</definedName>
    <definedName name="df">#REF!</definedName>
    <definedName name="dollar_rate">#REF!</definedName>
    <definedName name="Duration">[9]A4_2_1!$C$10</definedName>
    <definedName name="Duration_ctd">[9]A4_2_1!$C$21</definedName>
    <definedName name="Eloss">[3]Spread2PD!$C$18</definedName>
    <definedName name="Epayoff">[3]PD2Spread!$E$23:$E$27</definedName>
    <definedName name="F">[11]CentralLimitTheorem!$E$8</definedName>
    <definedName name="F_Draw">[11]FnS!$B$7:$B$106</definedName>
    <definedName name="F_Row">[11]CentralLimitTheorem!$E$10:$P$10</definedName>
    <definedName name="face">#REF!</definedName>
    <definedName name="forward_rate">#REF!</definedName>
    <definedName name="Frequency">#REF!</definedName>
    <definedName name="Futures">[9]A4_2_1!$C$25</definedName>
    <definedName name="gender">[4]Aggregation!$C$4:$C$15</definedName>
    <definedName name="hazard">[3]PD2Spread!$B$9:$B$9</definedName>
    <definedName name="HowMany">[8]Example!$B$6:$B$36</definedName>
    <definedName name="idx">[3]Spread2PD!$P$24:$P$28</definedName>
    <definedName name="income">[4]Aggregation!$D$4:$D$15</definedName>
    <definedName name="K">[5]A4_1!$C$3</definedName>
    <definedName name="lamda">[8]Example!$B$3</definedName>
    <definedName name="listrange">[10]NamedRange!$E$21:$E$23</definedName>
    <definedName name="LN_Sim">#REF!</definedName>
    <definedName name="loss">#REF!</definedName>
    <definedName name="loss_30">#REF!</definedName>
    <definedName name="loss_t">#REF!</definedName>
    <definedName name="lossAmount">[3]Spread2PD!$G$47</definedName>
    <definedName name="maturityDate">[12]semi!$C$13</definedName>
    <definedName name="maturityDate_ctd">[9]A4_2_1!$C$17</definedName>
    <definedName name="Mean">#REF!</definedName>
    <definedName name="midprice">[2]Liquidity1!$E$7:$E$23</definedName>
    <definedName name="mu">[2]Liquidity1!$G$25</definedName>
    <definedName name="MyBank">#REF!</definedName>
    <definedName name="MyBankDeposits">#REF!</definedName>
    <definedName name="mycol1">[13]VectorCalcs!$D$4:$D$8</definedName>
    <definedName name="mycol2">[13]VectorCalcs!$E$4:$E$8</definedName>
    <definedName name="MyFriendsBank">#REF!</definedName>
    <definedName name="MyFriendsDeposits">#REF!</definedName>
    <definedName name="myRow">[10]NamedRange2!$C$3:$I$3</definedName>
    <definedName name="mytable">[13]Vlookup!$C$25:$G$32</definedName>
    <definedName name="mytitlerow">[13]Vlookup!$C$25:$G$25</definedName>
    <definedName name="n">#REF!</definedName>
    <definedName name="n_">[14]Date0Check1!$H$4:$H$23</definedName>
    <definedName name="N__d1">[5]A4_1!$C$14:$E$14</definedName>
    <definedName name="N__d2">[5]A4_1!$C$15:$E$15</definedName>
    <definedName name="N_d1">[5]A4_1!$C$12:$E$12</definedName>
    <definedName name="N_d2">[5]A4_1!$C$13:$E$13</definedName>
    <definedName name="notional">[5]A4_1!$C$24:$E$24</definedName>
    <definedName name="offer">[2]Liquidity1!$D$7:$D$23</definedName>
    <definedName name="p">[15]Bond!$F$6</definedName>
    <definedName name="PD">[3]PD2Spread!$C$23:$C$27</definedName>
    <definedName name="Period">#REF!</definedName>
    <definedName name="peso_rate">#REF!</definedName>
    <definedName name="pmt">#REF!</definedName>
    <definedName name="pmt_">[14]Date0Check2!$F$4</definedName>
    <definedName name="pmtperyear">#REF!</definedName>
    <definedName name="pmtperyear_ctd">[9]A4_2_1!$C$20</definedName>
    <definedName name="pmts">#REF!</definedName>
    <definedName name="Price">#REF!</definedName>
    <definedName name="Price_F">[9]A4_2_1!#REF!</definedName>
    <definedName name="PS">[3]PD2Spread!$C$13:$C$17</definedName>
    <definedName name="PurchasePrice">[16]O1_Intro!$F$15:$F$20</definedName>
    <definedName name="pv">#REF!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[5]A4_1!$C$6:$E$6</definedName>
    <definedName name="r_">[5]A4_1!$C$5:$E$5</definedName>
    <definedName name="rate">[14]Date0Check2!$E$4</definedName>
    <definedName name="rated">[17]A2!$E$4:$H$4</definedName>
    <definedName name="ratef">[17]A2!$E$5:$H$5</definedName>
    <definedName name="RatingLast">[18]CreditMatrix!$D$10:$D$109</definedName>
    <definedName name="RatingNow">[18]CreditMatrix!$E$10:$E$109</definedName>
    <definedName name="ratingsTbl">[18]CreditMatrix!$B$2:$C$7</definedName>
    <definedName name="Recovery">[3]Spread2PD!$D$42:$D$46</definedName>
    <definedName name="Rho">'[19]VlkUp &amp; NmdRng'!$K$11</definedName>
    <definedName name="s">#REF!</definedName>
    <definedName name="S0">[5]A4_1!$C$2:$E$2</definedName>
    <definedName name="S0_e_qt">[5]A4_1!$C$17:$E$17</definedName>
    <definedName name="SD">#REF!</definedName>
    <definedName name="Sensitivity">[9]A4_2_1!$C$12</definedName>
    <definedName name="Sensitivity_F">[9]A4_2_1!$C$27</definedName>
    <definedName name="settlementDate">[12]semi!$C$12</definedName>
    <definedName name="settlementDate_ctd">[9]A4_2_1!$C$16</definedName>
    <definedName name="Shares">[1]VaR3!$D$6:$H$6</definedName>
    <definedName name="sigma">[2]Liquidity1!$G$26</definedName>
    <definedName name="Sim16_">[8]Example!$H$21:$AE$21</definedName>
    <definedName name="Sim2_">[8]Example!$H$7:$AE$7</definedName>
    <definedName name="simS">[2]Liquidity1!$G$29</definedName>
    <definedName name="sims_a">#REF!</definedName>
    <definedName name="sims_h">#REF!</definedName>
    <definedName name="simSpread">[2]Liquidity1!$J$7:$J$23</definedName>
    <definedName name="simSpreadPerShare">[2]Liquidity1!$H$7:$H$23</definedName>
    <definedName name="Simulation">[8]Example!$AH$6:$AH$36</definedName>
    <definedName name="SimVec">[8]Example!$G$6:$G$36</definedName>
    <definedName name="Spot">[17]A2!$E$3:$H$3</definedName>
    <definedName name="spread">[2]Liquidity1!$F$7:$F$23</definedName>
    <definedName name="StartingPortfolio">[2]ExporeInf!$C$29:$H$29</definedName>
    <definedName name="stdev">#REF!</definedName>
    <definedName name="Stock">[16]O1_Intro!$C$15:$C$20</definedName>
    <definedName name="Strike">[16]O1_Intro!$D$15:$D$20</definedName>
    <definedName name="Sum">[11]CentralLimitTheorem!$C$12:$C$111</definedName>
    <definedName name="Sw">#REF!</definedName>
    <definedName name="Sx">#REF!</definedName>
    <definedName name="t">[5]A4_1!$C$7:$E$7</definedName>
    <definedName name="t_">[3]PD2Spread!$B$23:$B$27</definedName>
    <definedName name="Table1">'[19]VlkUp &amp; NmdRng'!$B$14:$D$23</definedName>
    <definedName name="Table2">'[19]VlkUp &amp; NmdRng'!$F$14:$H$23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>#REF!</definedName>
    <definedName name="usd_peso">#REF!</definedName>
    <definedName name="v">#REF!</definedName>
    <definedName name="Value">[1]VaR3!$D$50:$H$50</definedName>
    <definedName name="Value_">[16]O1_Intro!$E$15:$E$20</definedName>
    <definedName name="value_01">#REF!</definedName>
    <definedName name="Value_F">[9]A4_2_1!#REF!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[7]VaR4!$M$65</definedName>
    <definedName name="variancePct">#REF!</definedName>
    <definedName name="VaRPct">#REF!</definedName>
    <definedName name="vol">#REF!</definedName>
    <definedName name="volmat">[7]VaR4!$M$52:$Q$56</definedName>
    <definedName name="vols">[7]VaR4!$J$52:$J$56</definedName>
    <definedName name="vols_">[7]VaR4!$M$49:$Q$49</definedName>
    <definedName name="w">#REF!</definedName>
    <definedName name="weight">[18]CreditMatrix_Weighted!$F$10:$F$109</definedName>
    <definedName name="weights">[1]VaR3!$C$55:$C$59</definedName>
    <definedName name="X" localSheetId="6">#REF!</definedName>
    <definedName name="X">#REF!</definedName>
    <definedName name="X_e_rt">[5]A4_1!$C$18:$E$18</definedName>
    <definedName name="x0">#REF!</definedName>
    <definedName name="x0_">#REF!</definedName>
    <definedName name="x1_">#REF!</definedName>
    <definedName name="x2_">#REF!</definedName>
    <definedName name="Y" localSheetId="6">#REF!</definedName>
    <definedName name="y">#REF!</definedName>
    <definedName name="y_ctd">[9]A4_2_1!$C$19</definedName>
    <definedName name="years">#REF!</definedName>
    <definedName name="Years_F">[9]A4_2_1!$C$23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9" l="1"/>
  <c r="D5" i="29"/>
  <c r="D6" i="29"/>
  <c r="D7" i="29"/>
  <c r="D8" i="29"/>
  <c r="D9" i="29"/>
</calcChain>
</file>

<file path=xl/sharedStrings.xml><?xml version="1.0" encoding="utf-8"?>
<sst xmlns="http://schemas.openxmlformats.org/spreadsheetml/2006/main" count="213" uniqueCount="184">
  <si>
    <t>About the Course</t>
  </si>
  <si>
    <t>About me</t>
  </si>
  <si>
    <t>About the Class</t>
  </si>
  <si>
    <t>Class Philosophy tab</t>
  </si>
  <si>
    <t>Excel</t>
  </si>
  <si>
    <t>Office hours</t>
  </si>
  <si>
    <t>Use technology</t>
  </si>
  <si>
    <t>Canvas</t>
  </si>
  <si>
    <t>The textbooks</t>
  </si>
  <si>
    <t>Market Risk</t>
  </si>
  <si>
    <t>Bonds</t>
  </si>
  <si>
    <t>Duration</t>
  </si>
  <si>
    <t>Convexity</t>
  </si>
  <si>
    <t>Stocks and Options</t>
  </si>
  <si>
    <t>Stock Volatility</t>
  </si>
  <si>
    <t>Futures and Forewards</t>
  </si>
  <si>
    <t>FX</t>
  </si>
  <si>
    <t>Covered Interest Parity</t>
  </si>
  <si>
    <t>Credit Risk</t>
  </si>
  <si>
    <t>Financial Statements</t>
  </si>
  <si>
    <t>Credit Spreads</t>
  </si>
  <si>
    <t>Liquidity Risk</t>
  </si>
  <si>
    <t>Time to Liquidate</t>
  </si>
  <si>
    <t>Liquidity Modeling</t>
  </si>
  <si>
    <t>Interconnected Risk</t>
  </si>
  <si>
    <t>Financial Crisis</t>
  </si>
  <si>
    <t>About you</t>
  </si>
  <si>
    <t>Opportunity for creativity, questions, and discussion</t>
  </si>
  <si>
    <t>Discussions &amp; Participation</t>
  </si>
  <si>
    <t>Quizzes also measure real learning since your need to retain info over time.</t>
  </si>
  <si>
    <t>Cover the homework and class</t>
  </si>
  <si>
    <t>Short answer questions based on the homeworks</t>
  </si>
  <si>
    <t>Challenging Final and Midterm</t>
  </si>
  <si>
    <t>Videos are available to help you learn</t>
  </si>
  <si>
    <t>Fill-in-the-blanks questions build on multiple choice quizzes</t>
  </si>
  <si>
    <t>Study Hard stuff first (math and accounting)</t>
  </si>
  <si>
    <t>Options</t>
  </si>
  <si>
    <t>Payoffs</t>
  </si>
  <si>
    <t>Greeks</t>
  </si>
  <si>
    <t>Scenario Analysis</t>
  </si>
  <si>
    <t>VaR</t>
  </si>
  <si>
    <t>Probability of Default Estimation</t>
  </si>
  <si>
    <t>Factor Models</t>
  </si>
  <si>
    <t>Bring your laptops to class for in-class work</t>
  </si>
  <si>
    <t>Probability</t>
  </si>
  <si>
    <t>Correlation</t>
  </si>
  <si>
    <t>Order and correlation</t>
  </si>
  <si>
    <t>Correlation as standardized covariance</t>
  </si>
  <si>
    <t>Covariance</t>
  </si>
  <si>
    <t>Variance</t>
  </si>
  <si>
    <t>Rule of 16</t>
  </si>
  <si>
    <t>Expectation</t>
  </si>
  <si>
    <t>Video 2</t>
  </si>
  <si>
    <t>Video 1</t>
  </si>
  <si>
    <t>Linear Algebra</t>
  </si>
  <si>
    <t xml:space="preserve"> LinearAlgebra</t>
  </si>
  <si>
    <t>Lognormal Tab</t>
  </si>
  <si>
    <t>LogNormal</t>
  </si>
  <si>
    <t>Combinatorics Tab</t>
  </si>
  <si>
    <t>Binomial</t>
  </si>
  <si>
    <t>Normal</t>
  </si>
  <si>
    <t>Distributions</t>
  </si>
  <si>
    <t>Histograms &amp; Datatables</t>
  </si>
  <si>
    <t>Histograms (for later)</t>
  </si>
  <si>
    <t>Dropdown Lists</t>
  </si>
  <si>
    <t>Basics</t>
  </si>
  <si>
    <t>Datatables</t>
  </si>
  <si>
    <t>Data Tables</t>
  </si>
  <si>
    <t>Basic Simulation</t>
  </si>
  <si>
    <t>vlookup &amp; Simulation</t>
  </si>
  <si>
    <t>Simulation</t>
  </si>
  <si>
    <t>Array Calculations</t>
  </si>
  <si>
    <t>vlookup</t>
  </si>
  <si>
    <t>Vlookup</t>
  </si>
  <si>
    <t>Named Ranges</t>
  </si>
  <si>
    <t>Introduction</t>
  </si>
  <si>
    <t>Video Link</t>
  </si>
  <si>
    <t>Excel Link</t>
  </si>
  <si>
    <t>nCk p^k q^(n-k)</t>
  </si>
  <si>
    <t>What is the probability of k successes out of n trials?</t>
  </si>
  <si>
    <t>Binomial Distribution</t>
  </si>
  <si>
    <r>
      <t>How many paths to the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d on the last column?</t>
    </r>
  </si>
  <si>
    <t>Trees with choice</t>
  </si>
  <si>
    <t>How many orders for the letters 'pppqqq'.  Note p can stand for 'success' and q for 'failure'?</t>
  </si>
  <si>
    <t>How many orders for the letters 'pppuuu'.  Note p can stand for 'picked' and u for 'unpicked'?</t>
  </si>
  <si>
    <t>Choice</t>
  </si>
  <si>
    <t>How many orders can the letters in the word 'moon' come in?</t>
  </si>
  <si>
    <t>Factorial with repetition</t>
  </si>
  <si>
    <t>Theres a race with 5 horses.  How many orders can the horses come in 1st, 2nd, and 3rd place?</t>
  </si>
  <si>
    <t>Permutation</t>
  </si>
  <si>
    <t>How many orders can the letters in the word 'train' come in?</t>
  </si>
  <si>
    <t>Order</t>
  </si>
  <si>
    <t>Combinatorics</t>
  </si>
  <si>
    <t>Video:</t>
  </si>
  <si>
    <t>Textbook: Page 8</t>
  </si>
  <si>
    <t>And we can go backwards to P0, i.e. 'discount', by dividing PT by the multipler.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</si>
  <si>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-T</t>
    </r>
    <r>
      <rPr>
        <sz val="24"/>
        <color theme="1"/>
        <rFont val="Calibri (Body)"/>
      </rPr>
      <t xml:space="preserve"> = P</t>
    </r>
    <r>
      <rPr>
        <vertAlign val="subscript"/>
        <sz val="24"/>
        <color theme="1"/>
        <rFont val="Calibri (Body)"/>
      </rPr>
      <t>0</t>
    </r>
  </si>
  <si>
    <t>If the rates are the same every period, then this is simpler.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</si>
  <si>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T</t>
    </r>
  </si>
  <si>
    <t>We can get from P0 to a final time T by way of rate multipliers.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</si>
  <si>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</t>
    </r>
    <r>
      <rPr>
        <sz val="24"/>
        <color theme="1"/>
        <rFont val="Symbol"/>
        <charset val="2"/>
      </rPr>
      <t>P</t>
    </r>
    <r>
      <rPr>
        <sz val="24"/>
        <color theme="1"/>
        <rFont val="Calibri"/>
        <family val="2"/>
        <scheme val="minor"/>
      </rPr>
      <t>(1+r</t>
    </r>
    <r>
      <rPr>
        <vertAlign val="subscript"/>
        <sz val="24"/>
        <color theme="1"/>
        <rFont val="Calibri (Body)"/>
      </rPr>
      <t>i</t>
    </r>
    <r>
      <rPr>
        <sz val="24"/>
        <color theme="1"/>
        <rFont val="Calibri (Body)"/>
      </rPr>
      <t>)</t>
    </r>
  </si>
  <si>
    <t>We can state this generally.</t>
  </si>
  <si>
    <r>
      <t>P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 (Body)"/>
      </rPr>
      <t>)</t>
    </r>
  </si>
  <si>
    <t>We can see how we get from P0 to P2 by way of rate multipliers.</t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</si>
  <si>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)(1+r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</si>
  <si>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t>We can substitute the definition of P1 above into P2 above that.</t>
  </si>
  <si>
    <t>Notice how we are creating multipliers by adding 1 to our rates.</t>
  </si>
  <si>
    <t>And, we can do this for the first period as well.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</si>
  <si>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</si>
  <si>
    <r>
      <t>We can restate that more elegantly by factoring out P</t>
    </r>
    <r>
      <rPr>
        <vertAlign val="subscript"/>
        <sz val="24"/>
        <color theme="1"/>
        <rFont val="Calibri (Body)"/>
      </rPr>
      <t>1</t>
    </r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</si>
  <si>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</si>
  <si>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2</t>
    </r>
  </si>
  <si>
    <t>At time 1, your principal is the amount of money you started with plus what you earned.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</si>
  <si>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1</t>
    </r>
  </si>
  <si>
    <t>You have an initial amount of money, aka Principal, at time 0.</t>
  </si>
  <si>
    <r>
      <t>P</t>
    </r>
    <r>
      <rPr>
        <vertAlign val="subscript"/>
        <sz val="24"/>
        <color theme="1"/>
        <rFont val="Calibri (Body)"/>
      </rPr>
      <t>0</t>
    </r>
  </si>
  <si>
    <t>Time Value of Money</t>
  </si>
  <si>
    <t>stock returns</t>
  </si>
  <si>
    <t>IQ</t>
  </si>
  <si>
    <t>weight</t>
  </si>
  <si>
    <t>height</t>
  </si>
  <si>
    <t>Casual examples of normally distributed data are:</t>
  </si>
  <si>
    <t>CLT states that the sum of independent random variables are normally distributed.</t>
  </si>
  <si>
    <t>A formal statement of this is the central limit theorem (CLT).</t>
  </si>
  <si>
    <t>The distribution can emerge when you sum a bunch of small random draws.</t>
  </si>
  <si>
    <t>People's height and weight are normally distributed.</t>
  </si>
  <si>
    <t>The normal distribution is a distribution that emerges in nature.</t>
  </si>
  <si>
    <t>Logs and Log Returns</t>
  </si>
  <si>
    <t>Log Normal Returns</t>
  </si>
  <si>
    <t>Adding Log Returns</t>
  </si>
  <si>
    <t>Continuous Compounding</t>
  </si>
  <si>
    <t>Properties of Logs</t>
  </si>
  <si>
    <t>Videos</t>
  </si>
  <si>
    <r>
      <t>e</t>
    </r>
    <r>
      <rPr>
        <vertAlign val="superscript"/>
        <sz val="20"/>
        <color theme="1"/>
        <rFont val="Calibri (Body)"/>
      </rPr>
      <t>r</t>
    </r>
    <r>
      <rPr>
        <sz val="20"/>
        <color theme="1"/>
        <rFont val="Calibri"/>
        <family val="2"/>
        <scheme val="minor"/>
      </rPr>
      <t xml:space="preserve"> ~ LN(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</si>
  <si>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is compounded continuously.</t>
  </si>
  <si>
    <r>
      <t>r ~ 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</si>
  <si>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of return r is normally distributed.</t>
  </si>
  <si>
    <t>This happens when we assume stock price changes are normally distributed and then we use continuous compounding</t>
  </si>
  <si>
    <t>A log normal distribution emerges when a normal random variable is exponentiated.</t>
  </si>
  <si>
    <t>Normal Tab</t>
  </si>
  <si>
    <t>Challenges</t>
  </si>
  <si>
    <t>iQRM</t>
  </si>
  <si>
    <t>Competition</t>
  </si>
  <si>
    <t>Certifications</t>
  </si>
  <si>
    <t>Risk Management &amp; Financial Institutions</t>
  </si>
  <si>
    <t>Advanced Credit Risk Analysis and Management</t>
  </si>
  <si>
    <t>Liquidity Risk Management</t>
  </si>
  <si>
    <t>Understanding Systemic Risk in Global Financial Markets</t>
  </si>
  <si>
    <t>Anki</t>
  </si>
  <si>
    <t>Anki: Cards</t>
  </si>
  <si>
    <t>iQRM Seminar</t>
  </si>
  <si>
    <t>Coding Seminar</t>
  </si>
  <si>
    <t>Resources</t>
  </si>
  <si>
    <t>About the class</t>
  </si>
  <si>
    <t>The Final</t>
  </si>
  <si>
    <t>You can review the 'Remember' tab at the end of the workbook.</t>
  </si>
  <si>
    <t>TVM</t>
  </si>
  <si>
    <t>Black Scholes</t>
  </si>
  <si>
    <t>Binomial Option Pricing Model</t>
  </si>
  <si>
    <t>FX Hedging</t>
  </si>
  <si>
    <t>Marginal VaR</t>
  </si>
  <si>
    <t>Alternate between passive and active learning</t>
  </si>
  <si>
    <t>Don't get stuck.  Just reach out for help.</t>
  </si>
  <si>
    <t>Use Anki notecards</t>
  </si>
  <si>
    <t>CourseContent</t>
  </si>
  <si>
    <t>ClassPhilosophy</t>
  </si>
  <si>
    <t>Resources_4_Prequisites</t>
  </si>
  <si>
    <t>Math Review</t>
  </si>
  <si>
    <t>Fixed Income</t>
  </si>
  <si>
    <t>Expected Shortfall</t>
  </si>
  <si>
    <t>FRTB</t>
  </si>
  <si>
    <t>CDS Implied PD</t>
  </si>
  <si>
    <t>Bonds Spread Implied PD</t>
  </si>
  <si>
    <t>Credit Metrics PD Model</t>
  </si>
  <si>
    <t>Altman's Z Score</t>
  </si>
  <si>
    <t>Interconnectedness Metrics</t>
  </si>
  <si>
    <t>PreHistory</t>
  </si>
  <si>
    <t>Economic Contagion</t>
  </si>
  <si>
    <t>Securitized Assets</t>
  </si>
  <si>
    <t>Company Behaviors</t>
  </si>
  <si>
    <t>Metrics for Liquidity Risk</t>
  </si>
  <si>
    <t>Wrong Way Risk</t>
  </si>
  <si>
    <t>Learn Investopedia / Wikipedia defnitions bc they're the ones you'll refer to later.</t>
  </si>
  <si>
    <t>At time 2, your principal is the amount of money you started with plus what you earned over period 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</si>
</sst>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rgb="FF000000"/>
      <name val="Calibri"/>
      <family val="2"/>
    </font>
    <font>
      <u/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24"/>
      <color theme="1"/>
      <name val="Calibri"/>
      <family val="2"/>
      <scheme val="minor"/>
    </font>
    <font>
      <vertAlign val="subscript"/>
      <sz val="24"/>
      <color theme="1"/>
      <name val="Calibri (Body)"/>
    </font>
    <font>
      <sz val="24"/>
      <color theme="1"/>
      <name val="Calibri (Body)"/>
    </font>
    <font>
      <vertAlign val="superscript"/>
      <sz val="24"/>
      <color theme="1"/>
      <name val="Calibri (Body)"/>
    </font>
    <font>
      <sz val="24"/>
      <color theme="1"/>
      <name val="Symbol"/>
      <charset val="2"/>
    </font>
    <font>
      <vertAlign val="superscript"/>
      <sz val="20"/>
      <color theme="1"/>
      <name val="Calibri (Body)"/>
    </font>
    <font>
      <sz val="20"/>
      <color theme="1"/>
      <name val="Symbol"/>
      <charset val="2"/>
    </font>
    <font>
      <u/>
      <sz val="20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</cellStyleXfs>
  <cellXfs count="15">
    <xf numFmtId="0" fontId="0" fillId="0" borderId="0" xfId="0"/>
    <xf numFmtId="0" fontId="1" fillId="2" borderId="0" xfId="0" applyFont="1" applyFill="1"/>
    <xf numFmtId="0" fontId="2" fillId="2" borderId="0" xfId="1" applyFill="1"/>
    <xf numFmtId="0" fontId="1" fillId="3" borderId="0" xfId="0" applyFont="1" applyFill="1"/>
    <xf numFmtId="0" fontId="5" fillId="4" borderId="0" xfId="0" applyFont="1" applyFill="1"/>
    <xf numFmtId="0" fontId="4" fillId="2" borderId="0" xfId="0" applyFont="1" applyFill="1"/>
    <xf numFmtId="0" fontId="1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/>
    <xf numFmtId="0" fontId="2" fillId="3" borderId="0" xfId="1" applyFill="1"/>
    <xf numFmtId="0" fontId="15" fillId="2" borderId="0" xfId="1" applyFont="1" applyFill="1"/>
    <xf numFmtId="0" fontId="1" fillId="5" borderId="0" xfId="0" applyFont="1" applyFill="1"/>
    <xf numFmtId="0" fontId="2" fillId="5" borderId="0" xfId="1" applyFill="1"/>
    <xf numFmtId="0" fontId="15" fillId="2" borderId="0" xfId="1" applyFont="1" applyFill="1" applyAlignment="1">
      <alignment horizontal="left"/>
    </xf>
    <xf numFmtId="0" fontId="0" fillId="2" borderId="0" xfId="0" applyFill="1"/>
  </cellXfs>
  <cellStyles count="7">
    <cellStyle name="Currency 2" xfId="4" xr:uid="{01592F11-3113-6748-9A42-CE11D06A9C2D}"/>
    <cellStyle name="Hyperlink" xfId="1" builtinId="8"/>
    <cellStyle name="Hyperlink 2" xfId="3" xr:uid="{73650FBF-565A-F049-87D5-EEED795D1048}"/>
    <cellStyle name="Normal" xfId="0" builtinId="0"/>
    <cellStyle name="Normal 2" xfId="2" xr:uid="{00000000-0005-0000-0000-000002000000}"/>
    <cellStyle name="Normal 2 2" xfId="6" xr:uid="{DDF99558-4998-E048-93BD-715783A47E58}"/>
    <cellStyle name="Percent 2" xfId="5" xr:uid="{F7A6BF26-7452-5B45-9F77-A9156431FEE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50800</xdr:colOff>
      <xdr:row>9</xdr:row>
      <xdr:rowOff>165100</xdr:rowOff>
    </xdr:from>
    <xdr:ext cx="3035300" cy="2679700"/>
    <xdr:pic>
      <xdr:nvPicPr>
        <xdr:cNvPr id="2" name="Picture 1">
          <a:extLst>
            <a:ext uri="{FF2B5EF4-FFF2-40B4-BE49-F238E27FC236}">
              <a16:creationId xmlns:a16="http://schemas.microsoft.com/office/drawing/2014/main" id="{015984CE-34DB-E447-8E28-9205ACCD0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0" y="1993900"/>
          <a:ext cx="3035300" cy="26797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14901853" cy="7188200"/>
    <xdr:pic>
      <xdr:nvPicPr>
        <xdr:cNvPr id="2" name="Picture 1">
          <a:extLst>
            <a:ext uri="{FF2B5EF4-FFF2-40B4-BE49-F238E27FC236}">
              <a16:creationId xmlns:a16="http://schemas.microsoft.com/office/drawing/2014/main" id="{182E7CE5-D363-0C49-B403-58F077A68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2438400"/>
          <a:ext cx="14901853" cy="71882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E:/C:/Users/djr2132/Downloads/VaR.xlsx" TargetMode="External"/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CreditSpreadValuation.xlsx" TargetMode="External"/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Excel_RangesLookups.xlsx" TargetMode="External"/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4.xlsx" TargetMode="External"/><Relationship Id="rId1" Type="http://schemas.openxmlformats.org/officeDocument/2006/relationships/externalLinkPath" Target="/Users/david/Downloads/Columbia/FRM_Spring18/HW4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Futures_N_Options1.xlsx" TargetMode="External"/><Relationship Id="rId1" Type="http://schemas.openxmlformats.org/officeDocument/2006/relationships/externalLinkPath" Target="/Users/davidromoff/Downloads/Futures_N_Options1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Class/Class3/Class3.xlsx" TargetMode="External"/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TEMP/Excel_VlookupSimulation.xlsx" TargetMode="External"/><Relationship Id="rId1" Type="http://schemas.openxmlformats.org/officeDocument/2006/relationships/externalLinkPath" Target="/Users/david/Downloads/TEMP/Excel_VlookupSimulation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OLD_FRM_HW/HW4.xlsx" TargetMode="External"/><Relationship Id="rId1" Type="http://schemas.openxmlformats.org/officeDocument/2006/relationships/externalLinkPath" Target="/Users/david/Downloads/OLD_FRM_HW/HW4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esktop/Excel_Introduction.xlsx" TargetMode="External"/><Relationship Id="rId1" Type="http://schemas.openxmlformats.org/officeDocument/2006/relationships/externalLinkPath" Target="/Users/davidromoff/Desktop/Excel_Introduction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ERMM_Fall17/ERMM_Spring17/Class2/Distributions.xlsx" TargetMode="External"/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1_Bonds.xlsx" TargetMode="External"/><Relationship Id="rId1" Type="http://schemas.openxmlformats.org/officeDocument/2006/relationships/externalLinkPath" Target="/C:/Users/dromoff/Desktop/FRM_1_Bonds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ERMM/Seminar/Excel_VBA_Class.xlsm" TargetMode="External"/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Subjects/Futures_N_Options.xlsx" TargetMode="External"/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3.xlsx" TargetMode="External"/><Relationship Id="rId1" Type="http://schemas.openxmlformats.org/officeDocument/2006/relationships/externalLinkPath" Target="/Users/david/Downloads/Columbia/FRM_Spring18/HW3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FRM/Class/FRM_Class5/FRM_2_Credit_1.xlsx" TargetMode="External"/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Google%20Drive/VBA%20Class%20(1).xlsm" TargetMode="External"/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4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lio.columbia.edu/catalog?q=Matz%2C+Leonard.+Liquidity+Risk+Management.+&amp;search_field=all_fields&amp;commit=Search" TargetMode="External"/><Relationship Id="rId2" Type="http://schemas.openxmlformats.org/officeDocument/2006/relationships/hyperlink" Target="https://clio.columbia.edu/catalog/10495448" TargetMode="External"/><Relationship Id="rId1" Type="http://schemas.openxmlformats.org/officeDocument/2006/relationships/hyperlink" Target="https://clio.columbia.edu/catalog?q=Hull%2C+John.+Risk+Management+and+Financial+Institutions.+&amp;search_field=all_fields&amp;commit=Search" TargetMode="External"/><Relationship Id="rId6" Type="http://schemas.openxmlformats.org/officeDocument/2006/relationships/hyperlink" Target="https://apps.ankiweb.net/" TargetMode="External"/><Relationship Id="rId5" Type="http://schemas.openxmlformats.org/officeDocument/2006/relationships/hyperlink" Target="https://drive.google.com/drive/folders/17MMdyUQImIRxBnP8gRE5Z2dU_Ct-Jee_?usp=sharing" TargetMode="External"/><Relationship Id="rId4" Type="http://schemas.openxmlformats.org/officeDocument/2006/relationships/hyperlink" Target="https://clio.columbia.edu/catalog?q=leibrock%2C+michael&amp;source=catalog&amp;search_field=author&amp;commit=Sear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NSSXw4yiHhJFrQRHyimOoGeOzikcGDCS" TargetMode="External"/><Relationship Id="rId13" Type="http://schemas.openxmlformats.org/officeDocument/2006/relationships/hyperlink" Target="https://drive.google.com/open?id=1Li0lOhyAh7PczjSEFb0Tqm7nEzB6eXLP" TargetMode="External"/><Relationship Id="rId18" Type="http://schemas.openxmlformats.org/officeDocument/2006/relationships/hyperlink" Target="https://drive.google.com/open?id=0B46op8AajwqfYzdSOVpaeDNEUWs" TargetMode="External"/><Relationship Id="rId26" Type="http://schemas.openxmlformats.org/officeDocument/2006/relationships/hyperlink" Target="https://drive.google.com/open?id=13Bbd9i4-41LgVMWDiL3M-vP4gqy0NvSB" TargetMode="External"/><Relationship Id="rId3" Type="http://schemas.openxmlformats.org/officeDocument/2006/relationships/hyperlink" Target="https://drive.google.com/open?id=1b_uZWCbl50OfBS5rONCMrb47BsWU5IzU" TargetMode="External"/><Relationship Id="rId21" Type="http://schemas.openxmlformats.org/officeDocument/2006/relationships/hyperlink" Target="https://drive.google.com/open?id=0B46op8AajwqfcXZKeU9GeTZPYms" TargetMode="External"/><Relationship Id="rId7" Type="http://schemas.openxmlformats.org/officeDocument/2006/relationships/hyperlink" Target="https://drive.google.com/open?id=1tSIql1HBP7IIbWPO_4tYWnsUDWnVdwGr" TargetMode="External"/><Relationship Id="rId12" Type="http://schemas.openxmlformats.org/officeDocument/2006/relationships/hyperlink" Target="https://drive.google.com/open?id=1Li0lOhyAh7PczjSEFb0Tqm7nEzB6eXLP" TargetMode="External"/><Relationship Id="rId17" Type="http://schemas.openxmlformats.org/officeDocument/2006/relationships/hyperlink" Target="https://drive.google.com/open?id=0B46op8AajwqfR215N1hOMjlQYnM" TargetMode="External"/><Relationship Id="rId25" Type="http://schemas.openxmlformats.org/officeDocument/2006/relationships/hyperlink" Target="https://drive.google.com/open?id=1esfQgt4xx7S6AbWH8_H-bLLZw-N8GIHD" TargetMode="External"/><Relationship Id="rId2" Type="http://schemas.openxmlformats.org/officeDocument/2006/relationships/hyperlink" Target="https://drive.google.com/open?id=1NSSXw4yiHhJFrQRHyimOoGeOzikcGDCS" TargetMode="External"/><Relationship Id="rId16" Type="http://schemas.openxmlformats.org/officeDocument/2006/relationships/hyperlink" Target="https://drive.google.com/open?id=1pQ6XX9VrrUnf-fgjGbogTtugYv2sIXi0" TargetMode="External"/><Relationship Id="rId20" Type="http://schemas.openxmlformats.org/officeDocument/2006/relationships/hyperlink" Target="https://drive.google.com/open?id=0B46op8AajwqfdDc4S2VnSUNyYXc" TargetMode="External"/><Relationship Id="rId1" Type="http://schemas.openxmlformats.org/officeDocument/2006/relationships/hyperlink" Target="https://drive.google.com/open?id=1Ly_-JObd_mJGD9OhhZmcPfV8qiC_qZTK" TargetMode="External"/><Relationship Id="rId6" Type="http://schemas.openxmlformats.org/officeDocument/2006/relationships/hyperlink" Target="https://drive.google.com/open?id=14K9GqdhUPk7yNV3OBOZqs2Ok2eNfBZlu" TargetMode="External"/><Relationship Id="rId11" Type="http://schemas.openxmlformats.org/officeDocument/2006/relationships/hyperlink" Target="https://drive.google.com/open?id=1Ly_-JObd_mJGD9OhhZmcPfV8qiC_qZTK" TargetMode="External"/><Relationship Id="rId24" Type="http://schemas.openxmlformats.org/officeDocument/2006/relationships/hyperlink" Target="https://drive.google.com/open?id=0B46op8AajwqfZU8tTmdXRF9mbkE" TargetMode="External"/><Relationship Id="rId5" Type="http://schemas.openxmlformats.org/officeDocument/2006/relationships/hyperlink" Target="https://drive.google.com/open?id=1K9EIErby10rxGjA1oZOy0eEO5Tl04FT8" TargetMode="External"/><Relationship Id="rId15" Type="http://schemas.openxmlformats.org/officeDocument/2006/relationships/hyperlink" Target="https://drive.google.com/open?id=18O8aO9sZ_vhVzyiB5_QWo0KvUPtZXz-u" TargetMode="External"/><Relationship Id="rId23" Type="http://schemas.openxmlformats.org/officeDocument/2006/relationships/hyperlink" Target="https://drive.google.com/open?id=0B46op8AajwqfZU8tTmdXRF9mbkE" TargetMode="External"/><Relationship Id="rId10" Type="http://schemas.openxmlformats.org/officeDocument/2006/relationships/hyperlink" Target="https://drive.google.com/open?id=1Ly_-JObd_mJGD9OhhZmcPfV8qiC_qZTK" TargetMode="External"/><Relationship Id="rId19" Type="http://schemas.openxmlformats.org/officeDocument/2006/relationships/hyperlink" Target="https://drive.google.com/open?id=0B46op8AajwqfYzdSOVpaeDNEUWs" TargetMode="External"/><Relationship Id="rId4" Type="http://schemas.openxmlformats.org/officeDocument/2006/relationships/hyperlink" Target="https://drive.google.com/open?id=1u5I-6XBNl8K5cV4O1ITw2KPFvGEMMimV" TargetMode="External"/><Relationship Id="rId9" Type="http://schemas.openxmlformats.org/officeDocument/2006/relationships/hyperlink" Target="https://drive.google.com/open?id=1v4XMIFeETOjk-8HbefMNWihzDFG-2FE1" TargetMode="External"/><Relationship Id="rId14" Type="http://schemas.openxmlformats.org/officeDocument/2006/relationships/hyperlink" Target="https://drive.google.com/open?id=1Ly_-JObd_mJGD9OhhZmcPfV8qiC_qZTK" TargetMode="External"/><Relationship Id="rId22" Type="http://schemas.openxmlformats.org/officeDocument/2006/relationships/hyperlink" Target="https://drive.google.com/open?id=0B46op8AajwqfcXZKeU9GeTZPYms" TargetMode="External"/><Relationship Id="rId27" Type="http://schemas.openxmlformats.org/officeDocument/2006/relationships/hyperlink" Target="https://drive.google.com/open?id=17Om8FP-mcpSa_8ORHClVa7kKXBldcHQz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GqI3u06TzjY5dGE2_99nDAz6sO10QH9K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mBXZGy56k-4CM0_Zt4y-nzbMYJDpW-M1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hronvgC-Xw9A22O83o-fh9U_jgWFlNEQ/view" TargetMode="External"/><Relationship Id="rId2" Type="http://schemas.openxmlformats.org/officeDocument/2006/relationships/hyperlink" Target="https://drive.google.com/file/d/19OPD2GUG0vL0RIX6Y-Egz_o6Tkd_E4Kv/view" TargetMode="External"/><Relationship Id="rId1" Type="http://schemas.openxmlformats.org/officeDocument/2006/relationships/hyperlink" Target="https://drive.google.com/file/d/18A9_uVwo39GhpT0OgnvFIf3GYdKXwiCe/view" TargetMode="External"/><Relationship Id="rId6" Type="http://schemas.openxmlformats.org/officeDocument/2006/relationships/hyperlink" Target="https://drive.google.com/file/d/1ep_Yro-qhSiPUdThV-i2eR8rRA9CcH8s/view" TargetMode="External"/><Relationship Id="rId5" Type="http://schemas.openxmlformats.org/officeDocument/2006/relationships/hyperlink" Target="https://drive.google.com/file/d/0B46op8AajwqfQXIwcHZrSTR0Tkk/view" TargetMode="External"/><Relationship Id="rId4" Type="http://schemas.openxmlformats.org/officeDocument/2006/relationships/hyperlink" Target="https://drive.google.com/file/d/1C_TC5TZefOos_KbT7uQeSQiGQ5iEQlpi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EF6A-778F-F543-9A2E-8CABEF2E897C}">
  <dimension ref="B2:B7"/>
  <sheetViews>
    <sheetView tabSelected="1" workbookViewId="0"/>
  </sheetViews>
  <sheetFormatPr baseColWidth="10" defaultRowHeight="26" x14ac:dyDescent="0.3"/>
  <cols>
    <col min="1" max="16384" width="10.83203125" style="3"/>
  </cols>
  <sheetData>
    <row r="2" spans="2:2" x14ac:dyDescent="0.3">
      <c r="B2" s="3" t="s">
        <v>2</v>
      </c>
    </row>
    <row r="3" spans="2:2" x14ac:dyDescent="0.3">
      <c r="B3" s="3" t="s">
        <v>164</v>
      </c>
    </row>
    <row r="4" spans="2:2" x14ac:dyDescent="0.3">
      <c r="B4" s="3" t="s">
        <v>165</v>
      </c>
    </row>
    <row r="5" spans="2:2" x14ac:dyDescent="0.3">
      <c r="B5" s="3" t="s">
        <v>166</v>
      </c>
    </row>
    <row r="6" spans="2:2" x14ac:dyDescent="0.3">
      <c r="B6" s="3" t="s">
        <v>167</v>
      </c>
    </row>
    <row r="7" spans="2:2" x14ac:dyDescent="0.3">
      <c r="B7" s="3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26"/>
  <sheetViews>
    <sheetView zoomScale="80" zoomScaleNormal="80" workbookViewId="0"/>
  </sheetViews>
  <sheetFormatPr baseColWidth="10" defaultColWidth="8.83203125" defaultRowHeight="26" x14ac:dyDescent="0.3"/>
  <cols>
    <col min="1" max="3" width="8.83203125" style="1"/>
    <col min="4" max="4" width="82.33203125" style="1" bestFit="1" customWidth="1"/>
    <col min="5" max="16384" width="8.83203125" style="1"/>
  </cols>
  <sheetData>
    <row r="2" spans="2:4" x14ac:dyDescent="0.3">
      <c r="B2" s="1" t="s">
        <v>1</v>
      </c>
    </row>
    <row r="3" spans="2:4" x14ac:dyDescent="0.3">
      <c r="C3" s="10"/>
    </row>
    <row r="4" spans="2:4" x14ac:dyDescent="0.3">
      <c r="B4" s="1" t="s">
        <v>26</v>
      </c>
    </row>
    <row r="6" spans="2:4" x14ac:dyDescent="0.3">
      <c r="B6" s="1" t="s">
        <v>0</v>
      </c>
    </row>
    <row r="7" spans="2:4" x14ac:dyDescent="0.3">
      <c r="C7" s="1" t="s">
        <v>140</v>
      </c>
    </row>
    <row r="8" spans="2:4" x14ac:dyDescent="0.3">
      <c r="D8" s="1" t="s">
        <v>141</v>
      </c>
    </row>
    <row r="9" spans="2:4" x14ac:dyDescent="0.3">
      <c r="D9" s="1" t="s">
        <v>142</v>
      </c>
    </row>
    <row r="10" spans="2:4" x14ac:dyDescent="0.3">
      <c r="D10" s="1" t="s">
        <v>143</v>
      </c>
    </row>
    <row r="11" spans="2:4" x14ac:dyDescent="0.3">
      <c r="C11" s="1" t="s">
        <v>152</v>
      </c>
    </row>
    <row r="12" spans="2:4" x14ac:dyDescent="0.3">
      <c r="D12" s="1" t="s">
        <v>7</v>
      </c>
    </row>
    <row r="13" spans="2:4" x14ac:dyDescent="0.3">
      <c r="D13" s="10" t="s">
        <v>148</v>
      </c>
    </row>
    <row r="14" spans="2:4" x14ac:dyDescent="0.3">
      <c r="D14" s="13" t="s">
        <v>149</v>
      </c>
    </row>
    <row r="15" spans="2:4" x14ac:dyDescent="0.3">
      <c r="D15" s="14" t="s">
        <v>150</v>
      </c>
    </row>
    <row r="16" spans="2:4" x14ac:dyDescent="0.3">
      <c r="D16" s="14" t="s">
        <v>151</v>
      </c>
    </row>
    <row r="17" spans="2:12" x14ac:dyDescent="0.3">
      <c r="C17" s="1" t="s">
        <v>8</v>
      </c>
    </row>
    <row r="18" spans="2:12" x14ac:dyDescent="0.3">
      <c r="D18" s="10" t="s">
        <v>144</v>
      </c>
    </row>
    <row r="19" spans="2:12" x14ac:dyDescent="0.3">
      <c r="D19" s="10" t="s">
        <v>145</v>
      </c>
    </row>
    <row r="20" spans="2:12" x14ac:dyDescent="0.3">
      <c r="D20" s="10" t="s">
        <v>146</v>
      </c>
    </row>
    <row r="21" spans="2:12" x14ac:dyDescent="0.3">
      <c r="D21" s="10" t="s">
        <v>147</v>
      </c>
      <c r="L21" s="10"/>
    </row>
    <row r="22" spans="2:12" x14ac:dyDescent="0.3">
      <c r="C22" s="10"/>
    </row>
    <row r="23" spans="2:12" x14ac:dyDescent="0.3">
      <c r="B23" s="1" t="s">
        <v>153</v>
      </c>
    </row>
    <row r="24" spans="2:12" x14ac:dyDescent="0.3">
      <c r="C24" s="1" t="s">
        <v>3</v>
      </c>
    </row>
    <row r="25" spans="2:12" x14ac:dyDescent="0.3">
      <c r="C25" s="1" t="s">
        <v>5</v>
      </c>
    </row>
    <row r="26" spans="2:12" x14ac:dyDescent="0.3">
      <c r="C26" s="1" t="s">
        <v>154</v>
      </c>
    </row>
  </sheetData>
  <hyperlinks>
    <hyperlink ref="D18" r:id="rId1" xr:uid="{D6DA8B99-BB80-7142-8474-13DFA1309019}"/>
    <hyperlink ref="D19" r:id="rId2" xr:uid="{7972B83D-D2A2-8B42-91C9-0DC733138879}"/>
    <hyperlink ref="D20" r:id="rId3" xr:uid="{FFBB81AE-1C39-DB44-A016-15F0B0BB4916}"/>
    <hyperlink ref="D21" r:id="rId4" xr:uid="{9AFB9A26-FF86-C444-83D4-498409DDEA99}"/>
    <hyperlink ref="D14" r:id="rId5" xr:uid="{63AC52AC-D2B9-7145-9AE9-ED57F5DE9094}"/>
    <hyperlink ref="D13" r:id="rId6" xr:uid="{543C7708-BA20-7D43-A414-10EAC2D148A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5"/>
  <sheetViews>
    <sheetView zoomScaleNormal="100" workbookViewId="0"/>
  </sheetViews>
  <sheetFormatPr baseColWidth="10" defaultColWidth="8.83203125" defaultRowHeight="26" x14ac:dyDescent="0.3"/>
  <cols>
    <col min="1" max="3" width="8.83203125" style="1"/>
    <col min="4" max="4" width="12.33203125" style="1" customWidth="1"/>
    <col min="5" max="16384" width="8.83203125" style="1"/>
  </cols>
  <sheetData>
    <row r="2" spans="2:5" x14ac:dyDescent="0.3">
      <c r="B2" s="1" t="s">
        <v>9</v>
      </c>
    </row>
    <row r="3" spans="2:5" x14ac:dyDescent="0.3">
      <c r="C3" s="1" t="s">
        <v>10</v>
      </c>
    </row>
    <row r="4" spans="2:5" x14ac:dyDescent="0.3">
      <c r="D4" s="1" t="s">
        <v>11</v>
      </c>
    </row>
    <row r="5" spans="2:5" x14ac:dyDescent="0.3">
      <c r="D5" s="1" t="s">
        <v>12</v>
      </c>
    </row>
    <row r="6" spans="2:5" x14ac:dyDescent="0.3">
      <c r="C6" s="1" t="s">
        <v>16</v>
      </c>
    </row>
    <row r="7" spans="2:5" x14ac:dyDescent="0.3">
      <c r="D7" s="1" t="s">
        <v>17</v>
      </c>
    </row>
    <row r="8" spans="2:5" x14ac:dyDescent="0.3">
      <c r="C8" s="1" t="s">
        <v>13</v>
      </c>
    </row>
    <row r="9" spans="2:5" x14ac:dyDescent="0.3">
      <c r="D9" s="1" t="s">
        <v>14</v>
      </c>
    </row>
    <row r="10" spans="2:5" x14ac:dyDescent="0.3">
      <c r="D10" s="1" t="s">
        <v>36</v>
      </c>
    </row>
    <row r="11" spans="2:5" x14ac:dyDescent="0.3">
      <c r="E11" s="1" t="s">
        <v>37</v>
      </c>
    </row>
    <row r="12" spans="2:5" x14ac:dyDescent="0.3">
      <c r="E12" s="1" t="s">
        <v>38</v>
      </c>
    </row>
    <row r="13" spans="2:5" x14ac:dyDescent="0.3">
      <c r="E13" s="1" t="s">
        <v>157</v>
      </c>
    </row>
    <row r="14" spans="2:5" x14ac:dyDescent="0.3">
      <c r="E14" s="1" t="s">
        <v>158</v>
      </c>
    </row>
    <row r="15" spans="2:5" x14ac:dyDescent="0.3">
      <c r="C15" s="1" t="s">
        <v>15</v>
      </c>
    </row>
    <row r="16" spans="2:5" x14ac:dyDescent="0.3">
      <c r="D16" s="1" t="s">
        <v>159</v>
      </c>
    </row>
    <row r="17" spans="2:4" x14ac:dyDescent="0.3">
      <c r="C17" s="1" t="s">
        <v>40</v>
      </c>
    </row>
    <row r="18" spans="2:4" x14ac:dyDescent="0.3">
      <c r="D18" s="1" t="s">
        <v>160</v>
      </c>
    </row>
    <row r="19" spans="2:4" x14ac:dyDescent="0.3">
      <c r="D19" s="1" t="s">
        <v>39</v>
      </c>
    </row>
    <row r="20" spans="2:4" x14ac:dyDescent="0.3">
      <c r="C20" s="1" t="s">
        <v>169</v>
      </c>
    </row>
    <row r="21" spans="2:4" x14ac:dyDescent="0.3">
      <c r="C21" s="1" t="s">
        <v>170</v>
      </c>
    </row>
    <row r="23" spans="2:4" x14ac:dyDescent="0.3">
      <c r="B23" s="1" t="s">
        <v>18</v>
      </c>
    </row>
    <row r="24" spans="2:4" x14ac:dyDescent="0.3">
      <c r="C24" s="1" t="s">
        <v>19</v>
      </c>
    </row>
    <row r="25" spans="2:4" x14ac:dyDescent="0.3">
      <c r="C25" s="1" t="s">
        <v>20</v>
      </c>
    </row>
    <row r="26" spans="2:4" x14ac:dyDescent="0.3">
      <c r="C26" s="1" t="s">
        <v>41</v>
      </c>
    </row>
    <row r="27" spans="2:4" x14ac:dyDescent="0.3">
      <c r="D27" s="1" t="s">
        <v>171</v>
      </c>
    </row>
    <row r="28" spans="2:4" x14ac:dyDescent="0.3">
      <c r="D28" s="1" t="s">
        <v>172</v>
      </c>
    </row>
    <row r="29" spans="2:4" x14ac:dyDescent="0.3">
      <c r="D29" s="1" t="s">
        <v>173</v>
      </c>
    </row>
    <row r="30" spans="2:4" x14ac:dyDescent="0.3">
      <c r="D30" s="1" t="s">
        <v>174</v>
      </c>
    </row>
    <row r="31" spans="2:4" x14ac:dyDescent="0.3">
      <c r="D31" s="1" t="s">
        <v>42</v>
      </c>
    </row>
    <row r="33" spans="2:4" x14ac:dyDescent="0.3">
      <c r="B33" s="1" t="s">
        <v>21</v>
      </c>
    </row>
    <row r="34" spans="2:4" x14ac:dyDescent="0.3">
      <c r="C34" s="1" t="s">
        <v>22</v>
      </c>
    </row>
    <row r="35" spans="2:4" x14ac:dyDescent="0.3">
      <c r="C35" s="1" t="s">
        <v>23</v>
      </c>
    </row>
    <row r="36" spans="2:4" x14ac:dyDescent="0.3">
      <c r="C36" s="1" t="s">
        <v>180</v>
      </c>
    </row>
    <row r="38" spans="2:4" x14ac:dyDescent="0.3">
      <c r="B38" s="1" t="s">
        <v>24</v>
      </c>
    </row>
    <row r="39" spans="2:4" x14ac:dyDescent="0.3">
      <c r="C39" s="1" t="s">
        <v>175</v>
      </c>
    </row>
    <row r="40" spans="2:4" x14ac:dyDescent="0.3">
      <c r="C40" s="1" t="s">
        <v>177</v>
      </c>
    </row>
    <row r="41" spans="2:4" x14ac:dyDescent="0.3">
      <c r="C41" s="1" t="s">
        <v>25</v>
      </c>
    </row>
    <row r="42" spans="2:4" x14ac:dyDescent="0.3">
      <c r="D42" s="1" t="s">
        <v>176</v>
      </c>
    </row>
    <row r="43" spans="2:4" x14ac:dyDescent="0.3">
      <c r="D43" s="1" t="s">
        <v>178</v>
      </c>
    </row>
    <row r="44" spans="2:4" x14ac:dyDescent="0.3">
      <c r="D44" s="1" t="s">
        <v>179</v>
      </c>
    </row>
    <row r="45" spans="2:4" x14ac:dyDescent="0.3">
      <c r="C45" s="1" t="s">
        <v>181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B2:C1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33</v>
      </c>
    </row>
    <row r="3" spans="2:3" x14ac:dyDescent="0.3">
      <c r="B3" s="1" t="s">
        <v>32</v>
      </c>
    </row>
    <row r="4" spans="2:3" x14ac:dyDescent="0.3">
      <c r="C4" s="1" t="s">
        <v>34</v>
      </c>
    </row>
    <row r="5" spans="2:3" x14ac:dyDescent="0.3">
      <c r="C5" s="1" t="s">
        <v>31</v>
      </c>
    </row>
    <row r="6" spans="2:3" x14ac:dyDescent="0.3">
      <c r="C6" s="1" t="s">
        <v>43</v>
      </c>
    </row>
    <row r="7" spans="2:3" x14ac:dyDescent="0.3">
      <c r="C7" s="1" t="s">
        <v>30</v>
      </c>
    </row>
    <row r="8" spans="2:3" x14ac:dyDescent="0.3">
      <c r="C8" s="1" t="s">
        <v>29</v>
      </c>
    </row>
    <row r="9" spans="2:3" x14ac:dyDescent="0.3">
      <c r="B9" s="1" t="s">
        <v>28</v>
      </c>
    </row>
    <row r="10" spans="2:3" x14ac:dyDescent="0.3">
      <c r="C10" s="1" t="s">
        <v>27</v>
      </c>
    </row>
    <row r="11" spans="2:3" x14ac:dyDescent="0.3">
      <c r="B11" s="1" t="s">
        <v>35</v>
      </c>
    </row>
    <row r="12" spans="2:3" x14ac:dyDescent="0.3">
      <c r="B12" s="1" t="s">
        <v>161</v>
      </c>
    </row>
    <row r="13" spans="2:3" x14ac:dyDescent="0.3">
      <c r="B13" s="1" t="s">
        <v>162</v>
      </c>
    </row>
    <row r="14" spans="2:3" x14ac:dyDescent="0.3">
      <c r="B14" s="1" t="s">
        <v>6</v>
      </c>
    </row>
    <row r="15" spans="2:3" x14ac:dyDescent="0.3">
      <c r="B15" s="1" t="s">
        <v>182</v>
      </c>
    </row>
    <row r="16" spans="2:3" x14ac:dyDescent="0.3">
      <c r="B16" s="1" t="s">
        <v>163</v>
      </c>
    </row>
    <row r="17" spans="2:2" x14ac:dyDescent="0.3">
      <c r="B17" s="1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3DF7-2DD2-224D-9E8A-BAF43721EA9A}">
  <sheetPr codeName="Sheet17"/>
  <dimension ref="B2:E28"/>
  <sheetViews>
    <sheetView zoomScale="80" zoomScaleNormal="80" workbookViewId="0"/>
  </sheetViews>
  <sheetFormatPr baseColWidth="10" defaultRowHeight="26" x14ac:dyDescent="0.3"/>
  <cols>
    <col min="1" max="2" width="10.83203125" style="1"/>
    <col min="3" max="3" width="37.6640625" style="1" customWidth="1"/>
    <col min="4" max="5" width="22" style="1" bestFit="1" customWidth="1"/>
    <col min="6" max="16384" width="10.83203125" style="1"/>
  </cols>
  <sheetData>
    <row r="2" spans="2:5" x14ac:dyDescent="0.3">
      <c r="B2" s="1" t="s">
        <v>4</v>
      </c>
    </row>
    <row r="3" spans="2:5" x14ac:dyDescent="0.3">
      <c r="C3" s="6"/>
      <c r="D3" s="7" t="s">
        <v>77</v>
      </c>
      <c r="E3" s="7" t="s">
        <v>76</v>
      </c>
    </row>
    <row r="4" spans="2:5" x14ac:dyDescent="0.3">
      <c r="C4" s="6" t="s">
        <v>75</v>
      </c>
      <c r="D4" s="2" t="s">
        <v>65</v>
      </c>
      <c r="E4" s="2" t="s">
        <v>65</v>
      </c>
    </row>
    <row r="5" spans="2:5" x14ac:dyDescent="0.3">
      <c r="C5" s="6" t="s">
        <v>74</v>
      </c>
      <c r="D5" s="2" t="s">
        <v>65</v>
      </c>
      <c r="E5" s="2" t="s">
        <v>74</v>
      </c>
    </row>
    <row r="6" spans="2:5" x14ac:dyDescent="0.3">
      <c r="C6" s="6" t="s">
        <v>73</v>
      </c>
      <c r="D6" s="2" t="s">
        <v>69</v>
      </c>
      <c r="E6" s="2" t="s">
        <v>72</v>
      </c>
    </row>
    <row r="7" spans="2:5" x14ac:dyDescent="0.3">
      <c r="C7" s="6" t="s">
        <v>71</v>
      </c>
      <c r="D7" s="2" t="s">
        <v>65</v>
      </c>
      <c r="E7" s="2" t="s">
        <v>71</v>
      </c>
    </row>
    <row r="8" spans="2:5" x14ac:dyDescent="0.3">
      <c r="C8" s="6" t="s">
        <v>70</v>
      </c>
      <c r="D8" s="2" t="s">
        <v>69</v>
      </c>
      <c r="E8" s="2" t="s">
        <v>68</v>
      </c>
    </row>
    <row r="9" spans="2:5" x14ac:dyDescent="0.3">
      <c r="C9" s="6" t="s">
        <v>67</v>
      </c>
      <c r="D9" s="2" t="s">
        <v>66</v>
      </c>
      <c r="E9" s="2" t="s">
        <v>66</v>
      </c>
    </row>
    <row r="10" spans="2:5" x14ac:dyDescent="0.3">
      <c r="C10" s="6" t="s">
        <v>64</v>
      </c>
      <c r="D10" s="2" t="s">
        <v>65</v>
      </c>
      <c r="E10" s="2" t="s">
        <v>64</v>
      </c>
    </row>
    <row r="11" spans="2:5" x14ac:dyDescent="0.3">
      <c r="C11" s="6" t="s">
        <v>63</v>
      </c>
      <c r="D11" s="2" t="s">
        <v>62</v>
      </c>
      <c r="E11" s="2" t="s">
        <v>62</v>
      </c>
    </row>
    <row r="13" spans="2:5" x14ac:dyDescent="0.3">
      <c r="B13" s="1" t="s">
        <v>61</v>
      </c>
    </row>
    <row r="14" spans="2:5" x14ac:dyDescent="0.3">
      <c r="C14" s="1" t="s">
        <v>60</v>
      </c>
      <c r="D14" s="1" t="s">
        <v>139</v>
      </c>
    </row>
    <row r="15" spans="2:5" x14ac:dyDescent="0.3">
      <c r="C15" s="1" t="s">
        <v>59</v>
      </c>
      <c r="D15" s="1" t="s">
        <v>58</v>
      </c>
    </row>
    <row r="16" spans="2:5" x14ac:dyDescent="0.3">
      <c r="C16" s="1" t="s">
        <v>57</v>
      </c>
      <c r="D16" s="1" t="s">
        <v>56</v>
      </c>
    </row>
    <row r="18" spans="2:5" x14ac:dyDescent="0.3">
      <c r="B18" s="1" t="s">
        <v>55</v>
      </c>
    </row>
    <row r="19" spans="2:5" x14ac:dyDescent="0.3">
      <c r="C19" s="1" t="s">
        <v>54</v>
      </c>
      <c r="D19" s="2" t="s">
        <v>4</v>
      </c>
      <c r="E19" s="2" t="s">
        <v>53</v>
      </c>
    </row>
    <row r="20" spans="2:5" x14ac:dyDescent="0.3">
      <c r="D20" s="5"/>
      <c r="E20" s="2" t="s">
        <v>52</v>
      </c>
    </row>
    <row r="22" spans="2:5" ht="29" x14ac:dyDescent="0.35">
      <c r="B22" s="4" t="s">
        <v>44</v>
      </c>
      <c r="C22" s="4"/>
    </row>
    <row r="23" spans="2:5" x14ac:dyDescent="0.3">
      <c r="C23" s="1" t="s">
        <v>51</v>
      </c>
      <c r="D23" s="2" t="s">
        <v>51</v>
      </c>
      <c r="E23" s="2" t="s">
        <v>44</v>
      </c>
    </row>
    <row r="24" spans="2:5" x14ac:dyDescent="0.3">
      <c r="C24" s="1" t="s">
        <v>49</v>
      </c>
      <c r="D24" s="2" t="s">
        <v>49</v>
      </c>
      <c r="E24" s="2" t="s">
        <v>44</v>
      </c>
    </row>
    <row r="25" spans="2:5" x14ac:dyDescent="0.3">
      <c r="C25" s="1" t="s">
        <v>50</v>
      </c>
      <c r="D25" s="2" t="s">
        <v>49</v>
      </c>
      <c r="E25" s="2" t="s">
        <v>44</v>
      </c>
    </row>
    <row r="26" spans="2:5" x14ac:dyDescent="0.3">
      <c r="C26" s="1" t="s">
        <v>48</v>
      </c>
      <c r="D26" s="2" t="s">
        <v>48</v>
      </c>
      <c r="E26" s="2" t="s">
        <v>44</v>
      </c>
    </row>
    <row r="27" spans="2:5" x14ac:dyDescent="0.3">
      <c r="C27" s="1" t="s">
        <v>47</v>
      </c>
      <c r="D27" s="2" t="s">
        <v>45</v>
      </c>
      <c r="E27" s="2" t="s">
        <v>44</v>
      </c>
    </row>
    <row r="28" spans="2:5" x14ac:dyDescent="0.3">
      <c r="C28" s="1" t="s">
        <v>46</v>
      </c>
      <c r="D28" s="2" t="s">
        <v>45</v>
      </c>
      <c r="E28" s="2" t="s">
        <v>44</v>
      </c>
    </row>
  </sheetData>
  <hyperlinks>
    <hyperlink ref="D5" r:id="rId1" xr:uid="{FFDC00AA-1B75-964E-ACFE-8D0A22FDD049}"/>
    <hyperlink ref="E11" r:id="rId2" xr:uid="{A4E8FCF9-15F7-EC44-B405-C779176B2E9E}"/>
    <hyperlink ref="E7" r:id="rId3" xr:uid="{A0C419EC-9DFD-6744-BD01-E315BBBE2A3B}"/>
    <hyperlink ref="E5" r:id="rId4" xr:uid="{CB0753D7-1E8E-2C4E-9B46-9ABD0BA2C187}"/>
    <hyperlink ref="E4" r:id="rId5" xr:uid="{620E0EC1-F142-874F-9418-7696888D4109}"/>
    <hyperlink ref="E8" r:id="rId6" xr:uid="{2E7DAA3E-3B69-0F4E-881C-D56779FA95C7}"/>
    <hyperlink ref="E6" r:id="rId7" xr:uid="{80368735-45C0-D94F-8906-0DCC3581DB33}"/>
    <hyperlink ref="D11" r:id="rId8" xr:uid="{C0B7585B-CD8F-5E4A-9CC9-5FE0163DFE37}"/>
    <hyperlink ref="E10" r:id="rId9" xr:uid="{28A6ED03-E74D-2348-A218-43D72CDE1AAF}"/>
    <hyperlink ref="D4" r:id="rId10" xr:uid="{A221F10E-9775-484F-9D7F-E9B49C6A20A6}"/>
    <hyperlink ref="D7" r:id="rId11" xr:uid="{FCF666C7-E6F4-2D44-B4AC-5D101D9BBAE3}"/>
    <hyperlink ref="D6" r:id="rId12" xr:uid="{FF30279F-C90A-DE4C-ABD3-68F53EEFADB2}"/>
    <hyperlink ref="D8" r:id="rId13" xr:uid="{A93838C7-ECC3-7A4D-B3E7-1C5404D89D05}"/>
    <hyperlink ref="D10" r:id="rId14" xr:uid="{0C13B6A6-DC5F-784B-AA90-F916A6D1FE5D}"/>
    <hyperlink ref="D9" r:id="rId15" xr:uid="{9C92F8A6-4DD0-6844-920B-9278FD98DCC3}"/>
    <hyperlink ref="E9" r:id="rId16" xr:uid="{337F2506-A6E7-6146-84CB-EE4AAB5C71FA}"/>
    <hyperlink ref="D23" r:id="rId17" xr:uid="{5A75BD46-60CA-014A-B5BF-DF88F5385BA3}"/>
    <hyperlink ref="D24" r:id="rId18" xr:uid="{354F0BD9-2BB5-1646-807F-F78885691DF1}"/>
    <hyperlink ref="D25" r:id="rId19" xr:uid="{16E98FFE-4349-FC47-84A0-CD3172A5E434}"/>
    <hyperlink ref="D26" r:id="rId20" xr:uid="{6882A2C0-4FF2-614C-B035-BFD767F6BD97}"/>
    <hyperlink ref="D27" r:id="rId21" xr:uid="{9A22070D-0E50-2B47-B39C-B396DCA347BE}"/>
    <hyperlink ref="D28" r:id="rId22" xr:uid="{76B69248-B268-8745-9625-A4300551E5D3}"/>
    <hyperlink ref="E23" r:id="rId23" xr:uid="{DE9065E6-DFF4-9D46-9528-30EB92BB3FC3}"/>
    <hyperlink ref="E24:E28" r:id="rId24" display="Probability" xr:uid="{140BE190-0C93-5548-B24F-AAA6D2CE6045}"/>
    <hyperlink ref="D19" r:id="rId25" xr:uid="{B1A0C430-A70C-154A-9F24-30157AE681AC}"/>
    <hyperlink ref="E19" r:id="rId26" xr:uid="{C6CEF2D0-FDA2-EE4B-9E35-25A21F1A2C6F}"/>
    <hyperlink ref="E20" r:id="rId27" xr:uid="{701C9ABD-3B6D-574F-8B6B-ACED39914B7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1CA18-7FD6-C84C-9198-A3F83C7FF4DB}">
  <sheetPr codeName="Sheet23">
    <tabColor rgb="FF002060"/>
  </sheetPr>
  <dimension ref="A1:A4"/>
  <sheetViews>
    <sheetView workbookViewId="0">
      <selection activeCell="A5" sqref="A5"/>
    </sheetView>
  </sheetViews>
  <sheetFormatPr baseColWidth="10" defaultRowHeight="26" x14ac:dyDescent="0.3"/>
  <cols>
    <col min="1" max="16384" width="10.83203125" style="3"/>
  </cols>
  <sheetData>
    <row r="1" spans="1:1" x14ac:dyDescent="0.3">
      <c r="A1" s="3" t="s">
        <v>92</v>
      </c>
    </row>
    <row r="2" spans="1:1" x14ac:dyDescent="0.3">
      <c r="A2" s="3" t="s">
        <v>156</v>
      </c>
    </row>
    <row r="3" spans="1:1" x14ac:dyDescent="0.3">
      <c r="A3" s="3" t="s">
        <v>60</v>
      </c>
    </row>
    <row r="4" spans="1:1" x14ac:dyDescent="0.3">
      <c r="A4" s="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4403-8764-ED47-93C6-0D7C870C4768}">
  <sheetPr codeName="Sheet18">
    <tabColor rgb="FFC00000"/>
  </sheetPr>
  <dimension ref="A1:D21"/>
  <sheetViews>
    <sheetView workbookViewId="0"/>
  </sheetViews>
  <sheetFormatPr baseColWidth="10" defaultColWidth="8.83203125" defaultRowHeight="26" x14ac:dyDescent="0.3"/>
  <cols>
    <col min="1" max="1" width="10.1640625" style="11" bestFit="1" customWidth="1"/>
    <col min="2" max="2" width="34.1640625" style="11" bestFit="1" customWidth="1"/>
    <col min="3" max="3" width="137.6640625" style="11" bestFit="1" customWidth="1"/>
    <col min="4" max="16384" width="8.83203125" style="11"/>
  </cols>
  <sheetData>
    <row r="1" spans="1:4" x14ac:dyDescent="0.3">
      <c r="A1" s="11" t="s">
        <v>94</v>
      </c>
    </row>
    <row r="2" spans="1:4" x14ac:dyDescent="0.3">
      <c r="A2" s="11" t="s">
        <v>93</v>
      </c>
      <c r="B2" s="12" t="s">
        <v>92</v>
      </c>
    </row>
    <row r="3" spans="1:4" x14ac:dyDescent="0.3">
      <c r="B3" s="12"/>
    </row>
    <row r="4" spans="1:4" x14ac:dyDescent="0.3">
      <c r="B4" s="11" t="s">
        <v>91</v>
      </c>
      <c r="C4" s="11" t="s">
        <v>90</v>
      </c>
      <c r="D4" s="11">
        <f>FACT(5)</f>
        <v>120</v>
      </c>
    </row>
    <row r="5" spans="1:4" x14ac:dyDescent="0.3">
      <c r="B5" s="11" t="s">
        <v>89</v>
      </c>
      <c r="C5" s="11" t="s">
        <v>88</v>
      </c>
      <c r="D5" s="11">
        <f>PERMUT(5,3)</f>
        <v>60</v>
      </c>
    </row>
    <row r="6" spans="1:4" x14ac:dyDescent="0.3">
      <c r="B6" s="11" t="s">
        <v>87</v>
      </c>
      <c r="C6" s="11" t="s">
        <v>86</v>
      </c>
      <c r="D6" s="11">
        <f>FACT(4)/FACT(2)</f>
        <v>12</v>
      </c>
    </row>
    <row r="7" spans="1:4" x14ac:dyDescent="0.3">
      <c r="B7" s="11" t="s">
        <v>85</v>
      </c>
      <c r="C7" s="11" t="s">
        <v>84</v>
      </c>
      <c r="D7" s="11">
        <f>COMBIN(6,3)</f>
        <v>20</v>
      </c>
    </row>
    <row r="8" spans="1:4" x14ac:dyDescent="0.3">
      <c r="B8" s="11" t="s">
        <v>59</v>
      </c>
      <c r="C8" s="11" t="s">
        <v>83</v>
      </c>
      <c r="D8" s="11">
        <f>COMBIN(6,3)</f>
        <v>20</v>
      </c>
    </row>
    <row r="9" spans="1:4" ht="30" x14ac:dyDescent="0.4">
      <c r="B9" s="11" t="s">
        <v>82</v>
      </c>
      <c r="C9" s="11" t="s">
        <v>81</v>
      </c>
      <c r="D9" s="11">
        <f>COMBIN(3,2)</f>
        <v>3</v>
      </c>
    </row>
    <row r="20" spans="2:3" x14ac:dyDescent="0.3">
      <c r="B20" s="11" t="s">
        <v>80</v>
      </c>
      <c r="C20" s="11" t="s">
        <v>79</v>
      </c>
    </row>
    <row r="21" spans="2:3" x14ac:dyDescent="0.3">
      <c r="C21" s="11" t="s">
        <v>78</v>
      </c>
    </row>
  </sheetData>
  <hyperlinks>
    <hyperlink ref="B2" r:id="rId1" xr:uid="{CFF618D9-4DE2-E546-A71B-6FA397BA8B2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894AA-77C0-CC4A-A14D-7EC58C9A3154}">
  <sheetPr codeName="Sheet19">
    <tabColor rgb="FFC00000"/>
  </sheetPr>
  <dimension ref="A2:D15"/>
  <sheetViews>
    <sheetView workbookViewId="0"/>
  </sheetViews>
  <sheetFormatPr baseColWidth="10" defaultColWidth="10.83203125" defaultRowHeight="31" x14ac:dyDescent="0.35"/>
  <cols>
    <col min="1" max="1" width="12" style="8" customWidth="1"/>
    <col min="2" max="2" width="31.1640625" style="8" bestFit="1" customWidth="1"/>
    <col min="3" max="3" width="10.83203125" style="8"/>
    <col min="4" max="4" width="167.6640625" style="8" bestFit="1" customWidth="1"/>
    <col min="5" max="16384" width="10.83203125" style="8"/>
  </cols>
  <sheetData>
    <row r="2" spans="1:4" x14ac:dyDescent="0.35">
      <c r="A2" s="8" t="s">
        <v>93</v>
      </c>
      <c r="B2" s="2" t="s">
        <v>116</v>
      </c>
    </row>
    <row r="3" spans="1:4" x14ac:dyDescent="0.35">
      <c r="B3" s="2"/>
    </row>
    <row r="4" spans="1:4" ht="35" x14ac:dyDescent="0.45">
      <c r="B4" s="8" t="s">
        <v>115</v>
      </c>
      <c r="D4" s="8" t="s">
        <v>114</v>
      </c>
    </row>
    <row r="5" spans="1:4" ht="35" x14ac:dyDescent="0.45">
      <c r="B5" s="8" t="s">
        <v>113</v>
      </c>
      <c r="D5" s="8" t="s">
        <v>112</v>
      </c>
    </row>
    <row r="6" spans="1:4" ht="35" x14ac:dyDescent="0.45">
      <c r="B6" s="8" t="s">
        <v>111</v>
      </c>
      <c r="D6" s="8" t="s">
        <v>183</v>
      </c>
    </row>
    <row r="7" spans="1:4" ht="35" x14ac:dyDescent="0.45">
      <c r="B7" s="8" t="s">
        <v>110</v>
      </c>
      <c r="D7" s="8" t="s">
        <v>109</v>
      </c>
    </row>
    <row r="8" spans="1:4" ht="35" x14ac:dyDescent="0.45">
      <c r="B8" s="8" t="s">
        <v>108</v>
      </c>
      <c r="D8" s="8" t="s">
        <v>107</v>
      </c>
    </row>
    <row r="9" spans="1:4" x14ac:dyDescent="0.35">
      <c r="D9" s="8" t="s">
        <v>106</v>
      </c>
    </row>
    <row r="10" spans="1:4" x14ac:dyDescent="0.35">
      <c r="D10" s="8" t="s">
        <v>105</v>
      </c>
    </row>
    <row r="11" spans="1:4" ht="35" x14ac:dyDescent="0.45">
      <c r="B11" s="8" t="s">
        <v>104</v>
      </c>
      <c r="D11" s="8" t="s">
        <v>103</v>
      </c>
    </row>
    <row r="12" spans="1:4" ht="35" x14ac:dyDescent="0.45">
      <c r="B12" s="8" t="s">
        <v>102</v>
      </c>
      <c r="D12" s="8" t="s">
        <v>101</v>
      </c>
    </row>
    <row r="13" spans="1:4" ht="35" x14ac:dyDescent="0.45">
      <c r="B13" s="8" t="s">
        <v>100</v>
      </c>
      <c r="D13" s="8" t="s">
        <v>99</v>
      </c>
    </row>
    <row r="14" spans="1:4" ht="37" x14ac:dyDescent="0.45">
      <c r="B14" s="8" t="s">
        <v>98</v>
      </c>
      <c r="D14" s="8" t="s">
        <v>97</v>
      </c>
    </row>
    <row r="15" spans="1:4" ht="37" x14ac:dyDescent="0.45">
      <c r="B15" s="8" t="s">
        <v>96</v>
      </c>
      <c r="D15" s="8" t="s">
        <v>95</v>
      </c>
    </row>
  </sheetData>
  <hyperlinks>
    <hyperlink ref="B2" r:id="rId1" xr:uid="{40A0E925-B5A9-DF40-AC8B-3AA62E6287B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FC00-E704-1E47-A4CF-F1A565A31AA4}">
  <sheetPr codeName="Sheet20">
    <tabColor rgb="FFC00000"/>
  </sheetPr>
  <dimension ref="B2:C11"/>
  <sheetViews>
    <sheetView zoomScale="80" zoomScaleNormal="80" workbookViewId="0">
      <selection activeCell="D14" sqref="D14"/>
    </sheetView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126</v>
      </c>
    </row>
    <row r="3" spans="2:3" x14ac:dyDescent="0.3">
      <c r="B3" s="3" t="s">
        <v>125</v>
      </c>
    </row>
    <row r="4" spans="2:3" x14ac:dyDescent="0.3">
      <c r="B4" s="3" t="s">
        <v>124</v>
      </c>
    </row>
    <row r="5" spans="2:3" x14ac:dyDescent="0.3">
      <c r="B5" s="3" t="s">
        <v>123</v>
      </c>
    </row>
    <row r="6" spans="2:3" x14ac:dyDescent="0.3">
      <c r="B6" s="3" t="s">
        <v>122</v>
      </c>
    </row>
    <row r="7" spans="2:3" x14ac:dyDescent="0.3">
      <c r="B7" s="3" t="s">
        <v>121</v>
      </c>
    </row>
    <row r="8" spans="2:3" x14ac:dyDescent="0.3">
      <c r="C8" s="3" t="s">
        <v>120</v>
      </c>
    </row>
    <row r="9" spans="2:3" x14ac:dyDescent="0.3">
      <c r="C9" s="3" t="s">
        <v>119</v>
      </c>
    </row>
    <row r="10" spans="2:3" x14ac:dyDescent="0.3">
      <c r="C10" s="3" t="s">
        <v>118</v>
      </c>
    </row>
    <row r="11" spans="2:3" x14ac:dyDescent="0.3">
      <c r="C11" s="3" t="s">
        <v>117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FAB8A-A5E4-7A4D-B0A6-7AFD4EFCADED}">
  <sheetPr codeName="Sheet22">
    <tabColor rgb="FFC00000"/>
  </sheetPr>
  <dimension ref="B2:D17"/>
  <sheetViews>
    <sheetView workbookViewId="0"/>
  </sheetViews>
  <sheetFormatPr baseColWidth="10" defaultColWidth="10.83203125" defaultRowHeight="26" x14ac:dyDescent="0.3"/>
  <cols>
    <col min="1" max="16384" width="10.83203125" style="3"/>
  </cols>
  <sheetData>
    <row r="2" spans="2:4" x14ac:dyDescent="0.3">
      <c r="B2" s="3" t="s">
        <v>138</v>
      </c>
    </row>
    <row r="3" spans="2:4" x14ac:dyDescent="0.3">
      <c r="B3" s="3" t="s">
        <v>137</v>
      </c>
    </row>
    <row r="5" spans="2:4" x14ac:dyDescent="0.3">
      <c r="C5" s="3" t="s">
        <v>136</v>
      </c>
    </row>
    <row r="6" spans="2:4" ht="29" x14ac:dyDescent="0.3">
      <c r="D6" s="3" t="s">
        <v>135</v>
      </c>
    </row>
    <row r="7" spans="2:4" x14ac:dyDescent="0.3">
      <c r="C7" s="3" t="s">
        <v>134</v>
      </c>
    </row>
    <row r="8" spans="2:4" ht="29" x14ac:dyDescent="0.3">
      <c r="D8" s="3" t="s">
        <v>133</v>
      </c>
    </row>
    <row r="10" spans="2:4" x14ac:dyDescent="0.3">
      <c r="B10" s="3" t="s">
        <v>132</v>
      </c>
    </row>
    <row r="11" spans="2:4" x14ac:dyDescent="0.3">
      <c r="C11" s="9" t="s">
        <v>131</v>
      </c>
    </row>
    <row r="12" spans="2:4" x14ac:dyDescent="0.3">
      <c r="C12" s="9" t="s">
        <v>130</v>
      </c>
    </row>
    <row r="13" spans="2:4" x14ac:dyDescent="0.3">
      <c r="C13" s="9" t="s">
        <v>129</v>
      </c>
    </row>
    <row r="14" spans="2:4" x14ac:dyDescent="0.3">
      <c r="C14" s="9" t="s">
        <v>128</v>
      </c>
    </row>
    <row r="15" spans="2:4" x14ac:dyDescent="0.3">
      <c r="B15" s="3" t="s">
        <v>4</v>
      </c>
    </row>
    <row r="16" spans="2:4" x14ac:dyDescent="0.3">
      <c r="C16" s="9" t="s">
        <v>61</v>
      </c>
    </row>
    <row r="17" spans="3:3" x14ac:dyDescent="0.3">
      <c r="C17" s="9" t="s">
        <v>127</v>
      </c>
    </row>
  </sheetData>
  <hyperlinks>
    <hyperlink ref="C11" r:id="rId1" xr:uid="{EDED884E-21D8-CE4E-BDEE-1DBF53A49644}"/>
    <hyperlink ref="C12" r:id="rId2" xr:uid="{2BA5C98E-5BEB-4344-AE6A-2925F6C548F3}"/>
    <hyperlink ref="C13" r:id="rId3" xr:uid="{CEA4FC0C-EBB2-5B4E-B61C-87A67C454AB8}"/>
    <hyperlink ref="C14" r:id="rId4" xr:uid="{2BBC83DB-E3D1-AE4C-8B1A-6E80D504DDA5}"/>
    <hyperlink ref="C16" r:id="rId5" xr:uid="{158067B2-F6F3-164B-AB8C-A04AAA32DB3C}"/>
    <hyperlink ref="C17" r:id="rId6" xr:uid="{E06BCDC7-65BF-BA43-9B73-49E9F908B9B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Today</vt:lpstr>
      <vt:lpstr>About theClass</vt:lpstr>
      <vt:lpstr>CourseContent</vt:lpstr>
      <vt:lpstr>ClassPhilosophy</vt:lpstr>
      <vt:lpstr>Resources_4_Prequisites</vt:lpstr>
      <vt:lpstr>MathReview</vt:lpstr>
      <vt:lpstr>Combinatorics</vt:lpstr>
      <vt:lpstr>TVM</vt:lpstr>
      <vt:lpstr>Normal</vt:lpstr>
      <vt:lpstr>LogNormal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2017-05-17T17:13:20Z</dcterms:created>
  <dcterms:modified xsi:type="dcterms:W3CDTF">2026-05-25T09:37:13Z</dcterms:modified>
</cp:coreProperties>
</file>