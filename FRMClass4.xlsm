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Dev/ClassFiles_Dev/"/>
    </mc:Choice>
  </mc:AlternateContent>
  <xr:revisionPtr revIDLastSave="0" documentId="13_ncr:1_{5377BF80-BD25-754C-94C8-3DE9DAAF2B6D}" xr6:coauthVersionLast="47" xr6:coauthVersionMax="47" xr10:uidLastSave="{00000000-0000-0000-0000-000000000000}"/>
  <bookViews>
    <workbookView xWindow="0" yWindow="500" windowWidth="28800" windowHeight="17500" xr2:uid="{C1F6CC11-1296-3549-A35C-9D74F73648F5}"/>
  </bookViews>
  <sheets>
    <sheet name="Today" sheetId="10" r:id="rId1"/>
    <sheet name="Objectives" sheetId="6" r:id="rId2"/>
    <sheet name="Swaps" sheetId="18" state="hidden" r:id="rId3"/>
    <sheet name="MVaR" sheetId="46" r:id="rId4"/>
    <sheet name="iVaR" sheetId="45" r:id="rId5"/>
    <sheet name="FRTB" sheetId="51" r:id="rId6"/>
    <sheet name="CreditRisk" sheetId="52" r:id="rId7"/>
    <sheet name="ELoss" sheetId="53" r:id="rId8"/>
    <sheet name="CashVsProfit" sheetId="54" r:id="rId9"/>
    <sheet name="Prework4NextClass" sheetId="24" r:id="rId10"/>
    <sheet name="Q1_MVaR" sheetId="49" r:id="rId11"/>
    <sheet name="DiscussionQuestion" sheetId="37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_2_15_2017" localSheetId="11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11">#REF!</definedName>
    <definedName name="ad">#REF!</definedName>
    <definedName name="alan" localSheetId="11">#REF!</definedName>
    <definedName name="alan">#REF!</definedName>
    <definedName name="alpha" localSheetId="11">#REF!</definedName>
    <definedName name="alpha" localSheetId="4">iVaR!$H$4</definedName>
    <definedName name="alpha" localSheetId="3">MVaR!$H$4</definedName>
    <definedName name="alpha" localSheetId="10">[5]MVaR!$H$3</definedName>
    <definedName name="alpha">#REF!</definedName>
    <definedName name="b" localSheetId="4">iVaR!$B$21:$B$22</definedName>
    <definedName name="b" localSheetId="3">MVaR!$B$21:$B$22</definedName>
    <definedName name="b" localSheetId="10">[5]MVaR!$B$21:$B$22</definedName>
    <definedName name="b">#REF!</definedName>
    <definedName name="bid">[3]Liquidity1!$C$7:$C$23</definedName>
    <definedName name="Bins" localSheetId="11">#REF!</definedName>
    <definedName name="Bins">#REF!</definedName>
    <definedName name="Bond_Value" localSheetId="8">#REF!</definedName>
    <definedName name="Bond_Value" localSheetId="7">#REF!</definedName>
    <definedName name="Bond_Value">#REF!</definedName>
    <definedName name="Bond_Value_" localSheetId="8">#REF!</definedName>
    <definedName name="Bond_Value_" localSheetId="7">#REF!</definedName>
    <definedName name="Bond_Value_">#REF!</definedName>
    <definedName name="C_" localSheetId="11">[6]A4_1!$C$20:$E$20</definedName>
    <definedName name="C_">[7]A4_1!$C$20:$E$20</definedName>
    <definedName name="Cd" localSheetId="8">#REF!</definedName>
    <definedName name="Cd" localSheetId="11">#REF!</definedName>
    <definedName name="Cd">#REF!</definedName>
    <definedName name="Cd_" localSheetId="11">[8]BOPM3!#REF!</definedName>
    <definedName name="Cd_">[9]BOPM3!#REF!</definedName>
    <definedName name="Change" localSheetId="8">[10]VaR0!#REF!</definedName>
    <definedName name="Change" localSheetId="11">#REF!</definedName>
    <definedName name="Change">#REF!</definedName>
    <definedName name="CI" localSheetId="8">#REF!</definedName>
    <definedName name="CI" localSheetId="11">#REF!</definedName>
    <definedName name="CI" localSheetId="7">#REF!</definedName>
    <definedName name="CI">#REF!</definedName>
    <definedName name="CI_lo" localSheetId="8">#REF!</definedName>
    <definedName name="CI_lo" localSheetId="11">#REF!</definedName>
    <definedName name="CI_lo" localSheetId="7">#REF!</definedName>
    <definedName name="CI_lo">#REF!</definedName>
    <definedName name="contracts" localSheetId="11">[6]A4_1!$C$25:$E$25</definedName>
    <definedName name="contracts">[7]A4_1!$C$25:$E$25</definedName>
    <definedName name="corrmat" localSheetId="11">[11]VaR4!$M$43:$Q$47</definedName>
    <definedName name="corrmat">[12]VaR4!$M$43:$Q$47</definedName>
    <definedName name="CouponPmt" localSheetId="8">#REF!</definedName>
    <definedName name="CouponPmt" localSheetId="7">#REF!</definedName>
    <definedName name="CouponPmt">#REF!</definedName>
    <definedName name="CouponRate" localSheetId="8">#REF!</definedName>
    <definedName name="couponrate" localSheetId="11">#REF!</definedName>
    <definedName name="CouponRate" localSheetId="7">#REF!</definedName>
    <definedName name="couponrate">#REF!</definedName>
    <definedName name="couponrate_ctd">[13]A4_2_1!$C$18</definedName>
    <definedName name="covmat" localSheetId="11">[1]VaR3!$D$43:$H$47</definedName>
    <definedName name="covmat" localSheetId="4">iVaR!$B$3:$C$4</definedName>
    <definedName name="covmat" localSheetId="3">MVaR!$B$3:$C$4</definedName>
    <definedName name="covmat" localSheetId="10">[5]MVaR!$B$3:$C$4</definedName>
    <definedName name="covmat">[2]VaR3!$D$43:$H$47</definedName>
    <definedName name="covmat_calc" localSheetId="11">[11]VaR4!$M$59:$Q$63</definedName>
    <definedName name="covmat_calc">[12]VaR4!$M$59:$Q$63</definedName>
    <definedName name="Cu" localSheetId="8">#REF!</definedName>
    <definedName name="Cu" localSheetId="11">#REF!</definedName>
    <definedName name="Cu">#REF!</definedName>
    <definedName name="d" localSheetId="11">#REF!</definedName>
    <definedName name="d">#REF!</definedName>
    <definedName name="d1_" localSheetId="8">#REF!</definedName>
    <definedName name="d1_" localSheetId="11">[6]A4_1!$C$9:$E$9</definedName>
    <definedName name="d1_" localSheetId="7">#REF!</definedName>
    <definedName name="d1_">[7]A4_1!$C$9:$E$9</definedName>
    <definedName name="d2_" localSheetId="8">#REF!</definedName>
    <definedName name="d2_" localSheetId="11">[6]A4_1!$C$10:$E$10</definedName>
    <definedName name="d2_" localSheetId="7">#REF!</definedName>
    <definedName name="d2_">[7]A4_1!$C$10:$E$10</definedName>
    <definedName name="Denomination_F">[13]A4_2_1!$C$24</definedName>
    <definedName name="df" localSheetId="11">#REF!</definedName>
    <definedName name="df">#REF!</definedName>
    <definedName name="dollar_rate" localSheetId="11">#REF!</definedName>
    <definedName name="dollar_rate">#REF!</definedName>
    <definedName name="Duration">[13]A4_2_1!$C$10</definedName>
    <definedName name="Duration_ctd">[13]A4_2_1!$C$21</definedName>
    <definedName name="Eloss">[4]Spread2PD!$C$18</definedName>
    <definedName name="Epayoff">[4]PD2Spread!$E$23:$E$27</definedName>
    <definedName name="F" localSheetId="11">[14]CentralLimitTheorem!$E$8</definedName>
    <definedName name="F">[15]CentralLimitTheorem!$E$8</definedName>
    <definedName name="F_Draw" localSheetId="11">[14]FnS!$B$7:$B$106</definedName>
    <definedName name="F_Draw">[15]FnS!$B$7:$B$106</definedName>
    <definedName name="F_Row" localSheetId="11">[14]CentralLimitTheorem!$E$10:$P$10</definedName>
    <definedName name="F_Row">[15]CentralLimitTheorem!$E$10:$P$10</definedName>
    <definedName name="Face" localSheetId="8">#REF!</definedName>
    <definedName name="face" localSheetId="11">#REF!</definedName>
    <definedName name="Face" localSheetId="7">#REF!</definedName>
    <definedName name="face">#REF!</definedName>
    <definedName name="forward_rate" localSheetId="11">#REF!</definedName>
    <definedName name="forward_rate">#REF!</definedName>
    <definedName name="Frequency" localSheetId="8">#REF!</definedName>
    <definedName name="Frequency" localSheetId="7">#REF!</definedName>
    <definedName name="Frequency">#REF!</definedName>
    <definedName name="Futures">[13]A4_2_1!$C$25</definedName>
    <definedName name="hazard">[4]PD2Spread!$B$9:$B$9</definedName>
    <definedName name="idx">[4]Spread2PD!$P$24:$P$28</definedName>
    <definedName name="K" localSheetId="11">[6]A4_1!$C$3</definedName>
    <definedName name="K">[7]A4_1!$C$3</definedName>
    <definedName name="LN_Sim" localSheetId="11">#REF!</definedName>
    <definedName name="LN_Sim">#REF!</definedName>
    <definedName name="loss" localSheetId="11">#REF!</definedName>
    <definedName name="loss">#REF!</definedName>
    <definedName name="loss_30" localSheetId="8">#REF!</definedName>
    <definedName name="loss_30" localSheetId="11">#REF!</definedName>
    <definedName name="loss_30">#REF!</definedName>
    <definedName name="loss_t" localSheetId="8">#REF!</definedName>
    <definedName name="loss_t" localSheetId="11">#REF!</definedName>
    <definedName name="loss_t">#REF!</definedName>
    <definedName name="lossAmount">[4]Spread2PD!$G$47</definedName>
    <definedName name="maturityDate">[16]semi!$C$13</definedName>
    <definedName name="maturityDate_ctd">[13]A4_2_1!$C$17</definedName>
    <definedName name="Mean" localSheetId="8">#REF!</definedName>
    <definedName name="Mean" localSheetId="11">#REF!</definedName>
    <definedName name="Mean" localSheetId="7">#REF!</definedName>
    <definedName name="Mean">#REF!</definedName>
    <definedName name="midprice">[3]Liquidity1!$E$7:$E$23</definedName>
    <definedName name="mu">[3]Liquidity1!$G$25</definedName>
    <definedName name="MyBank" localSheetId="11">#REF!</definedName>
    <definedName name="MyBank">#REF!</definedName>
    <definedName name="MyBankDeposits" localSheetId="11">#REF!</definedName>
    <definedName name="MyBankDeposits">#REF!</definedName>
    <definedName name="MyFriendsBank" localSheetId="11">#REF!</definedName>
    <definedName name="MyFriendsBank">#REF!</definedName>
    <definedName name="MyFriendsDeposits" localSheetId="11">#REF!</definedName>
    <definedName name="MyFriendsDeposits">#REF!</definedName>
    <definedName name="n" localSheetId="8">#REF!</definedName>
    <definedName name="n" localSheetId="11">#REF!</definedName>
    <definedName name="n" localSheetId="7">#REF!</definedName>
    <definedName name="n">#REF!</definedName>
    <definedName name="n_">[17]Date0Check1!$H$4:$H$23</definedName>
    <definedName name="N__d1" localSheetId="11">[6]A4_1!$C$14:$E$14</definedName>
    <definedName name="N__d1">[7]A4_1!$C$14:$E$14</definedName>
    <definedName name="N__d2" localSheetId="11">[6]A4_1!$C$15:$E$15</definedName>
    <definedName name="N__d2">[7]A4_1!$C$15:$E$15</definedName>
    <definedName name="N_d1" localSheetId="11">[6]A4_1!$C$12:$E$12</definedName>
    <definedName name="N_d1">[7]A4_1!$C$12:$E$12</definedName>
    <definedName name="N_d2" localSheetId="11">[6]A4_1!$C$13:$E$13</definedName>
    <definedName name="N_d2">[7]A4_1!$C$13:$E$13</definedName>
    <definedName name="notional" localSheetId="11">[6]A4_1!$C$24:$E$24</definedName>
    <definedName name="notional">[7]A4_1!$C$24:$E$24</definedName>
    <definedName name="offer">[3]Liquidity1!$D$7:$D$23</definedName>
    <definedName name="p" localSheetId="11">[18]Bond!$F$6</definedName>
    <definedName name="p">[19]Bond!$F$6</definedName>
    <definedName name="PD">[4]PD2Spread!$C$23:$C$27</definedName>
    <definedName name="Period" localSheetId="8">#REF!</definedName>
    <definedName name="Period" localSheetId="7">#REF!</definedName>
    <definedName name="Period">#REF!</definedName>
    <definedName name="peso_rate" localSheetId="11">#REF!</definedName>
    <definedName name="peso_rate">#REF!</definedName>
    <definedName name="pmt" localSheetId="8">#REF!</definedName>
    <definedName name="pmt" localSheetId="11">#REF!</definedName>
    <definedName name="pmt" localSheetId="7">#REF!</definedName>
    <definedName name="pmt">#REF!</definedName>
    <definedName name="pmt_">[17]Date0Check2!$F$4</definedName>
    <definedName name="pmtperyear" localSheetId="11">#REF!</definedName>
    <definedName name="pmtperyear">#REF!</definedName>
    <definedName name="pmtperyear_ctd">[13]A4_2_1!$C$20</definedName>
    <definedName name="pmts" localSheetId="11">#REF!</definedName>
    <definedName name="pmts">#REF!</definedName>
    <definedName name="Price" localSheetId="8">[10]VaR0!#REF!</definedName>
    <definedName name="Price" localSheetId="11">#REF!</definedName>
    <definedName name="Price">#REF!</definedName>
    <definedName name="Price_F" localSheetId="11">[13]A4_2_1!#REF!</definedName>
    <definedName name="Price_F">[13]A4_2_1!#REF!</definedName>
    <definedName name="PS">[4]PD2Spread!$C$13:$C$17</definedName>
    <definedName name="PurchasePrice" localSheetId="11">[20]O1_Intro!$F$15:$F$20</definedName>
    <definedName name="PurchasePrice">[21]O1_Intro!$F$15:$F$20</definedName>
    <definedName name="pv" localSheetId="8">#REF!</definedName>
    <definedName name="pv" localSheetId="11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11">#REF!</definedName>
    <definedName name="pv2_">#REF!</definedName>
    <definedName name="PVA" localSheetId="11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8">#REF!</definedName>
    <definedName name="q" localSheetId="11">[6]A4_1!$C$6:$E$6</definedName>
    <definedName name="q" localSheetId="7">#REF!</definedName>
    <definedName name="q">[7]A4_1!$C$6:$E$6</definedName>
    <definedName name="r_" localSheetId="8">#REF!</definedName>
    <definedName name="r_" localSheetId="11">[6]A4_1!$C$5:$E$5</definedName>
    <definedName name="r_" localSheetId="7">#REF!</definedName>
    <definedName name="r_">[7]A4_1!$C$5:$E$5</definedName>
    <definedName name="rate">[17]Date0Check2!$E$4</definedName>
    <definedName name="rated" localSheetId="11">[22]A2!$E$4:$H$4</definedName>
    <definedName name="rated">[23]A2!$E$4:$H$4</definedName>
    <definedName name="ratef" localSheetId="11">[22]A2!$E$5:$H$5</definedName>
    <definedName name="ratef">[23]A2!$E$5:$H$5</definedName>
    <definedName name="RatingLast" localSheetId="11">[24]CreditMatrix!$D$10:$D$109</definedName>
    <definedName name="RatingLast">[25]CreditMatrix!$D$10:$D$109</definedName>
    <definedName name="RatingNow" localSheetId="11">[24]CreditMatrix!$E$10:$E$109</definedName>
    <definedName name="RatingNow">[25]CreditMatrix!$E$10:$E$109</definedName>
    <definedName name="ratingsTbl" localSheetId="11">[24]CreditMatrix!$B$2:$C$7</definedName>
    <definedName name="ratingsTbl">[25]CreditMatrix!$B$2:$C$7</definedName>
    <definedName name="Recovery">[4]Spread2PD!$D$42:$D$46</definedName>
    <definedName name="s" localSheetId="8">#REF!</definedName>
    <definedName name="s" localSheetId="11">#REF!</definedName>
    <definedName name="s" localSheetId="7">#REF!</definedName>
    <definedName name="s">#REF!</definedName>
    <definedName name="S0" localSheetId="8">#REF!</definedName>
    <definedName name="S0" localSheetId="11">[6]A4_1!$C$2:$E$2</definedName>
    <definedName name="S0" localSheetId="7">#REF!</definedName>
    <definedName name="S0">[7]A4_1!$C$2:$E$2</definedName>
    <definedName name="S0_e_qt" localSheetId="11">[6]A4_1!$C$17:$E$17</definedName>
    <definedName name="S0_e_qt">[7]A4_1!$C$17:$E$17</definedName>
    <definedName name="SD" localSheetId="8">#REF!</definedName>
    <definedName name="SD" localSheetId="11">#REF!</definedName>
    <definedName name="SD" localSheetId="7">#REF!</definedName>
    <definedName name="SD">#REF!</definedName>
    <definedName name="Sensitivity">[13]A4_2_1!$C$12</definedName>
    <definedName name="Sensitivity_F">[13]A4_2_1!$C$27</definedName>
    <definedName name="settlementDate">[16]semi!$C$12</definedName>
    <definedName name="settlementDate_ctd">[13]A4_2_1!$C$16</definedName>
    <definedName name="Shares" localSheetId="11">[1]VaR3!$D$6:$H$6</definedName>
    <definedName name="Shares">[2]VaR3!$D$6:$H$6</definedName>
    <definedName name="sigma">[3]Liquidity1!$G$26</definedName>
    <definedName name="simS">[3]Liquidity1!$G$29</definedName>
    <definedName name="sims_a" localSheetId="11">#REF!</definedName>
    <definedName name="sims_a">#REF!</definedName>
    <definedName name="sims_h" localSheetId="11">#REF!</definedName>
    <definedName name="sims_h">#REF!</definedName>
    <definedName name="simSpread">[3]Liquidity1!$J$7:$J$23</definedName>
    <definedName name="simSpreadPerShare">[3]Liquidity1!$H$7:$H$23</definedName>
    <definedName name="Spot" localSheetId="11">[22]A2!$E$3:$H$3</definedName>
    <definedName name="Spot">[23]A2!$E$3:$H$3</definedName>
    <definedName name="spread">[3]Liquidity1!$F$7:$F$23</definedName>
    <definedName name="StartingPortfolio">[3]ExporeInf!$C$29:$H$29</definedName>
    <definedName name="stdev" localSheetId="11">#REF!</definedName>
    <definedName name="stdev">#REF!</definedName>
    <definedName name="Stock" localSheetId="11">[20]O1_Intro!$C$15:$C$20</definedName>
    <definedName name="Stock">[21]O1_Intro!$C$15:$C$20</definedName>
    <definedName name="Strike" localSheetId="11">[20]O1_Intro!$D$15:$D$20</definedName>
    <definedName name="Strike">[21]O1_Intro!$D$15:$D$20</definedName>
    <definedName name="Sum" localSheetId="11">[14]CentralLimitTheorem!$C$12:$C$111</definedName>
    <definedName name="Sum">[15]CentralLimitTheorem!$C$12:$C$111</definedName>
    <definedName name="Sw" localSheetId="4">iVaR!$F$17:$F$18</definedName>
    <definedName name="Sw" localSheetId="3">MVaR!$F$17:$F$18</definedName>
    <definedName name="Sw" localSheetId="10">[5]MVaR!$F$17:$F$18</definedName>
    <definedName name="Sw">#REF!</definedName>
    <definedName name="Sx" localSheetId="4">iVaR!$B$17:$B$18</definedName>
    <definedName name="Sx" localSheetId="3">MVaR!$B$17:$B$18</definedName>
    <definedName name="Sx" localSheetId="10">[5]MVaR!$B$17:$B$18</definedName>
    <definedName name="Sx">#REF!</definedName>
    <definedName name="t" localSheetId="8">#REF!</definedName>
    <definedName name="t" localSheetId="11">[6]A4_1!$C$7:$E$7</definedName>
    <definedName name="t" localSheetId="7">#REF!</definedName>
    <definedName name="t">[7]A4_1!$C$7:$E$7</definedName>
    <definedName name="t_">[4]PD2Spread!$B$23:$B$27</definedName>
    <definedName name="Time" localSheetId="8">#REF!</definedName>
    <definedName name="Time" localSheetId="11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8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11">[1]VaR3!$D$52</definedName>
    <definedName name="TotalValue">[2]VaR3!$D$52</definedName>
    <definedName name="u" localSheetId="11">#REF!</definedName>
    <definedName name="u">#REF!</definedName>
    <definedName name="usd_peso" localSheetId="11">#REF!</definedName>
    <definedName name="usd_peso">#REF!</definedName>
    <definedName name="v" localSheetId="11">#REF!</definedName>
    <definedName name="v">#REF!</definedName>
    <definedName name="Value" localSheetId="11">[1]VaR3!$D$50:$H$50</definedName>
    <definedName name="Value" localSheetId="4">iVaR!$E$4</definedName>
    <definedName name="Value" localSheetId="3">MVaR!$E$4</definedName>
    <definedName name="Value" localSheetId="10">[5]MVaR!$E$4</definedName>
    <definedName name="Value">[2]VaR3!$D$50:$H$50</definedName>
    <definedName name="Value_" localSheetId="11">[20]O1_Intro!$E$15:$E$20</definedName>
    <definedName name="Value_">[21]O1_Intro!$E$15:$E$20</definedName>
    <definedName name="value_01" localSheetId="11">#REF!</definedName>
    <definedName name="value_01">#REF!</definedName>
    <definedName name="Value_F" localSheetId="11">[13]A4_2_1!#REF!</definedName>
    <definedName name="Value_F">[13]A4_2_1!#REF!</definedName>
    <definedName name="value_lo" localSheetId="8">#REF!</definedName>
    <definedName name="value_lo" localSheetId="11">#REF!</definedName>
    <definedName name="value_lo" localSheetId="7">#REF!</definedName>
    <definedName name="value_lo">#REF!</definedName>
    <definedName name="value_rf_">[4]Spread2PD!$C$42:$C$46</definedName>
    <definedName name="VaR" localSheetId="4">iVaR!$H$11</definedName>
    <definedName name="VaR" localSheetId="3">MVaR!$H$11</definedName>
    <definedName name="VaR" localSheetId="10">[5]MVaR!$H$11</definedName>
    <definedName name="VaR">#REF!</definedName>
    <definedName name="Variance" localSheetId="11">[1]VaR3!$D$61</definedName>
    <definedName name="variance" localSheetId="4">iVaR!$B$11</definedName>
    <definedName name="variance" localSheetId="3">MVaR!$B$11</definedName>
    <definedName name="variance" localSheetId="10">[5]MVaR!$B$11</definedName>
    <definedName name="Variance">[2]VaR3!$D$61</definedName>
    <definedName name="Variance_calc" localSheetId="11">[11]VaR4!$M$65</definedName>
    <definedName name="Variance_calc">[12]VaR4!$M$65</definedName>
    <definedName name="variancePct" localSheetId="4">iVaR!$F$11</definedName>
    <definedName name="variancePct" localSheetId="3">MVaR!$F$11</definedName>
    <definedName name="variancePct" localSheetId="10">[5]MVaR!$F$11</definedName>
    <definedName name="variancePct">#REF!</definedName>
    <definedName name="VaRPct" localSheetId="4">iVaR!$I$11</definedName>
    <definedName name="VaRPct" localSheetId="3">MVaR!$I$11</definedName>
    <definedName name="VaRPct" localSheetId="10">[5]MVaR!$I$11</definedName>
    <definedName name="VaRPct">#REF!</definedName>
    <definedName name="vol" localSheetId="4">iVaR!$B$14</definedName>
    <definedName name="vol" localSheetId="3">MVaR!$B$14</definedName>
    <definedName name="vol" localSheetId="10">[5]MVaR!$B$14</definedName>
    <definedName name="vol">#REF!</definedName>
    <definedName name="volmat" localSheetId="11">[11]VaR4!$M$52:$Q$56</definedName>
    <definedName name="volmat">[12]VaR4!$M$52:$Q$56</definedName>
    <definedName name="vols" localSheetId="11">[11]VaR4!$J$52:$J$56</definedName>
    <definedName name="vols">[12]VaR4!$J$52:$J$56</definedName>
    <definedName name="vols_" localSheetId="11">[11]VaR4!$M$49:$Q$49</definedName>
    <definedName name="vols_">[12]VaR4!$M$49:$Q$49</definedName>
    <definedName name="w" localSheetId="4">iVaR!$F$7:$F$8</definedName>
    <definedName name="w" localSheetId="3">MVaR!$F$7:$F$8</definedName>
    <definedName name="w" localSheetId="10">[5]MVaR!$F$7:$F$8</definedName>
    <definedName name="w">#REF!</definedName>
    <definedName name="weight" localSheetId="11">[24]CreditMatrix_Weighted!$F$10:$F$109</definedName>
    <definedName name="weight">[25]CreditMatrix_Weighted!$F$10:$F$109</definedName>
    <definedName name="weights" localSheetId="11">[1]VaR3!$C$55:$C$59</definedName>
    <definedName name="weights">[2]VaR3!$C$55:$C$59</definedName>
    <definedName name="X" localSheetId="8">#REF!</definedName>
    <definedName name="X" localSheetId="11">#REF!</definedName>
    <definedName name="X" localSheetId="7">#REF!</definedName>
    <definedName name="x" localSheetId="4">iVaR!$B$7:$B$8</definedName>
    <definedName name="x" localSheetId="3">MVaR!$B$7:$B$8</definedName>
    <definedName name="x" localSheetId="10">[5]MVaR!$B$7:$B$8</definedName>
    <definedName name="X">#REF!</definedName>
    <definedName name="X_e_rt" localSheetId="11">[6]A4_1!$C$18:$E$18</definedName>
    <definedName name="X_e_rt">[7]A4_1!$C$18:$E$18</definedName>
    <definedName name="x0">iVaR!$C$7:$C$8</definedName>
    <definedName name="x0_">iVaR!$C$7:$C$8</definedName>
    <definedName name="x1_">iVaR!$D$7:$D$8</definedName>
    <definedName name="x2_">iVaR!$E$7:$E$8</definedName>
    <definedName name="y" localSheetId="11">#REF!</definedName>
    <definedName name="y">#REF!</definedName>
    <definedName name="y_ctd">[13]A4_2_1!$C$19</definedName>
    <definedName name="years" localSheetId="11">#REF!</definedName>
    <definedName name="years">#REF!</definedName>
    <definedName name="Years_F">[13]A4_2_1!$C$23</definedName>
    <definedName name="YTM" localSheetId="8">#REF!</definedName>
    <definedName name="YTM" localSheetId="7">#REF!</definedName>
    <definedName name="YTM">#REF!</definedName>
    <definedName name="YTM_rf" localSheetId="8">#REF!</definedName>
    <definedName name="YTM_rf" localSheetId="7">#REF!</definedName>
    <definedName name="YTM_rf">#REF!</definedName>
    <definedName name="z" localSheetId="4">iVaR!$H$7</definedName>
    <definedName name="z" localSheetId="3">MVaR!$H$7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" i="46" l="1" a="1"/>
  <c r="B18" i="46" s="1"/>
  <c r="B11" i="46" a="1"/>
  <c r="B11" i="46" s="1"/>
  <c r="B14" i="46" s="1" a="1"/>
  <c r="B14" i="46" s="1"/>
  <c r="H11" i="46" s="1"/>
  <c r="E4" i="46"/>
  <c r="F7" i="46" s="1" a="1"/>
  <c r="F7" i="46" s="1"/>
  <c r="J16" i="45"/>
  <c r="J15" i="45"/>
  <c r="E8" i="45"/>
  <c r="D8" i="45"/>
  <c r="E7" i="45"/>
  <c r="D7" i="45"/>
  <c r="B7" i="45" a="1"/>
  <c r="I11" i="46" l="1"/>
  <c r="F8" i="46"/>
  <c r="F17" i="46" s="1" a="1"/>
  <c r="B17" i="46"/>
  <c r="B21" i="46" s="1" a="1"/>
  <c r="B7" i="45"/>
  <c r="B8" i="45"/>
  <c r="B21" i="46" l="1"/>
  <c r="B22" i="46"/>
  <c r="F18" i="46"/>
  <c r="F17" i="46"/>
  <c r="B17" i="45" a="1"/>
  <c r="B11" i="45" a="1"/>
  <c r="B11" i="45" s="1"/>
  <c r="B14" i="45" s="1" a="1"/>
  <c r="B14" i="45" s="1"/>
  <c r="H11" i="45" s="1"/>
  <c r="E4" i="45"/>
  <c r="I21" i="46" l="1" a="1"/>
  <c r="I22" i="46" s="1"/>
  <c r="F11" i="46" a="1"/>
  <c r="F11" i="46" s="1"/>
  <c r="F14" i="46" s="1"/>
  <c r="I13" i="45"/>
  <c r="I11" i="45"/>
  <c r="B18" i="45"/>
  <c r="B17" i="45"/>
  <c r="F7" i="45" a="1"/>
  <c r="I21" i="46" l="1"/>
  <c r="F21" i="46" a="1"/>
  <c r="B21" i="45" a="1"/>
  <c r="B22" i="45" s="1"/>
  <c r="F8" i="45"/>
  <c r="F7" i="45"/>
  <c r="F21" i="46" l="1"/>
  <c r="F22" i="46"/>
  <c r="B21" i="45"/>
  <c r="I21" i="45" s="1" a="1"/>
  <c r="I22" i="45" s="1"/>
  <c r="F17" i="45" a="1"/>
  <c r="I21" i="45" l="1"/>
  <c r="F17" i="45"/>
  <c r="F18" i="45"/>
  <c r="F11" i="45" l="1" a="1"/>
  <c r="F11" i="45" s="1"/>
  <c r="F14" i="45" s="1"/>
  <c r="F21" i="45" l="1" a="1"/>
  <c r="F21" i="45" s="1"/>
  <c r="F22" i="45" l="1"/>
</calcChain>
</file>

<file path=xl/sharedStrings.xml><?xml version="1.0" encoding="utf-8"?>
<sst xmlns="http://schemas.openxmlformats.org/spreadsheetml/2006/main" count="121" uniqueCount="96">
  <si>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</si>
  <si>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</si>
  <si>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</si>
  <si>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</si>
  <si>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</si>
  <si>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</si>
  <si>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</si>
  <si>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</si>
  <si>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</si>
  <si>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</si>
  <si>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</si>
  <si>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May or may not have exchange of principal</t>
  </si>
  <si>
    <t>Can be priced using covered interest parity</t>
  </si>
  <si>
    <t>Like long dated FX forwards but instead of two zero coupon bonds interest is exchanged periodically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</si>
  <si>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</si>
  <si>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</si>
  <si>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</si>
  <si>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</si>
  <si>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</si>
  <si>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</si>
  <si>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</si>
  <si>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Interest Rate Swaps</t>
  </si>
  <si>
    <t>You and I swap one set of cash flows for another</t>
  </si>
  <si>
    <t>Just what it sounds like</t>
  </si>
  <si>
    <t>Swaps</t>
  </si>
  <si>
    <t>Review</t>
  </si>
  <si>
    <t>Homework</t>
  </si>
  <si>
    <t>Case Study</t>
  </si>
  <si>
    <t>Credit Risk</t>
  </si>
  <si>
    <t>Introduce Marginal VaR</t>
  </si>
  <si>
    <t>Wrap up Market Risk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</si>
  <si>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</si>
  <si>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</si>
  <si>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</si>
  <si>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</si>
  <si>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</si>
  <si>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</si>
  <si>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</si>
  <si>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</si>
  <si>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</si>
  <si>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</si>
  <si>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</si>
  <si>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</si>
  <si>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</si>
  <si>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x0</t>
  </si>
  <si>
    <t>x0_</t>
  </si>
  <si>
    <t>x1_</t>
  </si>
  <si>
    <t>x2_</t>
  </si>
  <si>
    <t>You have 3 major asset classes</t>
  </si>
  <si>
    <t>VaR observed at 95%</t>
  </si>
  <si>
    <t>Notional Value</t>
  </si>
  <si>
    <t>Vol</t>
  </si>
  <si>
    <t>Answer either of the following (the results may not match).</t>
  </si>
  <si>
    <t>What is the marginal VaR?</t>
  </si>
  <si>
    <t>What is the incremental VaR?</t>
  </si>
  <si>
    <t xml:space="preserve">Homework </t>
  </si>
  <si>
    <t>Incremental VaR</t>
  </si>
  <si>
    <t>You only need to submit half the time.  Please only submit if you have something thoughtful or researched.</t>
  </si>
  <si>
    <t>FRTB</t>
  </si>
  <si>
    <t>Concepts, demonstrations, and Case Study.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</si>
  <si>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</si>
  <si>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</si>
  <si>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</si>
  <si>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</si>
  <si>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</si>
  <si>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</si>
  <si>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</si>
  <si>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</si>
  <si>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</si>
  <si>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</si>
  <si>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</si>
  <si>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</si>
  <si>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</si>
  <si>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</si>
  <si>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</si>
  <si>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</si>
  <si>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</si>
  <si>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</si>
  <si>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</si>
  <si>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</si>
  <si>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</si>
  <si>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</si>
  <si>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</si>
  <si>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</si>
  <si>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</si>
  <si>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</si>
  <si>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</si>
  <si>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</si>
  <si>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Introduce FRTB</t>
  </si>
  <si>
    <t>Textbook:</t>
  </si>
  <si>
    <t>Risk Management and Financial Institutions</t>
  </si>
  <si>
    <t>Ch 18.2 p417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</si>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</sst>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0"/>
  </numFmts>
  <fonts count="1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6"/>
      <name val="Calibri"/>
      <family val="2"/>
      <scheme val="minor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164" fontId="1" fillId="2" borderId="0" xfId="5" applyNumberFormat="1" applyFont="1" applyFill="1"/>
    <xf numFmtId="0" fontId="1" fillId="4" borderId="0" xfId="5" applyFont="1" applyFill="1"/>
    <xf numFmtId="10" fontId="1" fillId="4" borderId="0" xfId="6" applyNumberFormat="1" applyFont="1" applyFill="1"/>
    <xf numFmtId="10" fontId="1" fillId="2" borderId="0" xfId="6" applyNumberFormat="1" applyFont="1" applyFill="1"/>
    <xf numFmtId="0" fontId="8" fillId="2" borderId="0" xfId="5" applyFont="1" applyFill="1"/>
    <xf numFmtId="2" fontId="1" fillId="4" borderId="0" xfId="5" applyNumberFormat="1" applyFont="1" applyFill="1"/>
    <xf numFmtId="0" fontId="1" fillId="2" borderId="1" xfId="5" applyFont="1" applyFill="1" applyBorder="1" applyAlignment="1">
      <alignment horizontal="right"/>
    </xf>
    <xf numFmtId="0" fontId="1" fillId="2" borderId="2" xfId="5" applyFont="1" applyFill="1" applyBorder="1" applyAlignment="1">
      <alignment horizontal="right"/>
    </xf>
    <xf numFmtId="0" fontId="1" fillId="2" borderId="3" xfId="5" applyFont="1" applyFill="1" applyBorder="1" applyAlignment="1">
      <alignment horizontal="right"/>
    </xf>
    <xf numFmtId="0" fontId="1" fillId="2" borderId="7" xfId="5" applyFont="1" applyFill="1" applyBorder="1"/>
    <xf numFmtId="0" fontId="1" fillId="2" borderId="8" xfId="5" applyFont="1" applyFill="1" applyBorder="1"/>
    <xf numFmtId="0" fontId="1" fillId="2" borderId="4" xfId="5" applyFont="1" applyFill="1" applyBorder="1"/>
    <xf numFmtId="0" fontId="1" fillId="2" borderId="5" xfId="5" applyFont="1" applyFill="1" applyBorder="1"/>
    <xf numFmtId="0" fontId="1" fillId="2" borderId="6" xfId="5" applyFont="1" applyFill="1" applyBorder="1"/>
    <xf numFmtId="0" fontId="11" fillId="2" borderId="0" xfId="1" applyFont="1" applyFill="1"/>
    <xf numFmtId="9" fontId="11" fillId="2" borderId="0" xfId="1" applyNumberFormat="1" applyFont="1" applyFill="1"/>
    <xf numFmtId="9" fontId="11" fillId="2" borderId="0" xfId="6" applyFont="1" applyFill="1"/>
    <xf numFmtId="0" fontId="1" fillId="2" borderId="0" xfId="0" applyFont="1" applyFill="1" applyAlignment="1">
      <alignment wrapText="1"/>
    </xf>
    <xf numFmtId="0" fontId="12" fillId="3" borderId="0" xfId="1" applyFont="1" applyFill="1"/>
    <xf numFmtId="0" fontId="9" fillId="3" borderId="0" xfId="1" applyFont="1" applyFill="1"/>
    <xf numFmtId="0" fontId="13" fillId="3" borderId="0" xfId="1" applyFont="1" applyFill="1"/>
    <xf numFmtId="0" fontId="14" fillId="3" borderId="0" xfId="1" applyFont="1" applyFill="1"/>
  </cellXfs>
  <cellStyles count="8"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styles" Target="styles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Bond2"/>
      <sheetName val="Bond3"/>
      <sheetName val="InstallmentLoan"/>
      <sheetName val="Duration"/>
      <sheetName val="Dur2"/>
      <sheetName val="Curve0"/>
      <sheetName val="Remember"/>
    </sheetNames>
    <sheetDataSet>
      <sheetData sheetId="0"/>
      <sheetData sheetId="1" refreshError="1">
        <row r="4">
          <cell r="C4">
            <v>2000000</v>
          </cell>
        </row>
        <row r="6">
          <cell r="F6">
            <v>14</v>
          </cell>
        </row>
      </sheetData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xGu0L5g49S-_Yq2OUzEOt4ivUwmduudO" TargetMode="External"/><Relationship Id="rId1" Type="http://schemas.openxmlformats.org/officeDocument/2006/relationships/hyperlink" Target="https://drive.google.com/open?id=16jmI1LKhF2zv056TzJqzDKUYgYbDag8k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30</v>
      </c>
    </row>
    <row r="4" spans="2:3" x14ac:dyDescent="0.3">
      <c r="B4" s="1" t="s">
        <v>25</v>
      </c>
    </row>
    <row r="5" spans="2:3" x14ac:dyDescent="0.3">
      <c r="C5" s="1" t="s">
        <v>55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56</v>
      </c>
    </row>
    <row r="11" spans="2:3" x14ac:dyDescent="0.3">
      <c r="B11" s="1" t="s">
        <v>27</v>
      </c>
    </row>
    <row r="12" spans="2:3" x14ac:dyDescent="0.3">
      <c r="C12" s="1" t="s">
        <v>58</v>
      </c>
    </row>
    <row r="14" spans="2:3" x14ac:dyDescent="0.3">
      <c r="B14" s="1" t="s">
        <v>1</v>
      </c>
    </row>
    <row r="15" spans="2:3" x14ac:dyDescent="0.3">
      <c r="C15" s="1" t="s">
        <v>28</v>
      </c>
    </row>
    <row r="17" spans="2:3" x14ac:dyDescent="0.3">
      <c r="B17" s="1" t="s">
        <v>26</v>
      </c>
    </row>
    <row r="18" spans="2:3" x14ac:dyDescent="0.3">
      <c r="C18" s="1" t="s">
        <v>3</v>
      </c>
    </row>
    <row r="19" spans="2:3" x14ac:dyDescent="0.3">
      <c r="C19" s="1" t="s">
        <v>84</v>
      </c>
    </row>
    <row r="20" spans="2:3" x14ac:dyDescent="0.3">
      <c r="C20" s="1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29</v>
      </c>
    </row>
    <row r="3" spans="2:2" x14ac:dyDescent="0.3">
      <c r="B3" s="1" t="s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>
    <tabColor rgb="FFC00000"/>
  </sheetPr>
  <dimension ref="A1:T25"/>
  <sheetViews>
    <sheetView zoomScale="90" zoomScaleNormal="90" workbookViewId="0"/>
  </sheetViews>
  <sheetFormatPr baseColWidth="10" defaultColWidth="9.1640625" defaultRowHeight="15" x14ac:dyDescent="0.2"/>
  <cols>
    <col min="1" max="16384" width="9.1640625" style="3"/>
  </cols>
  <sheetData>
    <row r="1" spans="1:20" ht="26" x14ac:dyDescent="0.3">
      <c r="A1" s="2" t="s">
        <v>24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2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A4" s="2"/>
      <c r="B4" s="2" t="s">
        <v>23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A5" s="2"/>
      <c r="B5" s="2"/>
      <c r="C5" s="2" t="s">
        <v>22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A7" s="2"/>
      <c r="B7" s="2" t="s">
        <v>21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A8" s="2"/>
      <c r="B8" s="2"/>
      <c r="C8" s="2" t="s">
        <v>20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A9" s="2"/>
      <c r="B9" s="2"/>
      <c r="C9" s="2" t="s">
        <v>19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ht="26" x14ac:dyDescent="0.3">
      <c r="A10" s="2"/>
      <c r="B10" s="2"/>
      <c r="C10" s="2" t="s">
        <v>18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ht="26" x14ac:dyDescent="0.3">
      <c r="A11" s="2"/>
      <c r="B11" s="2"/>
      <c r="C11" s="2" t="s">
        <v>17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ht="26" x14ac:dyDescent="0.3">
      <c r="A12" s="2"/>
      <c r="B12" s="2"/>
      <c r="C12" s="2" t="s">
        <v>16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ht="26" x14ac:dyDescent="0.3">
      <c r="A13" s="2"/>
      <c r="B13" s="2"/>
      <c r="C13" s="2" t="s">
        <v>15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ht="26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ht="26" x14ac:dyDescent="0.3">
      <c r="A15" s="2"/>
      <c r="B15" s="2" t="s">
        <v>14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ht="26" x14ac:dyDescent="0.3">
      <c r="A16" s="2"/>
      <c r="B16" s="2"/>
      <c r="C16" s="2" t="s">
        <v>13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1:20" ht="26" x14ac:dyDescent="0.3">
      <c r="A17" s="2"/>
      <c r="B17" s="2"/>
      <c r="C17" s="2" t="s">
        <v>12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1:20" ht="26" x14ac:dyDescent="0.3">
      <c r="A18" s="2"/>
      <c r="B18" s="2"/>
      <c r="C18" s="2" t="s">
        <v>11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1:20" ht="26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1:20" ht="26" x14ac:dyDescent="0.3">
      <c r="A20" s="2"/>
      <c r="B20" s="2" t="s">
        <v>10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 ht="26" x14ac:dyDescent="0.3">
      <c r="C21" s="2" t="s">
        <v>9</v>
      </c>
    </row>
    <row r="22" spans="1:20" ht="26" x14ac:dyDescent="0.3">
      <c r="C22" s="2" t="s">
        <v>8</v>
      </c>
    </row>
    <row r="23" spans="1:20" ht="26" x14ac:dyDescent="0.3">
      <c r="C23" s="2" t="s">
        <v>7</v>
      </c>
    </row>
    <row r="24" spans="1:20" ht="26" x14ac:dyDescent="0.3">
      <c r="C24" s="2" t="s">
        <v>6</v>
      </c>
    </row>
    <row r="25" spans="1:20" ht="26" x14ac:dyDescent="0.3">
      <c r="C25" s="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>
    <tabColor rgb="FFFF0000"/>
  </sheetPr>
  <dimension ref="B2:I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5" width="10.83203125" style="5"/>
    <col min="6" max="6" width="13.33203125" style="5" bestFit="1" customWidth="1"/>
    <col min="7" max="7" width="10.83203125" style="5"/>
    <col min="8" max="9" width="13.33203125" style="5" bestFit="1" customWidth="1"/>
    <col min="10" max="16384" width="10.83203125" style="5"/>
  </cols>
  <sheetData>
    <row r="2" spans="2:9" x14ac:dyDescent="0.3">
      <c r="B2" s="6" t="s">
        <v>0</v>
      </c>
    </row>
    <row r="3" spans="2:9" x14ac:dyDescent="0.3">
      <c r="B3" s="7">
        <v>2.5000000000000001E-3</v>
      </c>
      <c r="C3" s="7">
        <v>0</v>
      </c>
      <c r="E3" s="5" t="s">
        <v>31</v>
      </c>
      <c r="H3" s="5" t="s">
        <v>32</v>
      </c>
    </row>
    <row r="4" spans="2:9" x14ac:dyDescent="0.3">
      <c r="B4" s="7">
        <v>0</v>
      </c>
      <c r="C4" s="7">
        <v>1.44E-2</v>
      </c>
      <c r="E4" s="5">
        <f>SUM(x)</f>
        <v>300</v>
      </c>
      <c r="H4" s="5">
        <v>0.95</v>
      </c>
    </row>
    <row r="6" spans="2:9" x14ac:dyDescent="0.3">
      <c r="B6" s="5" t="s">
        <v>33</v>
      </c>
      <c r="F6" s="5" t="s">
        <v>34</v>
      </c>
    </row>
    <row r="7" spans="2:9" x14ac:dyDescent="0.3">
      <c r="B7" s="8">
        <v>200</v>
      </c>
      <c r="F7" s="8">
        <f t="array" ref="F7:F8">x/Value</f>
        <v>0.66666666666666663</v>
      </c>
    </row>
    <row r="8" spans="2:9" x14ac:dyDescent="0.3">
      <c r="B8" s="8">
        <v>100</v>
      </c>
      <c r="F8" s="8">
        <v>0.33333333333333331</v>
      </c>
    </row>
    <row r="10" spans="2:9" x14ac:dyDescent="0.3">
      <c r="B10" s="5" t="s">
        <v>35</v>
      </c>
      <c r="F10" s="5" t="s">
        <v>36</v>
      </c>
      <c r="H10" s="5" t="s">
        <v>2</v>
      </c>
      <c r="I10" s="5" t="s">
        <v>37</v>
      </c>
    </row>
    <row r="11" spans="2:9" x14ac:dyDescent="0.3">
      <c r="B11" s="5">
        <f t="array" ref="B11">MMULT(MMULT(TRANSPOSE(x),covmat),x)</f>
        <v>244</v>
      </c>
      <c r="F11" s="9">
        <f t="array" ref="F11">MMULT(TRANSPOSE(w),Sw)</f>
        <v>2.7111111111111108E-3</v>
      </c>
      <c r="H11" s="5">
        <f>_xlfn.NORM.INV(alpha,0,vol)</f>
        <v>25.69343501362323</v>
      </c>
      <c r="I11" s="5">
        <f>VaR/Value</f>
        <v>8.5644783378744094E-2</v>
      </c>
    </row>
    <row r="13" spans="2:9" x14ac:dyDescent="0.3">
      <c r="B13" s="5" t="s">
        <v>38</v>
      </c>
      <c r="F13" s="5" t="s">
        <v>39</v>
      </c>
    </row>
    <row r="14" spans="2:9" x14ac:dyDescent="0.3">
      <c r="B14" s="5">
        <f t="array" ref="B14">SQRT(variance)</f>
        <v>15.620499351813308</v>
      </c>
      <c r="F14" s="10">
        <f>SQRT(variancePct)</f>
        <v>5.2068331172711028E-2</v>
      </c>
    </row>
    <row r="16" spans="2:9" x14ac:dyDescent="0.3">
      <c r="B16" s="11" t="s">
        <v>40</v>
      </c>
      <c r="F16" s="11" t="s">
        <v>41</v>
      </c>
    </row>
    <row r="17" spans="2:9" x14ac:dyDescent="0.3">
      <c r="B17" s="8">
        <f t="array" ref="B17:B18">MMULT(covmat,x)</f>
        <v>0.5</v>
      </c>
      <c r="F17" s="9">
        <f t="array" ref="F17:F18">MMULT(covmat,w)</f>
        <v>1.6666666666666666E-3</v>
      </c>
    </row>
    <row r="18" spans="2:9" x14ac:dyDescent="0.3">
      <c r="B18" s="8">
        <v>1.44</v>
      </c>
      <c r="F18" s="9">
        <v>4.7999999999999996E-3</v>
      </c>
    </row>
    <row r="20" spans="2:9" x14ac:dyDescent="0.3">
      <c r="B20" s="6" t="s">
        <v>42</v>
      </c>
      <c r="F20" s="6" t="s">
        <v>42</v>
      </c>
      <c r="I20" s="5" t="s">
        <v>43</v>
      </c>
    </row>
    <row r="21" spans="2:9" x14ac:dyDescent="0.3">
      <c r="B21" s="12">
        <f t="array" ref="B21:B22">Value*Sx/variance</f>
        <v>0.61475409836065575</v>
      </c>
      <c r="F21" s="12">
        <f t="array" ref="F21:F22">Sw/variancePct</f>
        <v>0.61475409836065575</v>
      </c>
      <c r="I21" s="7">
        <f t="array" ref="I21:I22">b*VaRPct</f>
        <v>5.26504815852935E-2</v>
      </c>
    </row>
    <row r="22" spans="2:9" x14ac:dyDescent="0.3">
      <c r="B22" s="12">
        <v>1.7704918032786885</v>
      </c>
      <c r="F22" s="12">
        <v>1.7704918032786887</v>
      </c>
      <c r="I22" s="7">
        <v>0.15163338696564527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>
    <tabColor rgb="FFFF0000"/>
  </sheetPr>
  <dimension ref="B2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5" width="10.83203125" style="5"/>
    <col min="6" max="6" width="13.33203125" style="5" bestFit="1" customWidth="1"/>
    <col min="7" max="7" width="10.83203125" style="5"/>
    <col min="8" max="9" width="13.33203125" style="5" bestFit="1" customWidth="1"/>
    <col min="10" max="10" width="10.83203125" style="5" customWidth="1"/>
    <col min="11" max="16384" width="10.83203125" style="5"/>
  </cols>
  <sheetData>
    <row r="2" spans="2:10" x14ac:dyDescent="0.3">
      <c r="B2" s="6" t="s">
        <v>0</v>
      </c>
    </row>
    <row r="3" spans="2:10" x14ac:dyDescent="0.3">
      <c r="B3" s="7">
        <v>2.5000000000000001E-3</v>
      </c>
      <c r="C3" s="7">
        <v>0</v>
      </c>
      <c r="E3" s="5" t="s">
        <v>31</v>
      </c>
      <c r="H3" s="5" t="s">
        <v>32</v>
      </c>
    </row>
    <row r="4" spans="2:10" x14ac:dyDescent="0.3">
      <c r="B4" s="7">
        <v>0</v>
      </c>
      <c r="C4" s="7">
        <v>1.44E-2</v>
      </c>
      <c r="E4" s="5">
        <f ca="1">SUM(x)</f>
        <v>300</v>
      </c>
      <c r="H4" s="5">
        <v>0.95</v>
      </c>
    </row>
    <row r="6" spans="2:10" x14ac:dyDescent="0.3">
      <c r="B6" s="5" t="s">
        <v>44</v>
      </c>
      <c r="C6" s="13" t="s">
        <v>45</v>
      </c>
      <c r="D6" s="14" t="s">
        <v>46</v>
      </c>
      <c r="E6" s="15" t="s">
        <v>47</v>
      </c>
      <c r="F6" s="5" t="s">
        <v>34</v>
      </c>
    </row>
    <row r="7" spans="2:10" x14ac:dyDescent="0.3">
      <c r="B7" s="8">
        <f t="array" aca="1" ref="B7:B8" ca="1">INDIRECT(B6)</f>
        <v>200</v>
      </c>
      <c r="C7" s="16">
        <v>200</v>
      </c>
      <c r="D7" s="5">
        <f>C7+1</f>
        <v>201</v>
      </c>
      <c r="E7" s="17">
        <f>C7</f>
        <v>200</v>
      </c>
      <c r="F7" s="8">
        <f t="array" aca="1" ref="F7:F8" ca="1">x/Value</f>
        <v>0.66666666666666663</v>
      </c>
    </row>
    <row r="8" spans="2:10" x14ac:dyDescent="0.3">
      <c r="B8" s="8">
        <f ca="1"/>
        <v>100</v>
      </c>
      <c r="C8" s="18">
        <v>100</v>
      </c>
      <c r="D8" s="19">
        <f>C8</f>
        <v>100</v>
      </c>
      <c r="E8" s="20">
        <f>C8+1</f>
        <v>101</v>
      </c>
      <c r="F8" s="8">
        <f ca="1"/>
        <v>0.33333333333333331</v>
      </c>
    </row>
    <row r="10" spans="2:10" x14ac:dyDescent="0.3">
      <c r="B10" s="5" t="s">
        <v>35</v>
      </c>
      <c r="F10" s="5" t="s">
        <v>36</v>
      </c>
      <c r="H10" s="5" t="s">
        <v>2</v>
      </c>
      <c r="I10" s="5" t="s">
        <v>37</v>
      </c>
    </row>
    <row r="11" spans="2:10" x14ac:dyDescent="0.3">
      <c r="B11" s="5">
        <f t="array" aca="1" ref="B11" ca="1">MMULT(MMULT(TRANSPOSE(x),covmat),x)</f>
        <v>244</v>
      </c>
      <c r="F11" s="9">
        <f t="array" aca="1" ref="F11" ca="1">MMULT(TRANSPOSE(w),Sw)</f>
        <v>2.7111111111111108E-3</v>
      </c>
      <c r="H11" s="5">
        <f ca="1">_xlfn.NORM.INV(alpha,0,vol)</f>
        <v>25.69343501362323</v>
      </c>
      <c r="I11" s="5">
        <f ca="1">VaR/Value</f>
        <v>8.5644783378744094E-2</v>
      </c>
    </row>
    <row r="13" spans="2:10" x14ac:dyDescent="0.3">
      <c r="B13" s="5" t="s">
        <v>38</v>
      </c>
      <c r="F13" s="5" t="s">
        <v>39</v>
      </c>
      <c r="I13" s="5">
        <f ca="1">VaR</f>
        <v>25.69343501362323</v>
      </c>
    </row>
    <row r="14" spans="2:10" x14ac:dyDescent="0.3">
      <c r="B14" s="5">
        <f t="array" aca="1" ref="B14" ca="1">SQRT(variance)</f>
        <v>15.620499351813308</v>
      </c>
      <c r="F14" s="10">
        <f ca="1">SQRT(variancePct)</f>
        <v>5.2068331172711028E-2</v>
      </c>
      <c r="H14" s="5" t="s">
        <v>45</v>
      </c>
      <c r="I14" s="5">
        <f t="dataTable" ref="I14:I16" dt2D="0" dtr="0" r1="B6" ca="1"/>
        <v>25.69343501362323</v>
      </c>
    </row>
    <row r="15" spans="2:10" x14ac:dyDescent="0.3">
      <c r="H15" s="5" t="s">
        <v>46</v>
      </c>
      <c r="I15" s="5">
        <v>25.74616301727329</v>
      </c>
      <c r="J15" s="7">
        <f>I15-I14</f>
        <v>5.2728003650059918E-2</v>
      </c>
    </row>
    <row r="16" spans="2:10" x14ac:dyDescent="0.3">
      <c r="B16" s="11" t="s">
        <v>40</v>
      </c>
      <c r="F16" s="11" t="s">
        <v>41</v>
      </c>
      <c r="H16" s="5" t="s">
        <v>47</v>
      </c>
      <c r="I16" s="5">
        <v>25.845377299873451</v>
      </c>
      <c r="J16" s="7">
        <f>I16-I14</f>
        <v>0.15194228625022177</v>
      </c>
    </row>
    <row r="17" spans="2:9" x14ac:dyDescent="0.3">
      <c r="B17" s="8">
        <f t="array" aca="1" ref="B17:B18" ca="1">MMULT(covmat,x)</f>
        <v>0.5</v>
      </c>
      <c r="F17" s="9">
        <f t="array" aca="1" ref="F17:F18" ca="1">MMULT(covmat,w)</f>
        <v>1.6666666666666666E-3</v>
      </c>
    </row>
    <row r="18" spans="2:9" x14ac:dyDescent="0.3">
      <c r="B18" s="8">
        <f ca="1"/>
        <v>1.44</v>
      </c>
      <c r="F18" s="9">
        <f ca="1"/>
        <v>4.7999999999999996E-3</v>
      </c>
    </row>
    <row r="20" spans="2:9" x14ac:dyDescent="0.3">
      <c r="B20" s="6" t="s">
        <v>42</v>
      </c>
      <c r="F20" s="6" t="s">
        <v>42</v>
      </c>
      <c r="I20" s="5" t="s">
        <v>43</v>
      </c>
    </row>
    <row r="21" spans="2:9" x14ac:dyDescent="0.3">
      <c r="B21" s="12">
        <f t="array" aca="1" ref="B21:B22" ca="1">Value*Sx/variance</f>
        <v>0.61475409836065575</v>
      </c>
      <c r="F21" s="12">
        <f t="array" aca="1" ref="F21:F22" ca="1">Sw/variancePct</f>
        <v>0.61475409836065575</v>
      </c>
      <c r="I21" s="7">
        <f t="array" aca="1" ref="I21:I22" ca="1">b*VaRPct</f>
        <v>5.26504815852935E-2</v>
      </c>
    </row>
    <row r="22" spans="2:9" x14ac:dyDescent="0.3">
      <c r="B22" s="12">
        <f ca="1"/>
        <v>1.7704918032786885</v>
      </c>
      <c r="F22" s="12">
        <f ca="1"/>
        <v>1.7704918032786887</v>
      </c>
      <c r="I22" s="7">
        <f ca="1"/>
        <v>0.15163338696564527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>
    <tabColor rgb="FFFF0000"/>
  </sheetPr>
  <dimension ref="B2:B1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58</v>
      </c>
    </row>
    <row r="3" spans="2:2" x14ac:dyDescent="0.3">
      <c r="B3" s="1" t="s">
        <v>59</v>
      </c>
    </row>
    <row r="4" spans="2:2" x14ac:dyDescent="0.3">
      <c r="B4" s="1" t="s">
        <v>89</v>
      </c>
    </row>
    <row r="5" spans="2:2" x14ac:dyDescent="0.3">
      <c r="B5" s="1" t="s">
        <v>90</v>
      </c>
    </row>
    <row r="6" spans="2:2" x14ac:dyDescent="0.3">
      <c r="B6" s="1" t="s">
        <v>91</v>
      </c>
    </row>
    <row r="8" spans="2:2" x14ac:dyDescent="0.3">
      <c r="B8" s="4" t="s">
        <v>61</v>
      </c>
    </row>
    <row r="9" spans="2:2" x14ac:dyDescent="0.3">
      <c r="B9" s="1" t="s">
        <v>60</v>
      </c>
    </row>
    <row r="10" spans="2:2" x14ac:dyDescent="0.3">
      <c r="B10" s="1" t="s">
        <v>89</v>
      </c>
    </row>
    <row r="11" spans="2:2" x14ac:dyDescent="0.3">
      <c r="B11" s="1" t="s">
        <v>90</v>
      </c>
    </row>
    <row r="12" spans="2:2" x14ac:dyDescent="0.3">
      <c r="B12" s="1" t="s">
        <v>92</v>
      </c>
    </row>
  </sheetData>
  <hyperlinks>
    <hyperlink ref="B8" r:id="rId1" display="FRTB" xr:uid="{45F1F9B9-ABFD-2E4C-A946-F68413619FB8}"/>
    <hyperlink ref="B2" r:id="rId2" xr:uid="{258DF317-4D40-EB43-A3FF-4475E129FFFE}"/>
  </hyperlink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>
    <tabColor rgb="FF00B050"/>
  </sheetPr>
  <dimension ref="B19:F24"/>
  <sheetViews>
    <sheetView topLeftCell="A6" workbookViewId="0"/>
  </sheetViews>
  <sheetFormatPr baseColWidth="10" defaultRowHeight="29" x14ac:dyDescent="0.35"/>
  <cols>
    <col min="1" max="16384" width="10.83203125" style="26"/>
  </cols>
  <sheetData>
    <row r="19" spans="2:6" x14ac:dyDescent="0.35">
      <c r="B19" s="25" t="s">
        <v>28</v>
      </c>
      <c r="C19" s="25"/>
      <c r="D19" s="25" t="s">
        <v>62</v>
      </c>
      <c r="E19" s="25"/>
      <c r="F19" s="25" t="s">
        <v>63</v>
      </c>
    </row>
    <row r="20" spans="2:6" x14ac:dyDescent="0.35">
      <c r="B20" s="26" t="s">
        <v>64</v>
      </c>
      <c r="D20" s="26" t="s">
        <v>65</v>
      </c>
      <c r="F20" s="26" t="s">
        <v>66</v>
      </c>
    </row>
    <row r="21" spans="2:6" x14ac:dyDescent="0.35">
      <c r="B21" s="26" t="s">
        <v>67</v>
      </c>
      <c r="D21" s="26" t="s">
        <v>68</v>
      </c>
      <c r="F21" s="26" t="s">
        <v>69</v>
      </c>
    </row>
    <row r="22" spans="2:6" x14ac:dyDescent="0.35">
      <c r="B22" s="26" t="s">
        <v>70</v>
      </c>
      <c r="D22" s="26" t="s">
        <v>71</v>
      </c>
    </row>
    <row r="23" spans="2:6" x14ac:dyDescent="0.35">
      <c r="D23" s="26" t="s">
        <v>72</v>
      </c>
    </row>
    <row r="24" spans="2:6" x14ac:dyDescent="0.35">
      <c r="D24" s="26" t="s">
        <v>73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27"/>
  </cols>
  <sheetData>
    <row r="2" spans="2:2" x14ac:dyDescent="1">
      <c r="B2" s="27" t="s">
        <v>74</v>
      </c>
    </row>
    <row r="4" spans="2:2" x14ac:dyDescent="1">
      <c r="B4" s="27" t="s">
        <v>75</v>
      </c>
    </row>
    <row r="18" spans="2:6" x14ac:dyDescent="1">
      <c r="B18" s="28"/>
      <c r="C18" s="28"/>
      <c r="D18" s="28"/>
      <c r="E18" s="28"/>
      <c r="F18" s="2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26"/>
  </cols>
  <sheetData>
    <row r="2" spans="2:3" x14ac:dyDescent="0.35">
      <c r="B2" s="26" t="s">
        <v>76</v>
      </c>
    </row>
    <row r="5" spans="2:3" x14ac:dyDescent="0.35">
      <c r="B5" s="26" t="s">
        <v>77</v>
      </c>
    </row>
    <row r="6" spans="2:3" x14ac:dyDescent="0.35">
      <c r="C6" s="26" t="s">
        <v>95</v>
      </c>
    </row>
    <row r="7" spans="2:3" x14ac:dyDescent="0.35">
      <c r="C7" s="26" t="s">
        <v>78</v>
      </c>
    </row>
    <row r="8" spans="2:3" x14ac:dyDescent="0.35">
      <c r="C8" s="26" t="s">
        <v>79</v>
      </c>
    </row>
    <row r="10" spans="2:3" x14ac:dyDescent="0.35">
      <c r="B10" s="26" t="s">
        <v>80</v>
      </c>
    </row>
    <row r="11" spans="2:3" x14ac:dyDescent="0.35">
      <c r="C11" s="26" t="s">
        <v>81</v>
      </c>
    </row>
    <row r="12" spans="2:3" x14ac:dyDescent="0.35">
      <c r="C12" s="26" t="s">
        <v>82</v>
      </c>
    </row>
    <row r="13" spans="2:3" x14ac:dyDescent="0.35">
      <c r="C13" s="26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86</v>
      </c>
    </row>
    <row r="3" spans="2:2" x14ac:dyDescent="0.3">
      <c r="B3" s="1" t="s">
        <v>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>
    <tabColor rgb="FFFFFF00"/>
  </sheetPr>
  <dimension ref="A4:F16"/>
  <sheetViews>
    <sheetView zoomScaleNormal="100" workbookViewId="0"/>
  </sheetViews>
  <sheetFormatPr baseColWidth="10" defaultColWidth="12.83203125" defaultRowHeight="21" x14ac:dyDescent="0.25"/>
  <cols>
    <col min="1" max="1" width="3.83203125" style="21" customWidth="1"/>
    <col min="2" max="2" width="35.1640625" style="21" bestFit="1" customWidth="1"/>
    <col min="3" max="3" width="5.6640625" style="21" bestFit="1" customWidth="1"/>
    <col min="4" max="4" width="13.5" style="21" bestFit="1" customWidth="1"/>
    <col min="5" max="6" width="7" style="21" bestFit="1" customWidth="1"/>
    <col min="7" max="16384" width="12.83203125" style="21"/>
  </cols>
  <sheetData>
    <row r="4" spans="1:6" x14ac:dyDescent="0.25">
      <c r="B4" s="21" t="s">
        <v>48</v>
      </c>
    </row>
    <row r="5" spans="1:6" x14ac:dyDescent="0.25">
      <c r="B5" s="21" t="s">
        <v>49</v>
      </c>
    </row>
    <row r="8" spans="1:6" x14ac:dyDescent="0.25">
      <c r="D8" s="21" t="s">
        <v>4</v>
      </c>
    </row>
    <row r="9" spans="1:6" x14ac:dyDescent="0.25">
      <c r="B9" s="21" t="s">
        <v>50</v>
      </c>
      <c r="C9" s="21" t="s">
        <v>51</v>
      </c>
      <c r="D9" s="21">
        <v>1</v>
      </c>
      <c r="E9" s="21">
        <v>2</v>
      </c>
      <c r="F9" s="21">
        <v>3</v>
      </c>
    </row>
    <row r="10" spans="1:6" x14ac:dyDescent="0.25">
      <c r="A10" s="21">
        <v>1</v>
      </c>
      <c r="B10" s="21">
        <v>500</v>
      </c>
      <c r="C10" s="22">
        <v>0.1</v>
      </c>
      <c r="D10" s="23">
        <v>1</v>
      </c>
      <c r="E10" s="23">
        <v>0.5</v>
      </c>
      <c r="F10" s="23">
        <v>-0.1</v>
      </c>
    </row>
    <row r="11" spans="1:6" x14ac:dyDescent="0.25">
      <c r="A11" s="21">
        <v>2</v>
      </c>
      <c r="B11" s="21">
        <v>200</v>
      </c>
      <c r="C11" s="22">
        <v>0.2</v>
      </c>
      <c r="D11" s="23">
        <v>0.5</v>
      </c>
      <c r="E11" s="23">
        <v>1</v>
      </c>
      <c r="F11" s="23">
        <v>0.5</v>
      </c>
    </row>
    <row r="12" spans="1:6" x14ac:dyDescent="0.25">
      <c r="A12" s="21">
        <v>3</v>
      </c>
      <c r="B12" s="21">
        <v>300</v>
      </c>
      <c r="C12" s="22">
        <v>0.3</v>
      </c>
      <c r="D12" s="23">
        <v>-0.1</v>
      </c>
      <c r="E12" s="23">
        <v>0.5</v>
      </c>
      <c r="F12" s="23">
        <v>1</v>
      </c>
    </row>
    <row r="14" spans="1:6" x14ac:dyDescent="0.25">
      <c r="B14" s="21" t="s">
        <v>52</v>
      </c>
    </row>
    <row r="15" spans="1:6" x14ac:dyDescent="0.25">
      <c r="B15" s="21" t="s">
        <v>53</v>
      </c>
    </row>
    <row r="16" spans="1:6" x14ac:dyDescent="0.25">
      <c r="B16" s="21" t="s">
        <v>54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>
    <tabColor rgb="FFFFFF00"/>
  </sheetPr>
  <dimension ref="B2:B6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24" t="s">
        <v>93</v>
      </c>
    </row>
    <row r="3" spans="2:2" x14ac:dyDescent="0.3">
      <c r="B3" s="24"/>
    </row>
    <row r="4" spans="2:2" x14ac:dyDescent="0.3">
      <c r="B4" s="1" t="s">
        <v>57</v>
      </c>
    </row>
    <row r="6" spans="2:2" x14ac:dyDescent="0.3">
      <c r="B6" s="1" t="s">
        <v>94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32</vt:i4>
      </vt:variant>
    </vt:vector>
  </HeadingPairs>
  <TitlesOfParts>
    <vt:vector size="44" baseType="lpstr">
      <vt:lpstr>Today</vt:lpstr>
      <vt:lpstr>Objectives</vt:lpstr>
      <vt:lpstr>Swaps</vt:lpstr>
      <vt:lpstr>MVaR</vt:lpstr>
      <vt:lpstr>iVaR</vt:lpstr>
      <vt:lpstr>FRTB</vt:lpstr>
      <vt:lpstr>CreditRisk</vt:lpstr>
      <vt:lpstr>ELoss</vt:lpstr>
      <vt:lpstr>CashVsProfit</vt:lpstr>
      <vt:lpstr>Prework4NextClass</vt:lpstr>
      <vt:lpstr>Q1_MVaR</vt:lpstr>
      <vt:lpstr>DiscussionQuestion</vt:lpstr>
      <vt:lpstr>iVaR!alpha</vt:lpstr>
      <vt:lpstr>MVaR!alpha</vt:lpstr>
      <vt:lpstr>iVaR!b</vt:lpstr>
      <vt:lpstr>MVaR!b</vt:lpstr>
      <vt:lpstr>iVaR!covmat</vt:lpstr>
      <vt:lpstr>MVaR!covmat</vt:lpstr>
      <vt:lpstr>iVaR!Sw</vt:lpstr>
      <vt:lpstr>MVaR!Sw</vt:lpstr>
      <vt:lpstr>iVaR!Sx</vt:lpstr>
      <vt:lpstr>MVaR!Sx</vt:lpstr>
      <vt:lpstr>iVaR!Value</vt:lpstr>
      <vt:lpstr>MVaR!Value</vt:lpstr>
      <vt:lpstr>iVaR!VaR</vt:lpstr>
      <vt:lpstr>MVaR!VaR</vt:lpstr>
      <vt:lpstr>iVaR!variance</vt:lpstr>
      <vt:lpstr>MVaR!variance</vt:lpstr>
      <vt:lpstr>iVaR!variancePct</vt:lpstr>
      <vt:lpstr>MVaR!variancePct</vt:lpstr>
      <vt:lpstr>iVaR!VaRPct</vt:lpstr>
      <vt:lpstr>MVaR!VaRPct</vt:lpstr>
      <vt:lpstr>iVaR!vol</vt:lpstr>
      <vt:lpstr>MVaR!vol</vt:lpstr>
      <vt:lpstr>iVaR!w</vt:lpstr>
      <vt:lpstr>MVaR!w</vt:lpstr>
      <vt:lpstr>iVaR!x</vt:lpstr>
      <vt:lpstr>MVaR!x</vt:lpstr>
      <vt:lpstr>x0</vt:lpstr>
      <vt:lpstr>x0_</vt:lpstr>
      <vt:lpstr>x1_</vt:lpstr>
      <vt:lpstr>x2_</vt:lpstr>
      <vt:lpstr>iVaR!z</vt:lpstr>
      <vt:lpstr>MVaR!z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2018-10-10T15:42:26Z</dcterms:created>
  <dcterms:modified xsi:type="dcterms:W3CDTF">2022-01-14T14:03:51Z</dcterms:modified>
</cp:coreProperties>
</file>