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1"/>
  <workbookPr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8_{64F76705-0849-3847-AAAC-95F2D0E510E3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Class9" sheetId="32" r:id="rId1"/>
    <sheet name="LiquidityRiskManagement" sheetId="33" r:id="rId2"/>
    <sheet name="Definition" sheetId="38" r:id="rId3"/>
    <sheet name="Basel III" sheetId="36" r:id="rId4"/>
    <sheet name="Basel III LCR" sheetId="37" r:id="rId5"/>
    <sheet name="Basel III NSFR" sheetId="46" r:id="rId6"/>
    <sheet name="Basel III NSFR Example" sheetId="39" r:id="rId7"/>
    <sheet name="Laddering" sheetId="45" r:id="rId8"/>
    <sheet name="Matz_Ch4" sheetId="34" r:id="rId9"/>
    <sheet name="Matz_Ch4_TextExample" sheetId="35" r:id="rId10"/>
    <sheet name="Homework" sheetId="47" r:id="rId11"/>
    <sheet name="Q1_FundingMix" sheetId="26" r:id="rId12"/>
    <sheet name="Q1_FundingMixCalcs" sheetId="30" r:id="rId13"/>
    <sheet name="LCR" sheetId="40" r:id="rId14"/>
    <sheet name="LCR_Calc" sheetId="41" r:id="rId15"/>
    <sheet name="NSFR" sheetId="42" r:id="rId16"/>
    <sheet name="ASF" sheetId="43" r:id="rId17"/>
    <sheet name="RSF" sheetId="44" r:id="rId18"/>
  </sheets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</externalReferences>
  <definedNames>
    <definedName name="a" localSheetId="16">#REF!</definedName>
    <definedName name="a" localSheetId="0">[1]Liquidity1!$B$7:$B$23</definedName>
    <definedName name="a" localSheetId="7">[2]Liquidity_VaR!$B$7:$B$23</definedName>
    <definedName name="a" localSheetId="14">#REF!</definedName>
    <definedName name="a" localSheetId="17">#REF!</definedName>
    <definedName name="a">#REF!</definedName>
    <definedName name="AccrualPMT" localSheetId="0">[3]PD2Spread!$I$23:$I$27</definedName>
    <definedName name="AccrualPMT">[4]CDS!$I$21:$I$25</definedName>
    <definedName name="alan">[5]Excel!$C$10</definedName>
    <definedName name="alpha" localSheetId="16">#REF!</definedName>
    <definedName name="alpha" localSheetId="0">[1]Liquidity1!$G$28</definedName>
    <definedName name="alpha" localSheetId="7">[2]Liquidity_VaR!$G$28</definedName>
    <definedName name="alpha" localSheetId="14">#REF!</definedName>
    <definedName name="alpha" localSheetId="17">#REF!</definedName>
    <definedName name="alpha">#REF!</definedName>
    <definedName name="bid" localSheetId="16">#REF!</definedName>
    <definedName name="bid" localSheetId="0">[1]Liquidity1!$C$7:$C$23</definedName>
    <definedName name="bid" localSheetId="7">[2]Liquidity_VaR!$C$7:$C$23</definedName>
    <definedName name="bid" localSheetId="14">#REF!</definedName>
    <definedName name="bid" localSheetId="17">#REF!</definedName>
    <definedName name="bid">#REF!</definedName>
    <definedName name="Bond_Value" localSheetId="16">#REF!</definedName>
    <definedName name="Bond_Value" localSheetId="0">#REF!</definedName>
    <definedName name="Bond_Value" localSheetId="7">#REF!</definedName>
    <definedName name="Bond_Value" localSheetId="14">#REF!</definedName>
    <definedName name="Bond_Value" localSheetId="17">#REF!</definedName>
    <definedName name="Bond_Value">#REF!</definedName>
    <definedName name="Bond_Value_">#REF!</definedName>
    <definedName name="C_">[6]OptionsHW!$C$20:$E$20</definedName>
    <definedName name="Cd">[7]Options2!#REF!</definedName>
    <definedName name="Change">[5]VaR0!#REF!</definedName>
    <definedName name="CI">#REF!</definedName>
    <definedName name="CI_lo">#REF!</definedName>
    <definedName name="contracts">[6]OptionsHW!$C$26:$E$26</definedName>
    <definedName name="CouponPmt" localSheetId="16">#REF!</definedName>
    <definedName name="CouponPmt" localSheetId="0">#REF!</definedName>
    <definedName name="CouponPmt" localSheetId="7">#REF!</definedName>
    <definedName name="CouponPmt" localSheetId="14">#REF!</definedName>
    <definedName name="CouponPmt" localSheetId="17">#REF!</definedName>
    <definedName name="CouponPmt">#REF!</definedName>
    <definedName name="CouponRate" localSheetId="16">#REF!</definedName>
    <definedName name="CouponRate" localSheetId="0">#REF!</definedName>
    <definedName name="CouponRate" localSheetId="7">#REF!</definedName>
    <definedName name="CouponRate" localSheetId="14">#REF!</definedName>
    <definedName name="CouponRate" localSheetId="17">#REF!</definedName>
    <definedName name="CouponRate">#REF!</definedName>
    <definedName name="Cu">[7]Options2!#REF!</definedName>
    <definedName name="d">[7]Options2!$C$7</definedName>
    <definedName name="d1_">#REF!</definedName>
    <definedName name="d2_">#REF!</definedName>
    <definedName name="dollar_rate">[8]FX_Intro!$C$67</definedName>
    <definedName name="Eloss" localSheetId="0">[3]Spread2PD!$C$18</definedName>
    <definedName name="Eloss">[4]Spread2PD!$C$16</definedName>
    <definedName name="Epayoff" localSheetId="0">[3]PD2Spread!$E$23:$E$27</definedName>
    <definedName name="Epayoff">[4]CDS!$E$21:$E$25</definedName>
    <definedName name="Face" localSheetId="16">#REF!</definedName>
    <definedName name="Face" localSheetId="0">#REF!</definedName>
    <definedName name="Face" localSheetId="7">#REF!</definedName>
    <definedName name="Face" localSheetId="14">#REF!</definedName>
    <definedName name="Face" localSheetId="17">#REF!</definedName>
    <definedName name="Face">#REF!</definedName>
    <definedName name="forward_rate">[8]FX_Intro!$C$68</definedName>
    <definedName name="Frequency" localSheetId="16">#REF!</definedName>
    <definedName name="Frequency" localSheetId="0">#REF!</definedName>
    <definedName name="Frequency" localSheetId="7">#REF!</definedName>
    <definedName name="Frequency" localSheetId="14">#REF!</definedName>
    <definedName name="Frequency" localSheetId="17">#REF!</definedName>
    <definedName name="Frequency">#REF!</definedName>
    <definedName name="hazard" localSheetId="0">[3]PD2Spread!$B$9:$B$9</definedName>
    <definedName name="hazard">[4]CDS!$B$7:$B$7</definedName>
    <definedName name="K">[6]OptionsHW!$C$3</definedName>
    <definedName name="Loss" localSheetId="0">[3]Spread2PD!$E$41:$E$46</definedName>
    <definedName name="Loss">[4]Spread2PD!$E$40:$E$44</definedName>
    <definedName name="loss_30">#REF!</definedName>
    <definedName name="loss_t">#REF!</definedName>
    <definedName name="lossAmount" localSheetId="0">[3]Spread2PD!$G$47</definedName>
    <definedName name="lossAmount">[4]Spread2PD!$G$45</definedName>
    <definedName name="Mean">#REF!</definedName>
    <definedName name="midprice" localSheetId="16">#REF!</definedName>
    <definedName name="midprice" localSheetId="0">[1]Liquidity1!$E$7:$E$23</definedName>
    <definedName name="midprice" localSheetId="7">[2]Liquidity_VaR!$E$7:$E$23</definedName>
    <definedName name="midprice" localSheetId="14">#REF!</definedName>
    <definedName name="midprice" localSheetId="17">#REF!</definedName>
    <definedName name="midprice">#REF!</definedName>
    <definedName name="mu" localSheetId="16">#REF!</definedName>
    <definedName name="mu" localSheetId="0">[1]Liquidity1!$G$25</definedName>
    <definedName name="mu" localSheetId="7">[2]Liquidity_VaR!$G$25</definedName>
    <definedName name="mu" localSheetId="14">#REF!</definedName>
    <definedName name="mu" localSheetId="17">#REF!</definedName>
    <definedName name="mu">#REF!</definedName>
    <definedName name="n" localSheetId="16">#REF!</definedName>
    <definedName name="n" localSheetId="0">#REF!</definedName>
    <definedName name="n" localSheetId="7">#REF!</definedName>
    <definedName name="n" localSheetId="14">#REF!</definedName>
    <definedName name="n" localSheetId="17">#REF!</definedName>
    <definedName name="n">#REF!</definedName>
    <definedName name="n_" localSheetId="16">#REF!</definedName>
    <definedName name="n_" localSheetId="0">[6]Date0Check1!$H$4:$H$23</definedName>
    <definedName name="n_" localSheetId="7">#REF!</definedName>
    <definedName name="n_" localSheetId="14">#REF!</definedName>
    <definedName name="n_" localSheetId="17">#REF!</definedName>
    <definedName name="n_">#REF!</definedName>
    <definedName name="N__d1">[6]OptionsHW!$C$14:$E$14</definedName>
    <definedName name="N__d2">[6]OptionsHW!$C$15:$E$15</definedName>
    <definedName name="N_d1">[6]OptionsHW!$C$12:$E$12</definedName>
    <definedName name="N_d2">[6]OptionsHW!$C$13:$E$13</definedName>
    <definedName name="notional">[6]OptionsHW!$C$25:$E$25</definedName>
    <definedName name="offer" localSheetId="16">#REF!</definedName>
    <definedName name="offer" localSheetId="0">[1]Liquidity1!$D$7:$D$23</definedName>
    <definedName name="offer" localSheetId="7">[2]Liquidity_VaR!$D$7:$D$23</definedName>
    <definedName name="offer" localSheetId="14">#REF!</definedName>
    <definedName name="offer" localSheetId="17">#REF!</definedName>
    <definedName name="offer">#REF!</definedName>
    <definedName name="p">[9]Bond!$F$6</definedName>
    <definedName name="PD" localSheetId="0">[3]PD2Spread!$C$23:$C$27</definedName>
    <definedName name="PD">[4]CDS!$C$21:$C$25</definedName>
    <definedName name="Period" localSheetId="16">#REF!</definedName>
    <definedName name="Period" localSheetId="0">#REF!</definedName>
    <definedName name="Period" localSheetId="7">#REF!</definedName>
    <definedName name="Period" localSheetId="14">#REF!</definedName>
    <definedName name="Period" localSheetId="17">#REF!</definedName>
    <definedName name="Period">#REF!</definedName>
    <definedName name="peso_rate">[8]FX_Intro!$C$66</definedName>
    <definedName name="pmt" localSheetId="16">#REF!</definedName>
    <definedName name="pmt" localSheetId="0">#REF!</definedName>
    <definedName name="pmt" localSheetId="7">#REF!</definedName>
    <definedName name="pmt" localSheetId="14">#REF!</definedName>
    <definedName name="pmt" localSheetId="17">#REF!</definedName>
    <definedName name="pmt">#REF!</definedName>
    <definedName name="pmt_" localSheetId="16">#REF!</definedName>
    <definedName name="pmt_" localSheetId="0">[6]Date0Check2!$F$4</definedName>
    <definedName name="pmt_" localSheetId="7">#REF!</definedName>
    <definedName name="pmt_" localSheetId="14">#REF!</definedName>
    <definedName name="pmt_" localSheetId="17">#REF!</definedName>
    <definedName name="pmt_">#REF!</definedName>
    <definedName name="pmtperyear">[9]Bond!$C$6</definedName>
    <definedName name="pmts">[9]Bond!$E$12:$E$25</definedName>
    <definedName name="Price">[5]VaR0!#REF!</definedName>
    <definedName name="PS" localSheetId="0">[3]PD2Spread!$C$13:$C$17</definedName>
    <definedName name="PS">[4]CDS!$C$11:$C$15</definedName>
    <definedName name="pv" localSheetId="0">#REF!</definedName>
    <definedName name="PV">[4]CDS!$E$11:$E$15</definedName>
    <definedName name="PV_" localSheetId="0">[3]PD2Spread!$F$23:$F$27</definedName>
    <definedName name="PV_">[4]CDS!$F$21:$F$25</definedName>
    <definedName name="pv_rf" localSheetId="0">[3]Spread2PD!$F$22:$F$31</definedName>
    <definedName name="pv_rf">[4]Spread2PD!$F$20:$F$29</definedName>
    <definedName name="pv_rf_" localSheetId="0">[3]Spread2PD!$F$42:$F$46</definedName>
    <definedName name="pv_rf_">[4]Spread2PD!$F$40:$F$44</definedName>
    <definedName name="pv2_">[9]Dur2!$G$12:$G$25</definedName>
    <definedName name="PVA">[9]InstallmentLoan!$F$3</definedName>
    <definedName name="PVPMT_A" localSheetId="0">[3]PD2Spread!$J$23:$J$27</definedName>
    <definedName name="PVPMT_A">[4]CDS!$J$21:$J$25</definedName>
    <definedName name="q">#REF!</definedName>
    <definedName name="r_" localSheetId="0">#REF!</definedName>
    <definedName name="R_">[4]CDS!$D$21:$D$25</definedName>
    <definedName name="rate" localSheetId="0">[6]Date0Check2!$E$4</definedName>
    <definedName name="rate">[4]CDS!$C$7</definedName>
    <definedName name="rated">[6]fxHW!$F$4:$H$4</definedName>
    <definedName name="ratef">[6]fxHW!$F$5:$H$5</definedName>
    <definedName name="RatingLast">[10]CreditMatrix!$D$10:$D$109</definedName>
    <definedName name="RatingNow">[10]CreditMatrix!$E$10:$E$109</definedName>
    <definedName name="ratingsTbl">[10]CreditMatrix!$B$2:$C$7</definedName>
    <definedName name="Recovery" localSheetId="0">[3]Spread2PD!$D$42:$D$46</definedName>
    <definedName name="Recovery">[4]Spread2PD!$D$40:$D$44</definedName>
    <definedName name="s" localSheetId="16">#REF!</definedName>
    <definedName name="s" localSheetId="0">#REF!</definedName>
    <definedName name="s" localSheetId="7">[2]Liquidity_VaR!$G$7:$G$23</definedName>
    <definedName name="s" localSheetId="14">#REF!</definedName>
    <definedName name="s" localSheetId="17">#REF!</definedName>
    <definedName name="s">#REF!</definedName>
    <definedName name="S0">#REF!</definedName>
    <definedName name="S0_e_qt">[6]OptionsHW!$C$17:$E$17</definedName>
    <definedName name="SD">#REF!</definedName>
    <definedName name="Shares" localSheetId="16">#REF!</definedName>
    <definedName name="Shares" localSheetId="0">[1]Liquidity1!$I$7:$I$23</definedName>
    <definedName name="Shares" localSheetId="14">#REF!</definedName>
    <definedName name="Shares" localSheetId="17">#REF!</definedName>
    <definedName name="Shares">#REF!</definedName>
    <definedName name="sigma" localSheetId="16">#REF!</definedName>
    <definedName name="sigma" localSheetId="0">[1]Liquidity1!$G$26</definedName>
    <definedName name="sigma" localSheetId="7">[2]Liquidity_VaR!$G$26</definedName>
    <definedName name="sigma" localSheetId="14">#REF!</definedName>
    <definedName name="sigma" localSheetId="17">#REF!</definedName>
    <definedName name="sigma">#REF!</definedName>
    <definedName name="simS" localSheetId="16">#REF!</definedName>
    <definedName name="simS" localSheetId="0">[1]Liquidity1!$G$29</definedName>
    <definedName name="simS" localSheetId="7">[2]Liquidity_VaR!$G$29</definedName>
    <definedName name="simS" localSheetId="14">#REF!</definedName>
    <definedName name="simS" localSheetId="17">#REF!</definedName>
    <definedName name="simS">#REF!</definedName>
    <definedName name="sims_a">[11]VaR1!$I$17:$I$37</definedName>
    <definedName name="sims_h">[11]VaR1!$H$17:$H$37</definedName>
    <definedName name="simSpread" localSheetId="16">#REF!</definedName>
    <definedName name="simSpread" localSheetId="0">[1]Liquidity1!$J$7:$J$23</definedName>
    <definedName name="simSpread" localSheetId="7">[2]Liquidity_VaR!$H$7:$H$23</definedName>
    <definedName name="simSpread" localSheetId="14">#REF!</definedName>
    <definedName name="simSpread" localSheetId="17">#REF!</definedName>
    <definedName name="simSpread">#REF!</definedName>
    <definedName name="simSpreadPerShare" localSheetId="16">#REF!</definedName>
    <definedName name="simSpreadPerShare" localSheetId="0">[1]Liquidity1!$H$7:$H$23</definedName>
    <definedName name="simSpreadPerShare" localSheetId="7">[2]Liquidity_VaR!#REF!</definedName>
    <definedName name="simSpreadPerShare" localSheetId="14">#REF!</definedName>
    <definedName name="simSpreadPerShare" localSheetId="17">#REF!</definedName>
    <definedName name="simSpreadPerShare">#REF!</definedName>
    <definedName name="Spot">[6]fxHW!$F$3:$H$3</definedName>
    <definedName name="spread" localSheetId="16">#REF!</definedName>
    <definedName name="spread" localSheetId="0">[1]Liquidity1!$F$7:$F$23</definedName>
    <definedName name="spread" localSheetId="7">[2]Liquidity_VaR!$F$7:$F$23</definedName>
    <definedName name="spread" localSheetId="14">#REF!</definedName>
    <definedName name="spread" localSheetId="17">#REF!</definedName>
    <definedName name="spread">#REF!</definedName>
    <definedName name="SpreadVaR" localSheetId="16">#REF!</definedName>
    <definedName name="SpreadVaR" localSheetId="14">#REF!</definedName>
    <definedName name="SpreadVaR" localSheetId="17">#REF!</definedName>
    <definedName name="SpreadVaR">#REF!</definedName>
    <definedName name="StartingPortfolio" localSheetId="0">[1]ExporeInf!$C$29:$H$29</definedName>
    <definedName name="StartingPortfolio">[4]ExporeInf!$C$29:$H$29</definedName>
    <definedName name="t" localSheetId="0">#REF!</definedName>
    <definedName name="t">[4]CDS!$B$11:$B$15</definedName>
    <definedName name="t_" localSheetId="0">[3]PD2Spread!$B$23:$B$27</definedName>
    <definedName name="t_">[4]CDS!$B$21:$B$25</definedName>
    <definedName name="table_asf" localSheetId="17">RSF!$C$27:$D$30</definedName>
    <definedName name="table_asf">ASF!$C$31:$D$34</definedName>
    <definedName name="Time">#REF!</definedName>
    <definedName name="Time_" localSheetId="0">[3]Spread2PD!$B$42:$B$46</definedName>
    <definedName name="Time_">[4]Spread2PD!$B$40:$B$44</definedName>
    <definedName name="tmat" localSheetId="0">[1]ExporeInf!$C$3:$H$8</definedName>
    <definedName name="tmat">[4]ExporeInf!$C$3:$H$8</definedName>
    <definedName name="tmat12">#REF!</definedName>
    <definedName name="tmat5" localSheetId="0">[1]ExporeInf!$C$12:$H$17</definedName>
    <definedName name="tmat5">[4]ExporeInf!$C$12:$H$17</definedName>
    <definedName name="tmatInf" localSheetId="0">[1]ExporeInf!$C$21:$H$26</definedName>
    <definedName name="tmatInf">[4]ExporeInf!$C$21:$H$26</definedName>
    <definedName name="u">[7]Options2!$C$6</definedName>
    <definedName name="usd_peso">[8]FX_Intro!$C$65</definedName>
    <definedName name="v" localSheetId="16">#REF!</definedName>
    <definedName name="v" localSheetId="0">[6]Date0Check1!$J$4:$J$23</definedName>
    <definedName name="v" localSheetId="7">#REF!</definedName>
    <definedName name="v" localSheetId="14">#REF!</definedName>
    <definedName name="v" localSheetId="17">#REF!</definedName>
    <definedName name="v">#REF!</definedName>
    <definedName name="value">[9]Curve0!$E$26</definedName>
    <definedName name="value_01">[9]Dur2!$I$12</definedName>
    <definedName name="value_lo">#REF!</definedName>
    <definedName name="value_rf_" localSheetId="0">[3]Spread2PD!$C$42:$C$46</definedName>
    <definedName name="value_rf_">[4]Spread2PD!$C$40:$C$44</definedName>
    <definedName name="weight">[10]CreditMatrix_Weighted!$F$10:$F$109</definedName>
    <definedName name="X">#REF!</definedName>
    <definedName name="X_e_rt">[6]OptionsHW!$C$18:$E$18</definedName>
    <definedName name="y">[9]Bond!$C$8</definedName>
    <definedName name="years">[9]Bond!$C$7</definedName>
    <definedName name="YTM" localSheetId="16">#REF!</definedName>
    <definedName name="YTM" localSheetId="0">#REF!</definedName>
    <definedName name="YTM" localSheetId="7">#REF!</definedName>
    <definedName name="YTM" localSheetId="14">#REF!</definedName>
    <definedName name="YTM" localSheetId="17">#REF!</definedName>
    <definedName name="YTM">#REF!</definedName>
    <definedName name="YTM_rf" localSheetId="16">#REF!</definedName>
    <definedName name="YTM_rf" localSheetId="0">#REF!</definedName>
    <definedName name="YTM_rf" localSheetId="7">#REF!</definedName>
    <definedName name="YTM_rf" localSheetId="14">#REF!</definedName>
    <definedName name="YTM_rf" localSheetId="17">#REF!</definedName>
    <definedName name="YTM_rf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84" i="45" l="1"/>
  <c r="G84" i="45"/>
  <c r="O84" i="45" s="1"/>
  <c r="Q84" i="45" s="1"/>
  <c r="R83" i="45"/>
  <c r="I83" i="45"/>
  <c r="G83" i="45"/>
  <c r="O83" i="45" s="1"/>
  <c r="Q83" i="45" s="1"/>
  <c r="R82" i="45"/>
  <c r="I82" i="45"/>
  <c r="G82" i="45"/>
  <c r="O82" i="45" s="1"/>
  <c r="Q82" i="45" s="1"/>
  <c r="R81" i="45"/>
  <c r="I81" i="45"/>
  <c r="G81" i="45"/>
  <c r="O81" i="45" s="1"/>
  <c r="Q81" i="45" s="1"/>
  <c r="R80" i="45"/>
  <c r="G80" i="45"/>
  <c r="O80" i="45" s="1"/>
  <c r="Q80" i="45" s="1"/>
  <c r="R79" i="45"/>
  <c r="I79" i="45"/>
  <c r="G79" i="45"/>
  <c r="O79" i="45" s="1"/>
  <c r="Q79" i="45" s="1"/>
  <c r="R78" i="45"/>
  <c r="I78" i="45"/>
  <c r="G78" i="45"/>
  <c r="O78" i="45" s="1"/>
  <c r="Q78" i="45" s="1"/>
  <c r="R77" i="45"/>
  <c r="I77" i="45"/>
  <c r="G77" i="45"/>
  <c r="O77" i="45" s="1"/>
  <c r="Q77" i="45" s="1"/>
  <c r="R76" i="45"/>
  <c r="G76" i="45"/>
  <c r="O76" i="45" s="1"/>
  <c r="Q76" i="45" s="1"/>
  <c r="R75" i="45"/>
  <c r="I75" i="45"/>
  <c r="G75" i="45"/>
  <c r="O75" i="45" s="1"/>
  <c r="Q75" i="45" s="1"/>
  <c r="R74" i="45"/>
  <c r="I74" i="45"/>
  <c r="G74" i="45"/>
  <c r="O74" i="45" s="1"/>
  <c r="Q74" i="45" s="1"/>
  <c r="R73" i="45"/>
  <c r="I73" i="45"/>
  <c r="G73" i="45"/>
  <c r="O73" i="45" s="1"/>
  <c r="Q73" i="45" s="1"/>
  <c r="R72" i="45"/>
  <c r="G72" i="45"/>
  <c r="O72" i="45" s="1"/>
  <c r="Q72" i="45" s="1"/>
  <c r="R71" i="45"/>
  <c r="I71" i="45"/>
  <c r="G71" i="45"/>
  <c r="O71" i="45" s="1"/>
  <c r="Q71" i="45" s="1"/>
  <c r="R70" i="45"/>
  <c r="I70" i="45"/>
  <c r="G70" i="45"/>
  <c r="O70" i="45" s="1"/>
  <c r="Q70" i="45" s="1"/>
  <c r="R69" i="45"/>
  <c r="I69" i="45"/>
  <c r="G69" i="45"/>
  <c r="O69" i="45" s="1"/>
  <c r="Q69" i="45" s="1"/>
  <c r="R68" i="45"/>
  <c r="G68" i="45"/>
  <c r="I68" i="45" s="1"/>
  <c r="R67" i="45"/>
  <c r="I67" i="45"/>
  <c r="G67" i="45"/>
  <c r="O67" i="45" s="1"/>
  <c r="Q67" i="45" s="1"/>
  <c r="R66" i="45"/>
  <c r="I66" i="45"/>
  <c r="G66" i="45"/>
  <c r="O66" i="45" s="1"/>
  <c r="Q66" i="45" s="1"/>
  <c r="R65" i="45"/>
  <c r="I65" i="45"/>
  <c r="G65" i="45"/>
  <c r="O65" i="45" s="1"/>
  <c r="Q65" i="45" s="1"/>
  <c r="R64" i="45"/>
  <c r="G64" i="45"/>
  <c r="I64" i="45" s="1"/>
  <c r="R63" i="45"/>
  <c r="I63" i="45"/>
  <c r="G63" i="45"/>
  <c r="O63" i="45" s="1"/>
  <c r="Q63" i="45" s="1"/>
  <c r="R62" i="45"/>
  <c r="I62" i="45"/>
  <c r="G62" i="45"/>
  <c r="O62" i="45" s="1"/>
  <c r="Q62" i="45" s="1"/>
  <c r="R61" i="45"/>
  <c r="I61" i="45"/>
  <c r="G61" i="45"/>
  <c r="O61" i="45" s="1"/>
  <c r="Q61" i="45" s="1"/>
  <c r="R60" i="45"/>
  <c r="G60" i="45"/>
  <c r="I60" i="45" s="1"/>
  <c r="R59" i="45"/>
  <c r="I59" i="45"/>
  <c r="G59" i="45"/>
  <c r="O59" i="45" s="1"/>
  <c r="Q59" i="45" s="1"/>
  <c r="R58" i="45"/>
  <c r="I58" i="45"/>
  <c r="G58" i="45"/>
  <c r="O58" i="45" s="1"/>
  <c r="Q58" i="45" s="1"/>
  <c r="R57" i="45"/>
  <c r="I57" i="45"/>
  <c r="G57" i="45"/>
  <c r="O57" i="45" s="1"/>
  <c r="Q57" i="45" s="1"/>
  <c r="R56" i="45"/>
  <c r="G56" i="45"/>
  <c r="I56" i="45" s="1"/>
  <c r="R55" i="45"/>
  <c r="I55" i="45"/>
  <c r="G55" i="45"/>
  <c r="O55" i="45" s="1"/>
  <c r="Q55" i="45" s="1"/>
  <c r="R54" i="45"/>
  <c r="I54" i="45"/>
  <c r="G54" i="45"/>
  <c r="O54" i="45" s="1"/>
  <c r="Q54" i="45" s="1"/>
  <c r="R53" i="45"/>
  <c r="I53" i="45"/>
  <c r="G53" i="45"/>
  <c r="O53" i="45" s="1"/>
  <c r="Q53" i="45" s="1"/>
  <c r="R52" i="45"/>
  <c r="G52" i="45"/>
  <c r="O52" i="45" s="1"/>
  <c r="Q52" i="45" s="1"/>
  <c r="R51" i="45"/>
  <c r="I51" i="45"/>
  <c r="G51" i="45"/>
  <c r="O51" i="45" s="1"/>
  <c r="Q51" i="45" s="1"/>
  <c r="R50" i="45"/>
  <c r="I50" i="45"/>
  <c r="G50" i="45"/>
  <c r="O50" i="45" s="1"/>
  <c r="Q50" i="45" s="1"/>
  <c r="R49" i="45"/>
  <c r="I49" i="45"/>
  <c r="G49" i="45"/>
  <c r="O49" i="45" s="1"/>
  <c r="Q49" i="45" s="1"/>
  <c r="R48" i="45"/>
  <c r="G48" i="45"/>
  <c r="O48" i="45" s="1"/>
  <c r="Q48" i="45" s="1"/>
  <c r="R47" i="45"/>
  <c r="I47" i="45"/>
  <c r="G47" i="45"/>
  <c r="O47" i="45" s="1"/>
  <c r="Q47" i="45" s="1"/>
  <c r="R46" i="45"/>
  <c r="I46" i="45"/>
  <c r="G46" i="45"/>
  <c r="O46" i="45" s="1"/>
  <c r="Q46" i="45" s="1"/>
  <c r="R45" i="45"/>
  <c r="I45" i="45"/>
  <c r="G45" i="45"/>
  <c r="O45" i="45" s="1"/>
  <c r="Q45" i="45" s="1"/>
  <c r="R44" i="45"/>
  <c r="G44" i="45"/>
  <c r="O44" i="45" s="1"/>
  <c r="Q44" i="45" s="1"/>
  <c r="R43" i="45"/>
  <c r="I43" i="45"/>
  <c r="G43" i="45"/>
  <c r="O43" i="45" s="1"/>
  <c r="Q43" i="45" s="1"/>
  <c r="R42" i="45"/>
  <c r="I42" i="45"/>
  <c r="G42" i="45"/>
  <c r="O42" i="45" s="1"/>
  <c r="Q42" i="45" s="1"/>
  <c r="R41" i="45"/>
  <c r="I41" i="45"/>
  <c r="G41" i="45"/>
  <c r="O41" i="45" s="1"/>
  <c r="Q41" i="45" s="1"/>
  <c r="R40" i="45"/>
  <c r="G40" i="45"/>
  <c r="O40" i="45" s="1"/>
  <c r="Q40" i="45" s="1"/>
  <c r="R39" i="45"/>
  <c r="I39" i="45"/>
  <c r="G39" i="45"/>
  <c r="O39" i="45" s="1"/>
  <c r="Q39" i="45" s="1"/>
  <c r="R38" i="45"/>
  <c r="I38" i="45"/>
  <c r="G38" i="45"/>
  <c r="O38" i="45" s="1"/>
  <c r="Q38" i="45" s="1"/>
  <c r="R37" i="45"/>
  <c r="I37" i="45"/>
  <c r="G37" i="45"/>
  <c r="O37" i="45" s="1"/>
  <c r="Q37" i="45" s="1"/>
  <c r="R36" i="45"/>
  <c r="G36" i="45"/>
  <c r="I36" i="45" s="1"/>
  <c r="R35" i="45"/>
  <c r="I35" i="45"/>
  <c r="G35" i="45"/>
  <c r="O35" i="45" s="1"/>
  <c r="Q35" i="45" s="1"/>
  <c r="R34" i="45"/>
  <c r="I34" i="45"/>
  <c r="G34" i="45"/>
  <c r="O34" i="45" s="1"/>
  <c r="Q34" i="45" s="1"/>
  <c r="R33" i="45"/>
  <c r="I33" i="45"/>
  <c r="G33" i="45"/>
  <c r="O33" i="45" s="1"/>
  <c r="Q33" i="45" s="1"/>
  <c r="R32" i="45"/>
  <c r="G32" i="45"/>
  <c r="I32" i="45" s="1"/>
  <c r="R31" i="45"/>
  <c r="I31" i="45"/>
  <c r="G31" i="45"/>
  <c r="O31" i="45" s="1"/>
  <c r="Q31" i="45" s="1"/>
  <c r="R30" i="45"/>
  <c r="I30" i="45"/>
  <c r="G30" i="45"/>
  <c r="O30" i="45" s="1"/>
  <c r="Q30" i="45" s="1"/>
  <c r="R29" i="45"/>
  <c r="I29" i="45"/>
  <c r="G29" i="45"/>
  <c r="O29" i="45" s="1"/>
  <c r="Q29" i="45" s="1"/>
  <c r="R28" i="45"/>
  <c r="G28" i="45"/>
  <c r="I28" i="45" s="1"/>
  <c r="R27" i="45"/>
  <c r="I27" i="45"/>
  <c r="G27" i="45"/>
  <c r="O27" i="45" s="1"/>
  <c r="Q27" i="45" s="1"/>
  <c r="R26" i="45"/>
  <c r="I26" i="45"/>
  <c r="G26" i="45"/>
  <c r="O26" i="45" s="1"/>
  <c r="Q26" i="45" s="1"/>
  <c r="R25" i="45"/>
  <c r="I25" i="45"/>
  <c r="G25" i="45"/>
  <c r="O25" i="45" s="1"/>
  <c r="Q25" i="45" s="1"/>
  <c r="R24" i="45"/>
  <c r="G24" i="45"/>
  <c r="I24" i="45" s="1"/>
  <c r="R23" i="45"/>
  <c r="I23" i="45"/>
  <c r="G23" i="45"/>
  <c r="O23" i="45" s="1"/>
  <c r="Q23" i="45" s="1"/>
  <c r="R22" i="45"/>
  <c r="I22" i="45"/>
  <c r="G22" i="45"/>
  <c r="O22" i="45" s="1"/>
  <c r="Q22" i="45" s="1"/>
  <c r="R21" i="45"/>
  <c r="O21" i="45"/>
  <c r="Q21" i="45" s="1"/>
  <c r="I21" i="45"/>
  <c r="G21" i="45"/>
  <c r="R20" i="45"/>
  <c r="G20" i="45"/>
  <c r="I20" i="45" s="1"/>
  <c r="R19" i="45"/>
  <c r="I19" i="45"/>
  <c r="G19" i="45"/>
  <c r="O19" i="45" s="1"/>
  <c r="Q19" i="45" s="1"/>
  <c r="R18" i="45"/>
  <c r="I18" i="45"/>
  <c r="G18" i="45"/>
  <c r="O18" i="45" s="1"/>
  <c r="Q18" i="45" s="1"/>
  <c r="R17" i="45"/>
  <c r="I17" i="45"/>
  <c r="G17" i="45"/>
  <c r="O17" i="45" s="1"/>
  <c r="Q17" i="45" s="1"/>
  <c r="R16" i="45"/>
  <c r="G16" i="45"/>
  <c r="O16" i="45" s="1"/>
  <c r="Q16" i="45" s="1"/>
  <c r="R15" i="45"/>
  <c r="I15" i="45"/>
  <c r="G15" i="45"/>
  <c r="O15" i="45" s="1"/>
  <c r="Q15" i="45" s="1"/>
  <c r="R14" i="45"/>
  <c r="I14" i="45"/>
  <c r="G14" i="45"/>
  <c r="O14" i="45" s="1"/>
  <c r="Q14" i="45" s="1"/>
  <c r="R13" i="45"/>
  <c r="I13" i="45"/>
  <c r="G13" i="45"/>
  <c r="O13" i="45" s="1"/>
  <c r="Q13" i="45" s="1"/>
  <c r="R12" i="45"/>
  <c r="G12" i="45"/>
  <c r="O12" i="45" s="1"/>
  <c r="Q12" i="45" s="1"/>
  <c r="R11" i="45"/>
  <c r="I11" i="45"/>
  <c r="G11" i="45"/>
  <c r="O11" i="45" s="1"/>
  <c r="Q11" i="45" s="1"/>
  <c r="R10" i="45"/>
  <c r="I10" i="45"/>
  <c r="G10" i="45"/>
  <c r="O10" i="45" s="1"/>
  <c r="Q10" i="45" s="1"/>
  <c r="R9" i="45"/>
  <c r="I9" i="45"/>
  <c r="G9" i="45"/>
  <c r="O9" i="45" s="1"/>
  <c r="Q9" i="45" s="1"/>
  <c r="R8" i="45"/>
  <c r="G8" i="45"/>
  <c r="O8" i="45" s="1"/>
  <c r="Q8" i="45" s="1"/>
  <c r="R7" i="45"/>
  <c r="I7" i="45"/>
  <c r="G7" i="45"/>
  <c r="O7" i="45" s="1"/>
  <c r="Q7" i="45" s="1"/>
  <c r="R6" i="45"/>
  <c r="I6" i="45"/>
  <c r="G6" i="45"/>
  <c r="O6" i="45" s="1"/>
  <c r="Q6" i="45" s="1"/>
  <c r="R5" i="45"/>
  <c r="I5" i="45"/>
  <c r="G5" i="45"/>
  <c r="O5" i="45" s="1"/>
  <c r="Q5" i="45" s="1"/>
  <c r="R4" i="45"/>
  <c r="G4" i="45"/>
  <c r="O4" i="45" s="1"/>
  <c r="Q4" i="45" s="1"/>
  <c r="S20" i="45" l="1"/>
  <c r="I80" i="45"/>
  <c r="O28" i="45"/>
  <c r="Q28" i="45" s="1"/>
  <c r="S32" i="45" s="1"/>
  <c r="S52" i="45"/>
  <c r="S56" i="45"/>
  <c r="O60" i="45"/>
  <c r="Q60" i="45" s="1"/>
  <c r="S64" i="45" s="1"/>
  <c r="S76" i="45"/>
  <c r="S12" i="45"/>
  <c r="S44" i="45"/>
  <c r="I16" i="45"/>
  <c r="I76" i="45"/>
  <c r="O24" i="45"/>
  <c r="Q24" i="45" s="1"/>
  <c r="S28" i="45" s="1"/>
  <c r="I48" i="45"/>
  <c r="O56" i="45"/>
  <c r="Q56" i="45" s="1"/>
  <c r="S60" i="45" s="1"/>
  <c r="I4" i="45"/>
  <c r="I12" i="45"/>
  <c r="I44" i="45"/>
  <c r="S8" i="45"/>
  <c r="S80" i="45"/>
  <c r="S84" i="45"/>
  <c r="S16" i="45"/>
  <c r="S48" i="45"/>
  <c r="O36" i="45"/>
  <c r="Q36" i="45" s="1"/>
  <c r="S40" i="45" s="1"/>
  <c r="O68" i="45"/>
  <c r="Q68" i="45" s="1"/>
  <c r="S72" i="45" s="1"/>
  <c r="I84" i="45"/>
  <c r="O32" i="45"/>
  <c r="Q32" i="45" s="1"/>
  <c r="S36" i="45" s="1"/>
  <c r="I52" i="45"/>
  <c r="O64" i="45"/>
  <c r="Q64" i="45" s="1"/>
  <c r="S68" i="45" s="1"/>
  <c r="I8" i="45"/>
  <c r="O20" i="45"/>
  <c r="Q20" i="45" s="1"/>
  <c r="S24" i="45" s="1"/>
  <c r="I40" i="45"/>
  <c r="I72" i="45"/>
  <c r="K4" i="45" l="1"/>
  <c r="U4" i="45"/>
  <c r="K15" i="30" l="1"/>
  <c r="J15" i="30"/>
  <c r="I15" i="30"/>
  <c r="H15" i="30"/>
  <c r="G15" i="30"/>
  <c r="J19" i="30"/>
  <c r="H19" i="30"/>
  <c r="P20" i="30" a="1"/>
  <c r="P20" i="30" s="1"/>
  <c r="S20" i="30"/>
  <c r="T20" i="30"/>
  <c r="P21" i="30"/>
  <c r="R21" i="30"/>
  <c r="Q22" i="30"/>
  <c r="R22" i="30"/>
  <c r="S22" i="30"/>
  <c r="P23" i="30"/>
  <c r="T23" i="30"/>
  <c r="B2" i="44"/>
  <c r="C2" i="44"/>
  <c r="D2" i="44"/>
  <c r="E2" i="44"/>
  <c r="F2" i="44"/>
  <c r="G2" i="44"/>
  <c r="H2" i="44"/>
  <c r="I2" i="44"/>
  <c r="J2" i="44"/>
  <c r="K2" i="44"/>
  <c r="L2" i="44"/>
  <c r="M2" i="44"/>
  <c r="N2" i="44"/>
  <c r="O2" i="44"/>
  <c r="P2" i="44"/>
  <c r="Q2" i="44"/>
  <c r="R2" i="44"/>
  <c r="S2" i="44"/>
  <c r="T2" i="44"/>
  <c r="U2" i="44"/>
  <c r="V2" i="44"/>
  <c r="W2" i="44"/>
  <c r="X2" i="44"/>
  <c r="Y2" i="44"/>
  <c r="Z2" i="44"/>
  <c r="AA2" i="44"/>
  <c r="AB2" i="44"/>
  <c r="AC2" i="44"/>
  <c r="AD2" i="44"/>
  <c r="AE2" i="44"/>
  <c r="B3" i="44"/>
  <c r="C3" i="44"/>
  <c r="D3" i="44"/>
  <c r="E3" i="44"/>
  <c r="F3" i="44"/>
  <c r="G3" i="44"/>
  <c r="H3" i="44"/>
  <c r="I3" i="44"/>
  <c r="J3" i="44"/>
  <c r="K3" i="44"/>
  <c r="L3" i="44"/>
  <c r="M3" i="44"/>
  <c r="N3" i="44"/>
  <c r="O3" i="44"/>
  <c r="P3" i="44"/>
  <c r="Q3" i="44"/>
  <c r="R3" i="44"/>
  <c r="S3" i="44"/>
  <c r="T3" i="44"/>
  <c r="U3" i="44"/>
  <c r="V3" i="44"/>
  <c r="W3" i="44"/>
  <c r="X3" i="44"/>
  <c r="Y3" i="44"/>
  <c r="Z3" i="44"/>
  <c r="AA3" i="44"/>
  <c r="AB3" i="44"/>
  <c r="AC3" i="44"/>
  <c r="AD3" i="44"/>
  <c r="AE3" i="44"/>
  <c r="B4" i="44"/>
  <c r="C4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Q4" i="44"/>
  <c r="R4" i="44"/>
  <c r="S4" i="44"/>
  <c r="T4" i="44"/>
  <c r="U4" i="44"/>
  <c r="V4" i="44"/>
  <c r="W4" i="44"/>
  <c r="X4" i="44"/>
  <c r="Y4" i="44"/>
  <c r="Z4" i="44"/>
  <c r="AA4" i="44"/>
  <c r="AB4" i="44"/>
  <c r="AC4" i="44"/>
  <c r="AD4" i="44"/>
  <c r="AE4" i="44"/>
  <c r="B5" i="44"/>
  <c r="C5" i="44"/>
  <c r="D5" i="44"/>
  <c r="E5" i="44"/>
  <c r="F5" i="44"/>
  <c r="G5" i="44"/>
  <c r="H5" i="44"/>
  <c r="I5" i="44"/>
  <c r="J5" i="44"/>
  <c r="K5" i="44"/>
  <c r="L5" i="44"/>
  <c r="M5" i="44"/>
  <c r="N5" i="44"/>
  <c r="O5" i="44"/>
  <c r="P5" i="44"/>
  <c r="Q5" i="44"/>
  <c r="R5" i="44"/>
  <c r="S5" i="44"/>
  <c r="T5" i="44"/>
  <c r="U5" i="44"/>
  <c r="V5" i="44"/>
  <c r="W5" i="44"/>
  <c r="X5" i="44"/>
  <c r="Y5" i="44"/>
  <c r="Z5" i="44"/>
  <c r="AA5" i="44"/>
  <c r="AB5" i="44"/>
  <c r="AC5" i="44"/>
  <c r="AD5" i="44"/>
  <c r="AE5" i="44"/>
  <c r="B6" i="44"/>
  <c r="C6" i="44"/>
  <c r="D6" i="44"/>
  <c r="E6" i="44"/>
  <c r="F6" i="44"/>
  <c r="G6" i="44"/>
  <c r="H6" i="44"/>
  <c r="I6" i="44"/>
  <c r="J6" i="44"/>
  <c r="K6" i="44"/>
  <c r="L6" i="44"/>
  <c r="M6" i="44"/>
  <c r="N6" i="44"/>
  <c r="O6" i="44"/>
  <c r="P6" i="44"/>
  <c r="Q6" i="44"/>
  <c r="R6" i="44"/>
  <c r="S6" i="44"/>
  <c r="T6" i="44"/>
  <c r="U6" i="44"/>
  <c r="V6" i="44"/>
  <c r="W6" i="44"/>
  <c r="X6" i="44"/>
  <c r="Y6" i="44"/>
  <c r="Z6" i="44"/>
  <c r="AA6" i="44"/>
  <c r="AB6" i="44"/>
  <c r="AC6" i="44"/>
  <c r="AD6" i="44"/>
  <c r="AE6" i="44"/>
  <c r="B7" i="44"/>
  <c r="C7" i="44"/>
  <c r="D7" i="44"/>
  <c r="E7" i="44"/>
  <c r="F7" i="44"/>
  <c r="G7" i="44"/>
  <c r="H7" i="44"/>
  <c r="I7" i="44"/>
  <c r="J7" i="44"/>
  <c r="K7" i="44"/>
  <c r="L7" i="44"/>
  <c r="M7" i="44"/>
  <c r="Q7" i="44"/>
  <c r="R7" i="44"/>
  <c r="S7" i="44"/>
  <c r="T7" i="44"/>
  <c r="U7" i="44"/>
  <c r="V7" i="44"/>
  <c r="W7" i="44"/>
  <c r="X7" i="44"/>
  <c r="Y7" i="44"/>
  <c r="Z7" i="44"/>
  <c r="AA7" i="44"/>
  <c r="AB7" i="44"/>
  <c r="AC7" i="44"/>
  <c r="AD7" i="44"/>
  <c r="AE7" i="44"/>
  <c r="B8" i="44"/>
  <c r="C8" i="44"/>
  <c r="D8" i="44"/>
  <c r="E8" i="44"/>
  <c r="F8" i="44"/>
  <c r="G8" i="44"/>
  <c r="H8" i="44"/>
  <c r="I8" i="44"/>
  <c r="J8" i="44"/>
  <c r="K8" i="44"/>
  <c r="L8" i="44"/>
  <c r="M8" i="44"/>
  <c r="Q8" i="44"/>
  <c r="R8" i="44"/>
  <c r="S8" i="44"/>
  <c r="T8" i="44"/>
  <c r="U8" i="44"/>
  <c r="V8" i="44"/>
  <c r="W8" i="44"/>
  <c r="X8" i="44"/>
  <c r="Y8" i="44"/>
  <c r="Z8" i="44"/>
  <c r="AA8" i="44"/>
  <c r="AB8" i="44"/>
  <c r="AC8" i="44"/>
  <c r="AD8" i="44"/>
  <c r="AE8" i="44"/>
  <c r="B9" i="44"/>
  <c r="C9" i="44"/>
  <c r="D9" i="44"/>
  <c r="E9" i="44"/>
  <c r="F9" i="44"/>
  <c r="G9" i="44"/>
  <c r="H9" i="44"/>
  <c r="I9" i="44"/>
  <c r="J9" i="44"/>
  <c r="K9" i="44"/>
  <c r="L9" i="44"/>
  <c r="M9" i="44"/>
  <c r="Q9" i="44"/>
  <c r="R9" i="44"/>
  <c r="S9" i="44"/>
  <c r="T9" i="44"/>
  <c r="U9" i="44"/>
  <c r="V9" i="44"/>
  <c r="W9" i="44"/>
  <c r="X9" i="44"/>
  <c r="Y9" i="44"/>
  <c r="Z9" i="44"/>
  <c r="AA9" i="44"/>
  <c r="AB9" i="44"/>
  <c r="AC9" i="44"/>
  <c r="AD9" i="44"/>
  <c r="AE9" i="44"/>
  <c r="B10" i="44"/>
  <c r="C10" i="44"/>
  <c r="D10" i="44"/>
  <c r="E10" i="44"/>
  <c r="F10" i="44"/>
  <c r="G10" i="44"/>
  <c r="H10" i="44"/>
  <c r="I10" i="44"/>
  <c r="J10" i="44"/>
  <c r="K10" i="44"/>
  <c r="L10" i="44"/>
  <c r="M10" i="44"/>
  <c r="N10" i="44"/>
  <c r="O10" i="44"/>
  <c r="P10" i="44"/>
  <c r="Q10" i="44"/>
  <c r="R10" i="44"/>
  <c r="S10" i="44"/>
  <c r="T10" i="44"/>
  <c r="U10" i="44"/>
  <c r="V10" i="44"/>
  <c r="W10" i="44"/>
  <c r="X10" i="44"/>
  <c r="Y10" i="44"/>
  <c r="Z10" i="44"/>
  <c r="AA10" i="44"/>
  <c r="AB10" i="44"/>
  <c r="AC10" i="44"/>
  <c r="AD10" i="44"/>
  <c r="AE10" i="44"/>
  <c r="B11" i="44"/>
  <c r="C11" i="44"/>
  <c r="D11" i="44"/>
  <c r="E11" i="44"/>
  <c r="F11" i="44"/>
  <c r="G11" i="44"/>
  <c r="H11" i="44"/>
  <c r="I11" i="44"/>
  <c r="J11" i="44"/>
  <c r="K11" i="44"/>
  <c r="L11" i="44"/>
  <c r="M11" i="44"/>
  <c r="N11" i="44"/>
  <c r="O11" i="44"/>
  <c r="P11" i="44"/>
  <c r="Q11" i="44"/>
  <c r="R11" i="44"/>
  <c r="S11" i="44"/>
  <c r="T11" i="44"/>
  <c r="U11" i="44"/>
  <c r="V11" i="44"/>
  <c r="W11" i="44"/>
  <c r="X11" i="44"/>
  <c r="Y11" i="44"/>
  <c r="Z11" i="44"/>
  <c r="AA11" i="44"/>
  <c r="AB11" i="44"/>
  <c r="AC11" i="44"/>
  <c r="AD11" i="44"/>
  <c r="AE11" i="44"/>
  <c r="B12" i="44"/>
  <c r="C12" i="44"/>
  <c r="D12" i="44"/>
  <c r="E12" i="44"/>
  <c r="F12" i="44"/>
  <c r="G12" i="44"/>
  <c r="H12" i="44"/>
  <c r="I12" i="44"/>
  <c r="J12" i="44"/>
  <c r="K12" i="44"/>
  <c r="L12" i="44"/>
  <c r="M12" i="44"/>
  <c r="N12" i="44"/>
  <c r="O12" i="44"/>
  <c r="P12" i="44"/>
  <c r="Q12" i="44"/>
  <c r="R12" i="44"/>
  <c r="S12" i="44"/>
  <c r="T12" i="44"/>
  <c r="U12" i="44"/>
  <c r="V12" i="44"/>
  <c r="W12" i="44"/>
  <c r="X12" i="44"/>
  <c r="Y12" i="44"/>
  <c r="Z12" i="44"/>
  <c r="AA12" i="44"/>
  <c r="AB12" i="44"/>
  <c r="AC12" i="44"/>
  <c r="AD12" i="44"/>
  <c r="AE12" i="44"/>
  <c r="B13" i="44"/>
  <c r="C13" i="44"/>
  <c r="D13" i="44"/>
  <c r="E13" i="44"/>
  <c r="F13" i="44"/>
  <c r="G13" i="44"/>
  <c r="H13" i="44"/>
  <c r="I13" i="44"/>
  <c r="J13" i="44"/>
  <c r="K13" i="44"/>
  <c r="L13" i="44"/>
  <c r="M13" i="44"/>
  <c r="N13" i="44"/>
  <c r="O13" i="44"/>
  <c r="P13" i="44"/>
  <c r="Q13" i="44"/>
  <c r="R13" i="44"/>
  <c r="S13" i="44"/>
  <c r="T13" i="44"/>
  <c r="U13" i="44"/>
  <c r="V13" i="44"/>
  <c r="W13" i="44"/>
  <c r="X13" i="44"/>
  <c r="Y13" i="44"/>
  <c r="Z13" i="44"/>
  <c r="AA13" i="44"/>
  <c r="AB13" i="44"/>
  <c r="AC13" i="44"/>
  <c r="AD13" i="44"/>
  <c r="AE13" i="44"/>
  <c r="B2" i="43"/>
  <c r="C2" i="43"/>
  <c r="D2" i="43"/>
  <c r="E2" i="43"/>
  <c r="F2" i="43"/>
  <c r="G2" i="43"/>
  <c r="H2" i="43"/>
  <c r="I2" i="43"/>
  <c r="J2" i="43"/>
  <c r="K2" i="43"/>
  <c r="L2" i="43"/>
  <c r="M2" i="43"/>
  <c r="N2" i="43"/>
  <c r="O2" i="43"/>
  <c r="P2" i="43"/>
  <c r="Q2" i="43"/>
  <c r="R2" i="43"/>
  <c r="S2" i="43"/>
  <c r="T2" i="43"/>
  <c r="U2" i="43"/>
  <c r="V2" i="43"/>
  <c r="W2" i="43"/>
  <c r="X2" i="43"/>
  <c r="Y2" i="43"/>
  <c r="Z2" i="43"/>
  <c r="AA2" i="43"/>
  <c r="AB2" i="43"/>
  <c r="AC2" i="43"/>
  <c r="AD2" i="43"/>
  <c r="AE2" i="43"/>
  <c r="B3" i="43"/>
  <c r="C3" i="43"/>
  <c r="D3" i="43"/>
  <c r="E3" i="43"/>
  <c r="F3" i="43"/>
  <c r="G3" i="43"/>
  <c r="H3" i="43"/>
  <c r="I3" i="43"/>
  <c r="J3" i="43"/>
  <c r="K3" i="43"/>
  <c r="L3" i="43"/>
  <c r="M3" i="43"/>
  <c r="N3" i="43"/>
  <c r="O3" i="43"/>
  <c r="P3" i="43"/>
  <c r="Q3" i="43"/>
  <c r="R3" i="43"/>
  <c r="S3" i="43"/>
  <c r="T3" i="43"/>
  <c r="U3" i="43"/>
  <c r="V3" i="43"/>
  <c r="W3" i="43"/>
  <c r="X3" i="43"/>
  <c r="Y3" i="43"/>
  <c r="Z3" i="43"/>
  <c r="AA3" i="43"/>
  <c r="AB3" i="43"/>
  <c r="AC3" i="43"/>
  <c r="AD3" i="43"/>
  <c r="AE3" i="43"/>
  <c r="B4" i="43"/>
  <c r="C4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Q4" i="43"/>
  <c r="R4" i="43"/>
  <c r="S4" i="43"/>
  <c r="T4" i="43"/>
  <c r="U4" i="43"/>
  <c r="V4" i="43"/>
  <c r="W4" i="43"/>
  <c r="X4" i="43"/>
  <c r="Y4" i="43"/>
  <c r="Z4" i="43"/>
  <c r="AA4" i="43"/>
  <c r="AB4" i="43"/>
  <c r="AC4" i="43"/>
  <c r="AD4" i="43"/>
  <c r="AE4" i="43"/>
  <c r="B5" i="43"/>
  <c r="C5" i="43"/>
  <c r="D5" i="43"/>
  <c r="E5" i="43"/>
  <c r="F5" i="43"/>
  <c r="G5" i="43"/>
  <c r="H5" i="43"/>
  <c r="I5" i="43"/>
  <c r="J5" i="43"/>
  <c r="K5" i="43"/>
  <c r="L5" i="43"/>
  <c r="M5" i="43"/>
  <c r="N5" i="43"/>
  <c r="O5" i="43"/>
  <c r="P5" i="43"/>
  <c r="Q5" i="43"/>
  <c r="R5" i="43"/>
  <c r="S5" i="43"/>
  <c r="T5" i="43"/>
  <c r="U5" i="43"/>
  <c r="V5" i="43"/>
  <c r="W5" i="43"/>
  <c r="X5" i="43"/>
  <c r="Y5" i="43"/>
  <c r="Z5" i="43"/>
  <c r="AA5" i="43"/>
  <c r="AB5" i="43"/>
  <c r="AC5" i="43"/>
  <c r="AD5" i="43"/>
  <c r="AE5" i="43"/>
  <c r="B6" i="43"/>
  <c r="C6" i="43"/>
  <c r="D6" i="43"/>
  <c r="E6" i="43"/>
  <c r="F6" i="43"/>
  <c r="G6" i="43"/>
  <c r="H6" i="43"/>
  <c r="I6" i="43"/>
  <c r="J6" i="43"/>
  <c r="K6" i="43"/>
  <c r="L6" i="43"/>
  <c r="M6" i="43"/>
  <c r="N6" i="43"/>
  <c r="O6" i="43"/>
  <c r="P6" i="43"/>
  <c r="Q6" i="43"/>
  <c r="R6" i="43"/>
  <c r="S6" i="43"/>
  <c r="T6" i="43"/>
  <c r="U6" i="43"/>
  <c r="V6" i="43"/>
  <c r="W6" i="43"/>
  <c r="X6" i="43"/>
  <c r="Y6" i="43"/>
  <c r="Z6" i="43"/>
  <c r="AA6" i="43"/>
  <c r="AB6" i="43"/>
  <c r="AC6" i="43"/>
  <c r="AD6" i="43"/>
  <c r="AE6" i="43"/>
  <c r="B7" i="43"/>
  <c r="C7" i="43"/>
  <c r="D7" i="43"/>
  <c r="E7" i="43"/>
  <c r="F7" i="43"/>
  <c r="G7" i="43"/>
  <c r="H7" i="43"/>
  <c r="I7" i="43"/>
  <c r="J7" i="43"/>
  <c r="K7" i="43"/>
  <c r="L7" i="43"/>
  <c r="M7" i="43"/>
  <c r="Q7" i="43"/>
  <c r="R7" i="43"/>
  <c r="S7" i="43"/>
  <c r="T7" i="43"/>
  <c r="U7" i="43"/>
  <c r="V7" i="43"/>
  <c r="W7" i="43"/>
  <c r="X7" i="43"/>
  <c r="Y7" i="43"/>
  <c r="Z7" i="43"/>
  <c r="AA7" i="43"/>
  <c r="AB7" i="43"/>
  <c r="AC7" i="43"/>
  <c r="AD7" i="43"/>
  <c r="AE7" i="43"/>
  <c r="B8" i="43"/>
  <c r="C8" i="43"/>
  <c r="D8" i="43"/>
  <c r="E8" i="43"/>
  <c r="F8" i="43"/>
  <c r="G8" i="43"/>
  <c r="H8" i="43"/>
  <c r="I8" i="43"/>
  <c r="J8" i="43"/>
  <c r="K8" i="43"/>
  <c r="L8" i="43"/>
  <c r="M8" i="43"/>
  <c r="Q8" i="43"/>
  <c r="R8" i="43"/>
  <c r="S8" i="43"/>
  <c r="T8" i="43"/>
  <c r="U8" i="43"/>
  <c r="V8" i="43"/>
  <c r="W8" i="43"/>
  <c r="X8" i="43"/>
  <c r="Y8" i="43"/>
  <c r="Z8" i="43"/>
  <c r="AA8" i="43"/>
  <c r="AB8" i="43"/>
  <c r="AC8" i="43"/>
  <c r="AD8" i="43"/>
  <c r="AE8" i="43"/>
  <c r="B9" i="43"/>
  <c r="C9" i="43"/>
  <c r="D9" i="43"/>
  <c r="E9" i="43"/>
  <c r="F9" i="43"/>
  <c r="G9" i="43"/>
  <c r="H9" i="43"/>
  <c r="I9" i="43"/>
  <c r="J9" i="43"/>
  <c r="K9" i="43"/>
  <c r="L9" i="43"/>
  <c r="M9" i="43"/>
  <c r="Q9" i="43"/>
  <c r="R9" i="43"/>
  <c r="S9" i="43"/>
  <c r="T9" i="43"/>
  <c r="U9" i="43"/>
  <c r="V9" i="43"/>
  <c r="W9" i="43"/>
  <c r="X9" i="43"/>
  <c r="Y9" i="43"/>
  <c r="Z9" i="43"/>
  <c r="AA9" i="43"/>
  <c r="AB9" i="43"/>
  <c r="AC9" i="43"/>
  <c r="AD9" i="43"/>
  <c r="AE9" i="43"/>
  <c r="B10" i="43"/>
  <c r="C10" i="43"/>
  <c r="D10" i="43"/>
  <c r="E10" i="43"/>
  <c r="F10" i="43"/>
  <c r="G10" i="43"/>
  <c r="H10" i="43"/>
  <c r="I10" i="43"/>
  <c r="J10" i="43"/>
  <c r="K10" i="43"/>
  <c r="L10" i="43"/>
  <c r="M10" i="43"/>
  <c r="N10" i="43"/>
  <c r="O10" i="43"/>
  <c r="P10" i="43"/>
  <c r="Q10" i="43"/>
  <c r="R10" i="43"/>
  <c r="S10" i="43"/>
  <c r="T10" i="43"/>
  <c r="U10" i="43"/>
  <c r="V10" i="43"/>
  <c r="W10" i="43"/>
  <c r="X10" i="43"/>
  <c r="Y10" i="43"/>
  <c r="Z10" i="43"/>
  <c r="AA10" i="43"/>
  <c r="AB10" i="43"/>
  <c r="AC10" i="43"/>
  <c r="AD10" i="43"/>
  <c r="AE10" i="43"/>
  <c r="B11" i="43"/>
  <c r="C11" i="43"/>
  <c r="D11" i="43"/>
  <c r="E11" i="43"/>
  <c r="F11" i="43"/>
  <c r="G11" i="43"/>
  <c r="H11" i="43"/>
  <c r="I11" i="43"/>
  <c r="J11" i="43"/>
  <c r="K11" i="43"/>
  <c r="L11" i="43"/>
  <c r="M11" i="43"/>
  <c r="N11" i="43"/>
  <c r="O11" i="43"/>
  <c r="P11" i="43"/>
  <c r="Q11" i="43"/>
  <c r="R11" i="43"/>
  <c r="S11" i="43"/>
  <c r="T11" i="43"/>
  <c r="U11" i="43"/>
  <c r="V11" i="43"/>
  <c r="W11" i="43"/>
  <c r="X11" i="43"/>
  <c r="Y11" i="43"/>
  <c r="Z11" i="43"/>
  <c r="AA11" i="43"/>
  <c r="AB11" i="43"/>
  <c r="AC11" i="43"/>
  <c r="AD11" i="43"/>
  <c r="AE11" i="43"/>
  <c r="B12" i="43"/>
  <c r="C12" i="43"/>
  <c r="D12" i="43"/>
  <c r="E12" i="43"/>
  <c r="F12" i="43"/>
  <c r="G12" i="43"/>
  <c r="H12" i="43"/>
  <c r="I12" i="43"/>
  <c r="J12" i="43"/>
  <c r="K12" i="43"/>
  <c r="L12" i="43"/>
  <c r="M12" i="43"/>
  <c r="N12" i="43"/>
  <c r="O12" i="43"/>
  <c r="P12" i="43"/>
  <c r="Q12" i="43"/>
  <c r="R12" i="43"/>
  <c r="S12" i="43"/>
  <c r="T12" i="43"/>
  <c r="U12" i="43"/>
  <c r="V12" i="43"/>
  <c r="W12" i="43"/>
  <c r="X12" i="43"/>
  <c r="Y12" i="43"/>
  <c r="Z12" i="43"/>
  <c r="AA12" i="43"/>
  <c r="AB12" i="43"/>
  <c r="AC12" i="43"/>
  <c r="AD12" i="43"/>
  <c r="AE12" i="43"/>
  <c r="B13" i="43"/>
  <c r="C13" i="43"/>
  <c r="D13" i="43"/>
  <c r="E13" i="43"/>
  <c r="F13" i="43"/>
  <c r="G13" i="43"/>
  <c r="H13" i="43"/>
  <c r="I13" i="43"/>
  <c r="J13" i="43"/>
  <c r="K13" i="43"/>
  <c r="L13" i="43"/>
  <c r="M13" i="43"/>
  <c r="N13" i="43"/>
  <c r="O13" i="43"/>
  <c r="P13" i="43"/>
  <c r="Q13" i="43"/>
  <c r="R13" i="43"/>
  <c r="S13" i="43"/>
  <c r="T13" i="43"/>
  <c r="U13" i="43"/>
  <c r="V13" i="43"/>
  <c r="W13" i="43"/>
  <c r="X13" i="43"/>
  <c r="Y13" i="43"/>
  <c r="Z13" i="43"/>
  <c r="AA13" i="43"/>
  <c r="AB13" i="43"/>
  <c r="AC13" i="43"/>
  <c r="AD13" i="43"/>
  <c r="AE13" i="43"/>
  <c r="G4" i="41"/>
  <c r="H4" i="41"/>
  <c r="I4" i="41"/>
  <c r="I34" i="41" s="1"/>
  <c r="J4" i="41"/>
  <c r="K4" i="41"/>
  <c r="L4" i="41"/>
  <c r="C5" i="41"/>
  <c r="C9" i="41"/>
  <c r="G19" i="41"/>
  <c r="H19" i="41"/>
  <c r="I19" i="41"/>
  <c r="J19" i="41"/>
  <c r="K19" i="41"/>
  <c r="L19" i="41"/>
  <c r="C20" i="41"/>
  <c r="C23" i="41"/>
  <c r="C32" i="41"/>
  <c r="G34" i="41"/>
  <c r="G37" i="41" s="1"/>
  <c r="H35" i="41" s="1"/>
  <c r="H34" i="41"/>
  <c r="H37" i="41" s="1"/>
  <c r="I35" i="41" s="1"/>
  <c r="J34" i="41"/>
  <c r="K34" i="41"/>
  <c r="L34" i="41"/>
  <c r="G35" i="41"/>
  <c r="T22" i="30" l="1"/>
  <c r="Q21" i="30"/>
  <c r="S23" i="30"/>
  <c r="P22" i="30"/>
  <c r="R20" i="30"/>
  <c r="R23" i="30"/>
  <c r="T21" i="30"/>
  <c r="Q20" i="30"/>
  <c r="Q23" i="30"/>
  <c r="S21" i="30"/>
  <c r="I37" i="41"/>
  <c r="J35" i="41" s="1"/>
  <c r="J37" i="41" s="1"/>
  <c r="K35" i="41" s="1"/>
  <c r="K37" i="41" s="1"/>
  <c r="L35" i="41" s="1"/>
  <c r="L37" i="41" s="1"/>
  <c r="C26" i="39" l="1"/>
  <c r="G26" i="39"/>
  <c r="G13" i="39"/>
  <c r="C13" i="39"/>
  <c r="C28" i="39" l="1"/>
  <c r="Q4" i="30"/>
  <c r="C30" i="30" l="1"/>
  <c r="G29" i="30"/>
  <c r="H29" i="30" s="1"/>
  <c r="I29" i="30" s="1"/>
  <c r="G28" i="30"/>
  <c r="P9" i="30" s="1"/>
  <c r="G23" i="30"/>
  <c r="G12" i="30"/>
  <c r="G8" i="30" s="1"/>
  <c r="G4" i="30" s="1"/>
  <c r="G16" i="30"/>
  <c r="G17" i="30"/>
  <c r="G20" i="30"/>
  <c r="H20" i="30" s="1"/>
  <c r="H12" i="30"/>
  <c r="H8" i="30"/>
  <c r="H4" i="30" s="1"/>
  <c r="H13" i="30"/>
  <c r="I13" i="30" s="1"/>
  <c r="H14" i="30"/>
  <c r="H16" i="30"/>
  <c r="H17" i="30"/>
  <c r="I12" i="30"/>
  <c r="I17" i="30" s="1"/>
  <c r="I8" i="30"/>
  <c r="I4" i="30" s="1"/>
  <c r="I14" i="30"/>
  <c r="I16" i="30"/>
  <c r="I20" i="30"/>
  <c r="J4" i="30"/>
  <c r="J12" i="30"/>
  <c r="J13" i="30"/>
  <c r="J14" i="30"/>
  <c r="J20" i="30"/>
  <c r="K4" i="30"/>
  <c r="K12" i="30"/>
  <c r="K13" i="30"/>
  <c r="K14" i="30"/>
  <c r="C27" i="30"/>
  <c r="C26" i="30"/>
  <c r="C4" i="30"/>
  <c r="C25" i="30" s="1"/>
  <c r="C15" i="30"/>
  <c r="C22" i="30" s="1"/>
  <c r="C9" i="30"/>
  <c r="C12" i="30" s="1"/>
  <c r="K11" i="30" l="1"/>
  <c r="K22" i="30" s="1"/>
  <c r="J29" i="30"/>
  <c r="P14" i="30"/>
  <c r="G11" i="30"/>
  <c r="G22" i="30" s="1"/>
  <c r="G27" i="30" s="1"/>
  <c r="H23" i="30" s="1"/>
  <c r="J11" i="30"/>
  <c r="J22" i="30" s="1"/>
  <c r="I11" i="30"/>
  <c r="I22" i="30" s="1"/>
  <c r="P19" i="30"/>
  <c r="Q14" i="30"/>
  <c r="H11" i="30"/>
  <c r="H22" i="30" s="1"/>
  <c r="H28" i="30"/>
  <c r="P4" i="30"/>
  <c r="H27" i="30" l="1"/>
  <c r="I23" i="30" s="1"/>
  <c r="I27" i="30" s="1"/>
  <c r="J23" i="30" s="1"/>
  <c r="J27" i="30" s="1"/>
  <c r="K23" i="30" s="1"/>
  <c r="K27" i="30" s="1"/>
  <c r="Q9" i="30"/>
  <c r="Q19" i="30" s="1"/>
  <c r="I28" i="30"/>
  <c r="R14" i="30"/>
  <c r="P5" i="30"/>
  <c r="P8" i="30"/>
  <c r="P7" i="30"/>
  <c r="P6" i="30"/>
  <c r="Q8" i="30" l="1"/>
  <c r="Q7" i="30"/>
  <c r="R4" i="30"/>
  <c r="Q5" i="30"/>
  <c r="Q6" i="30"/>
  <c r="J28" i="30"/>
  <c r="R9" i="30"/>
  <c r="R19" i="30" s="1"/>
  <c r="K29" i="30"/>
  <c r="T14" i="30" s="1"/>
  <c r="S14" i="30"/>
  <c r="R7" i="30" l="1"/>
  <c r="R6" i="30"/>
  <c r="R5" i="30"/>
  <c r="S4" i="30"/>
  <c r="R8" i="30"/>
  <c r="K28" i="30"/>
  <c r="T9" i="30" s="1"/>
  <c r="T19" i="30" s="1"/>
  <c r="S9" i="30"/>
  <c r="S19" i="30" s="1"/>
  <c r="T4" i="30" l="1"/>
  <c r="S6" i="30"/>
  <c r="S5" i="30"/>
  <c r="S8" i="30"/>
  <c r="S7" i="30"/>
  <c r="T5" i="30" l="1"/>
  <c r="T8" i="30"/>
  <c r="T6" i="30"/>
  <c r="T7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H26" authorId="0" shapeId="0" xr:uid="{F7733E1F-48B7-6947-8629-E4A5ACC35FC7}">
      <text>
        <r>
          <rPr>
            <sz val="10"/>
            <color rgb="FF000000"/>
            <rFont val="Tahoma"/>
            <family val="2"/>
          </rPr>
          <t>Enter repayments as negative values.</t>
        </r>
      </text>
    </comment>
    <comment ref="I26" authorId="0" shapeId="0" xr:uid="{BEFF72CB-03AF-1A44-B8EE-AE360E3A7A81}">
      <text>
        <r>
          <rPr>
            <sz val="10"/>
            <color rgb="FF000000"/>
            <rFont val="Tahoma"/>
            <family val="2"/>
          </rPr>
          <t>Enter repayments as negative values.</t>
        </r>
      </text>
    </comment>
    <comment ref="J26" authorId="0" shapeId="0" xr:uid="{ECB7444E-5C7A-8F49-A335-718D4B0A093F}">
      <text>
        <r>
          <rPr>
            <sz val="10"/>
            <color rgb="FF000000"/>
            <rFont val="Tahoma"/>
            <family val="2"/>
          </rPr>
          <t>Enter repayments as negative values.</t>
        </r>
      </text>
    </comment>
    <comment ref="K26" authorId="0" shapeId="0" xr:uid="{522EE60D-7186-5943-A9F9-77FDBA30A2E4}">
      <text>
        <r>
          <rPr>
            <sz val="10"/>
            <color rgb="FF000000"/>
            <rFont val="Tahoma"/>
            <family val="2"/>
          </rPr>
          <t>Enter repayments as negative values.</t>
        </r>
      </text>
    </comment>
  </commentList>
</comments>
</file>

<file path=xl/sharedStrings.xml><?xml version="1.0" encoding="utf-8"?>
<sst xmlns="http://schemas.openxmlformats.org/spreadsheetml/2006/main" count="482" uniqueCount="319">
  <si>
    <t>Title</t>
  </si>
  <si>
    <t>Funding mix for an industrial company</t>
  </si>
  <si>
    <t>Description</t>
  </si>
  <si>
    <t>The geographical split of Company J’s operations is:</t>
  </si>
  <si>
    <t>USA           - 60%</t>
  </si>
  <si>
    <t>Canada     - 10%</t>
  </si>
  <si>
    <t>EU             - 15%</t>
  </si>
  <si>
    <t>China        - 15%</t>
  </si>
  <si>
    <t>COMPANY J SUMMARY BALANCE SHEET</t>
  </si>
  <si>
    <t>COMPANY J FORECAST FUNDING MIX</t>
  </si>
  <si>
    <t>US$ million</t>
  </si>
  <si>
    <t>Assets</t>
  </si>
  <si>
    <t>Q1</t>
  </si>
  <si>
    <t>Q2</t>
  </si>
  <si>
    <t>Q3</t>
  </si>
  <si>
    <t>Q4</t>
  </si>
  <si>
    <t>Cost</t>
  </si>
  <si>
    <t>US$ mn</t>
  </si>
  <si>
    <t>Current Assets</t>
  </si>
  <si>
    <t>Inflows</t>
  </si>
  <si>
    <t>Working Capital Employed</t>
  </si>
  <si>
    <t>Cash &amp; bank accounts</t>
  </si>
  <si>
    <t>Sales</t>
  </si>
  <si>
    <t>USA (60%)</t>
  </si>
  <si>
    <t>-</t>
  </si>
  <si>
    <t>Inventories</t>
  </si>
  <si>
    <t>Accounts receivable</t>
  </si>
  <si>
    <t>Canada (10%)</t>
  </si>
  <si>
    <t>EU (15%)</t>
  </si>
  <si>
    <t>Other current assets</t>
  </si>
  <si>
    <t>Accounts payable</t>
  </si>
  <si>
    <t>China (15%)</t>
  </si>
  <si>
    <t>Fixed Assets</t>
  </si>
  <si>
    <t>Asset sales</t>
  </si>
  <si>
    <r>
      <t>Short Term Debt</t>
    </r>
    <r>
      <rPr>
        <i/>
        <sz val="11"/>
        <color theme="1"/>
        <rFont val="Calibri"/>
        <family val="2"/>
        <scheme val="minor"/>
      </rPr>
      <t xml:space="preserve"> </t>
    </r>
  </si>
  <si>
    <t>Property, plant &amp; equipment</t>
  </si>
  <si>
    <t>Other</t>
  </si>
  <si>
    <t>Note 1</t>
  </si>
  <si>
    <t>USA</t>
  </si>
  <si>
    <t>Long term investments</t>
  </si>
  <si>
    <t>Outflows</t>
  </si>
  <si>
    <t>Canada</t>
  </si>
  <si>
    <t>Total Assets</t>
  </si>
  <si>
    <t>Cost of goods sold</t>
  </si>
  <si>
    <t>EU</t>
  </si>
  <si>
    <t>Payroll</t>
  </si>
  <si>
    <t>China</t>
  </si>
  <si>
    <t>Liabilities &amp; Equity</t>
  </si>
  <si>
    <t>Fixed expenses</t>
  </si>
  <si>
    <r>
      <t>Long Term Debt</t>
    </r>
    <r>
      <rPr>
        <i/>
        <sz val="11"/>
        <color theme="1"/>
        <rFont val="Calibri"/>
        <family val="2"/>
        <scheme val="minor"/>
      </rPr>
      <t xml:space="preserve"> </t>
    </r>
  </si>
  <si>
    <t>Current Liabilities</t>
  </si>
  <si>
    <t>Bank fees and interest</t>
  </si>
  <si>
    <t>Short term debt</t>
  </si>
  <si>
    <t>Other current liabilities</t>
  </si>
  <si>
    <t>Not available</t>
  </si>
  <si>
    <t>Long term debt</t>
  </si>
  <si>
    <t>Long term debt repayments</t>
  </si>
  <si>
    <t xml:space="preserve">Undrawn Loan Commitments </t>
  </si>
  <si>
    <t>Other non-current Liabilities</t>
  </si>
  <si>
    <t>Capital expenditure</t>
  </si>
  <si>
    <t>Shareholder Equity</t>
  </si>
  <si>
    <t>Total Liabilities &amp; Equity</t>
  </si>
  <si>
    <t>Net Cash Flow</t>
  </si>
  <si>
    <t>Beginning cash &amp; bank accounts</t>
  </si>
  <si>
    <t>Ratios</t>
  </si>
  <si>
    <t>New long term debt</t>
  </si>
  <si>
    <t>Total Available Funding</t>
  </si>
  <si>
    <t>CA/CL</t>
  </si>
  <si>
    <t>New short term debt</t>
  </si>
  <si>
    <t>TD/SE</t>
  </si>
  <si>
    <t>Short term debt repayments</t>
  </si>
  <si>
    <t>SE/PPE</t>
  </si>
  <si>
    <t>Ending cash and bank accounts</t>
  </si>
  <si>
    <t>Ending short term debt</t>
  </si>
  <si>
    <t>Ending long term debt</t>
  </si>
  <si>
    <t>Sales/Inventory</t>
  </si>
  <si>
    <t>BANK R SUMMARY BALANCE SHEET</t>
  </si>
  <si>
    <t>BANK R 2019 BUSINESS LINE PROJECTIONS</t>
  </si>
  <si>
    <t>US$ billion</t>
  </si>
  <si>
    <t>Cash &amp; due from banks</t>
  </si>
  <si>
    <t>Investment securities</t>
  </si>
  <si>
    <t>Retail checking accounts</t>
  </si>
  <si>
    <t>Loans</t>
  </si>
  <si>
    <t>Retail savings accounts</t>
  </si>
  <si>
    <t>Residential mortgages</t>
  </si>
  <si>
    <t>Commercial checking accounts</t>
  </si>
  <si>
    <t>Home equity loans</t>
  </si>
  <si>
    <t>Commercial savings accounts</t>
  </si>
  <si>
    <t>Auto loans</t>
  </si>
  <si>
    <t>Sale of investment securities</t>
  </si>
  <si>
    <t>Credit cards</t>
  </si>
  <si>
    <t>Sale of residential mortgages</t>
  </si>
  <si>
    <t>Other retail loans</t>
  </si>
  <si>
    <t>Residential mortgage repayments</t>
  </si>
  <si>
    <t>Commercial mortgages</t>
  </si>
  <si>
    <t>Home equity loan repayments</t>
  </si>
  <si>
    <t>Other commercial loans</t>
  </si>
  <si>
    <t>Auto loan repayments</t>
  </si>
  <si>
    <t>Allowance for loan losses</t>
  </si>
  <si>
    <t>Credit card repayments</t>
  </si>
  <si>
    <t>Premises and equipment</t>
  </si>
  <si>
    <t>Other retail loan repayments</t>
  </si>
  <si>
    <t>Intangible assets</t>
  </si>
  <si>
    <t>Commercial mortgage repayments</t>
  </si>
  <si>
    <t>Other commercial loan repayments</t>
  </si>
  <si>
    <t>Sale of premises and equipment</t>
  </si>
  <si>
    <t>Deposits</t>
  </si>
  <si>
    <t xml:space="preserve">Retail checking </t>
  </si>
  <si>
    <t>Retail savings</t>
  </si>
  <si>
    <t>Commercial checking</t>
  </si>
  <si>
    <t>Commercial savings</t>
  </si>
  <si>
    <t>Purchase of investment securities</t>
  </si>
  <si>
    <t>Due to banks</t>
  </si>
  <si>
    <t>New residential mortgages</t>
  </si>
  <si>
    <t>CD's issued</t>
  </si>
  <si>
    <t>Home equity loan drawdowns</t>
  </si>
  <si>
    <t>Long term borrowings</t>
  </si>
  <si>
    <t>New auto loans</t>
  </si>
  <si>
    <t>Shareholder equity</t>
  </si>
  <si>
    <t>Credit card disbursements</t>
  </si>
  <si>
    <t>Other new retail loans</t>
  </si>
  <si>
    <t>New commercial mortgages</t>
  </si>
  <si>
    <t>Other new commercial loans</t>
  </si>
  <si>
    <t>Purchase of premises and equipment</t>
  </si>
  <si>
    <t>Ending cash &amp; due from banks</t>
  </si>
  <si>
    <t>Questions</t>
  </si>
  <si>
    <r>
      <t>1.</t>
    </r>
    <r>
      <rPr>
        <sz val="16"/>
        <color rgb="FF333333"/>
        <rFont val="Times New Roman"/>
        <family val="1"/>
      </rPr>
      <t xml:space="preserve">      </t>
    </r>
    <r>
      <rPr>
        <sz val="16"/>
        <color rgb="FF333333"/>
        <rFont val="Calibri"/>
        <family val="2"/>
      </rPr>
      <t>Which quarter-end in the forecast shows the lowest amount of EU debt, and how much is it?</t>
    </r>
  </si>
  <si>
    <r>
      <t>2.</t>
    </r>
    <r>
      <rPr>
        <sz val="16"/>
        <color rgb="FF333333"/>
        <rFont val="Times New Roman"/>
        <family val="1"/>
      </rPr>
      <t xml:space="preserve">      </t>
    </r>
    <r>
      <rPr>
        <sz val="16"/>
        <color rgb="FF333333"/>
        <rFont val="Calibri"/>
        <family val="2"/>
      </rPr>
      <t>What is the highest undrawn loan commitments/total debt % in your forecast funding mix, and on which quarter-end date does it occur?</t>
    </r>
  </si>
  <si>
    <r>
      <t>3.</t>
    </r>
    <r>
      <rPr>
        <sz val="16"/>
        <color rgb="FF333333"/>
        <rFont val="Times New Roman"/>
        <family val="1"/>
      </rPr>
      <t xml:space="preserve">      </t>
    </r>
    <r>
      <rPr>
        <sz val="16"/>
        <color rgb="FF333333"/>
        <rFont val="Calibri"/>
        <family val="2"/>
      </rPr>
      <t>What is the highest short term debt/total debt % in your forecast funding mix and on which quarter end date does it occur?</t>
    </r>
  </si>
  <si>
    <t>COMPANY J 2021 CASH FLOW FORECAST</t>
  </si>
  <si>
    <t>You are a treasury analyst in Company J, a multinational corporation with sales, suppliers and manufacturing in the USA, Canada, EU and China. You have received the company’s cash flow forecast for 2020. It is your responsibility to recommend a suitable funding mix to support the company’s forecast cash flow.</t>
  </si>
  <si>
    <t>Undrawn loan commitments % total debt:</t>
  </si>
  <si>
    <t>% short term debt/total debt:</t>
  </si>
  <si>
    <t xml:space="preserve">  </t>
  </si>
  <si>
    <t>Weighted average cost of borrowing:</t>
  </si>
  <si>
    <t>https://www.youtube.com/watch?v=xE5klz0yUT0</t>
  </si>
  <si>
    <t>Classic Run on Bank Scenes</t>
  </si>
  <si>
    <t>Mary Poppins</t>
  </si>
  <si>
    <t>It's a Wonderful Life</t>
  </si>
  <si>
    <t>https://www.youtube.com/watch?v=iPkJH6BT7dM</t>
  </si>
  <si>
    <t>Other types of Runs</t>
  </si>
  <si>
    <t>Commercial Banks</t>
  </si>
  <si>
    <t>Insurance companies</t>
  </si>
  <si>
    <t>Define scenarios</t>
  </si>
  <si>
    <t>For each scenario, define stresses</t>
  </si>
  <si>
    <t>Estimate cash flows from customer behavior</t>
  </si>
  <si>
    <t>Add non-discretionary treasury cash flows</t>
  </si>
  <si>
    <t>Total the above two -&gt; forecasted liquidity requirement</t>
  </si>
  <si>
    <t>Determine the amount of standby liquidity available -&gt; counter balancing capacity</t>
  </si>
  <si>
    <t>Compare the quantity of forecasted need to the quantity of forecasted funds available.</t>
  </si>
  <si>
    <t>Communicate to management</t>
  </si>
  <si>
    <t>8 Steps of Stress Testing</t>
  </si>
  <si>
    <t>For each scenario and stress …</t>
  </si>
  <si>
    <t>---&gt;</t>
  </si>
  <si>
    <t>Rates</t>
  </si>
  <si>
    <t>Stress Level 1</t>
  </si>
  <si>
    <t>Stress Level 2</t>
  </si>
  <si>
    <t>Stress Level 3</t>
  </si>
  <si>
    <t>Scenario A</t>
  </si>
  <si>
    <t>Scenario B</t>
  </si>
  <si>
    <t>Scenario C</t>
  </si>
  <si>
    <t>LoanUtilization</t>
  </si>
  <si>
    <t>BorrowingAbility</t>
  </si>
  <si>
    <t>good</t>
  </si>
  <si>
    <t>okay</t>
  </si>
  <si>
    <t>bad</t>
  </si>
  <si>
    <t>worse</t>
  </si>
  <si>
    <t>Terminology</t>
  </si>
  <si>
    <t>NOW Account</t>
  </si>
  <si>
    <t>MMDA</t>
  </si>
  <si>
    <t>Negotiable Order of Withdrawal</t>
  </si>
  <si>
    <t>Money Market Deposit Account</t>
  </si>
  <si>
    <t>Hull p.381-388</t>
  </si>
  <si>
    <t>Capital Definition and requirements</t>
  </si>
  <si>
    <t>Capital Conservation buffer</t>
  </si>
  <si>
    <t>Countercyclical buffer</t>
  </si>
  <si>
    <t>Leverage Ratio</t>
  </si>
  <si>
    <t>Liquidity Ratios</t>
  </si>
  <si>
    <t>Capital for CVA Risk</t>
  </si>
  <si>
    <t>ASF Factor</t>
  </si>
  <si>
    <t>Category</t>
  </si>
  <si>
    <t>Tier 1 and Tier 2 capital</t>
  </si>
  <si>
    <t>Preferred stock and borrowing with a remaining maturity greater than 1 year</t>
  </si>
  <si>
    <t>Wholesale demand deposits</t>
  </si>
  <si>
    <t>All other liability and equity categories</t>
  </si>
  <si>
    <t>RSF Factor</t>
  </si>
  <si>
    <t>Cash and short-term instruments (&lt;1 yr)</t>
  </si>
  <si>
    <t>Corporate bonds rating AA or higher (&gt;1 yr)</t>
  </si>
  <si>
    <t>Claims on sovereigns with risk weight =20%</t>
  </si>
  <si>
    <t>Gold, equities, and bond rated A</t>
  </si>
  <si>
    <t>Loans to retail and small business (&lt;1 year)</t>
  </si>
  <si>
    <t>All other assets</t>
  </si>
  <si>
    <t>Claims on sovereign governments with a  risk weight =0% (&gt;1 yr)</t>
  </si>
  <si>
    <t>Common equity Tier 1 &gt; 4.5% RWA</t>
  </si>
  <si>
    <t>Additional Tier 1 &gt; 6% RWA</t>
  </si>
  <si>
    <t>Tier 1 + Tier 2 &gt; 8% RWA</t>
  </si>
  <si>
    <t>Extra 2.5% common equity required to absore losses during stressed periods</t>
  </si>
  <si>
    <t>Total common equity &lt; 7% (4.5%+2.5%) dividends are restricted</t>
  </si>
  <si>
    <t>Extra equity capital allowed for cyclicality of bank earnings</t>
  </si>
  <si>
    <t>Level set at maximul level of 2.5% of RWA</t>
  </si>
  <si>
    <t>Ratio of Tier 1 capital to total exposure &gt; 3%</t>
  </si>
  <si>
    <t>Hull p.385-388</t>
  </si>
  <si>
    <t>Introduced Liquidity Risk Ratios (LCR and NSFR)</t>
  </si>
  <si>
    <t>Liquidity Coverage Ratio (LCR)</t>
  </si>
  <si>
    <t>ASF Factors for Net Stable Funding Ratio</t>
  </si>
  <si>
    <t>RSF Factors for Net Stable Funding Ratio</t>
  </si>
  <si>
    <t xml:space="preserve">"Stable" demand deposits and term deposits </t>
  </si>
  <si>
    <t>"Less stable" demand deposits and term deposits</t>
  </si>
  <si>
    <t>Assumption: Bank's ability to survive a 30-day period of liquidity disruption</t>
  </si>
  <si>
    <t>Hull p.387</t>
  </si>
  <si>
    <t>NSFR Example</t>
  </si>
  <si>
    <t>Cash</t>
  </si>
  <si>
    <t>Treasury Bond (&gt;1yr)</t>
  </si>
  <si>
    <t>Mortgages</t>
  </si>
  <si>
    <t>Small Business Loans</t>
  </si>
  <si>
    <t>Retail Deposits (stable)</t>
  </si>
  <si>
    <t>Wholesale Deposits</t>
  </si>
  <si>
    <t>Tier 2 Capital</t>
  </si>
  <si>
    <t>Tier 1 Capital</t>
  </si>
  <si>
    <t>Level 1</t>
  </si>
  <si>
    <t>Level 2A</t>
  </si>
  <si>
    <t>Level 2B</t>
  </si>
  <si>
    <t>Discount Factor</t>
  </si>
  <si>
    <t>Federal Reserve bank balance, foreign resources can be withdrawn quickly, securities issued or guaranteed by specfic sovereign entities and US Gov't issued or guaranteed securities</t>
  </si>
  <si>
    <t>Securities issued or guaranteed by specific multilateral development banks or sovereign entities, and securities issued by US government-sponsored enterprises</t>
  </si>
  <si>
    <t>Publicly-traded common stock and investment-grade corporate debt securities issued by non-financial sector corporations</t>
  </si>
  <si>
    <t>HQLA Definition</t>
  </si>
  <si>
    <t>During the crisis, result was not driven by a result of shortage of capital, instead, a result of liquidty risk</t>
  </si>
  <si>
    <t>What is liquidity risk?</t>
  </si>
  <si>
    <t>Liquidity risk is a consequential risk, not triggered by credit or trading losses</t>
  </si>
  <si>
    <t>Liquidity problems resulted from off-balance sheet commitments</t>
  </si>
  <si>
    <t>Two principal types of market liquidity risk</t>
  </si>
  <si>
    <t>Funding Liquidity</t>
  </si>
  <si>
    <t>Investment Liquidity</t>
  </si>
  <si>
    <t>Solvency</t>
  </si>
  <si>
    <t>Liquidity</t>
  </si>
  <si>
    <t>refers to a company having more assets than liabilities, so that the value of its equity is positive</t>
  </si>
  <si>
    <t>refers to the ability to make cash payments as they become due/capacity to meet its cash/collateral obligations</t>
  </si>
  <si>
    <t>"Solvency" vs "Liquidity"</t>
  </si>
  <si>
    <t>Introduction</t>
  </si>
  <si>
    <t xml:space="preserve">Level 2A </t>
  </si>
  <si>
    <t>https://www.bis.org/publ/bcbs238.pdf</t>
  </si>
  <si>
    <t>Beginning cash</t>
  </si>
  <si>
    <t>Common stock - financial</t>
  </si>
  <si>
    <t>Common stock - non financial</t>
  </si>
  <si>
    <t>Treasury bonds</t>
  </si>
  <si>
    <t>NSFR:</t>
  </si>
  <si>
    <t>https://www.bis.org/fsi/fsisummaries/nsfr.htm</t>
  </si>
  <si>
    <t>Net Stable Funding Ratio (NSFR)</t>
  </si>
  <si>
    <t>Funding</t>
  </si>
  <si>
    <t>Stable</t>
  </si>
  <si>
    <t>of</t>
  </si>
  <si>
    <t>Sovereigns</t>
  </si>
  <si>
    <t>Amount</t>
  </si>
  <si>
    <t>Corporates</t>
  </si>
  <si>
    <t>Banks</t>
  </si>
  <si>
    <t>Short Term Loans</t>
  </si>
  <si>
    <t>Deposits - Whole Sale</t>
  </si>
  <si>
    <t>Gold</t>
  </si>
  <si>
    <t>Long Term Debt Issue - Subordinated</t>
  </si>
  <si>
    <t>3 Month+  High Turnover Deposits</t>
  </si>
  <si>
    <t>Revaluated Reserves</t>
  </si>
  <si>
    <t>Deposits - Sovereign</t>
  </si>
  <si>
    <t>Treasury Stock</t>
  </si>
  <si>
    <t>Deposits - Corporate</t>
  </si>
  <si>
    <t>Leveraged Bonds</t>
  </si>
  <si>
    <t>6 Month+ Retail CDs</t>
  </si>
  <si>
    <t>Equities</t>
  </si>
  <si>
    <t>Retained Earnings</t>
  </si>
  <si>
    <t>Demand Deposits - Wholesale</t>
  </si>
  <si>
    <t>Deposits - Banks</t>
  </si>
  <si>
    <t>Demand Deposits - Less Stable</t>
  </si>
  <si>
    <t>Notes:</t>
  </si>
  <si>
    <t>Demand Deposits - Stable</t>
  </si>
  <si>
    <t>Treasury Preferred Stock</t>
  </si>
  <si>
    <t>ASF</t>
  </si>
  <si>
    <t>BANK XYZ Assets / Liabilities</t>
  </si>
  <si>
    <t>Required</t>
  </si>
  <si>
    <t>Long Term Investment Grade Bonds</t>
  </si>
  <si>
    <t>Short Term Securities</t>
  </si>
  <si>
    <t>RSF</t>
  </si>
  <si>
    <t>https://en.wikipedia.org/wiki/Laddering</t>
  </si>
  <si>
    <t>Laddered Maturities</t>
  </si>
  <si>
    <t>Liquidity Risk Management</t>
  </si>
  <si>
    <t>Basel III</t>
  </si>
  <si>
    <t>Laddering</t>
  </si>
  <si>
    <t>Basel III Overview</t>
  </si>
  <si>
    <t>Amount of Stable Funding</t>
  </si>
  <si>
    <t>Required Amount of Stable Funding</t>
  </si>
  <si>
    <t>NSFR</t>
  </si>
  <si>
    <t>Bank Balance Sheet</t>
  </si>
  <si>
    <t>Preferred stock and borrowing with a remaining maturity &gt; 1yr</t>
  </si>
  <si>
    <t>Securities issued by sovereign entities</t>
  </si>
  <si>
    <t>Federal Reserve bank balance</t>
  </si>
  <si>
    <t>US Gov't issued securities</t>
  </si>
  <si>
    <t>Securities issued by US Gov't sponsored enterprises</t>
  </si>
  <si>
    <t>Publicly traded common stock</t>
  </si>
  <si>
    <t>Investment grade corporate debt by non financial sector corporation</t>
  </si>
  <si>
    <t>Securities issued or guaranteed by multilateral development banks</t>
  </si>
  <si>
    <t>Liquidity Coverage Ratio</t>
  </si>
  <si>
    <t>Net Stable Funding Ratio</t>
  </si>
  <si>
    <t xml:space="preserve">3 notch downgrade (e.g. AA- to A-), </t>
  </si>
  <si>
    <t>Partial loss of deposits</t>
  </si>
  <si>
    <t>Increased haircuts on secured funding</t>
  </si>
  <si>
    <t>Increased collateral requirements</t>
  </si>
  <si>
    <t>Drawdowns on lines of credit</t>
  </si>
  <si>
    <t>Reading:</t>
  </si>
  <si>
    <t>Enter your selected values on the Q1_FundingMixCalcs tab.</t>
  </si>
  <si>
    <t>1) Enter the amounts which you consider appropriate in the yellow-shaded cells, corresponding to the geographical distribution of each type of debt, and 
2) Calculate the funding policy ratios in the green-shaded cells. 
3) Answer the following questions, giving brief explanations for your calculations.</t>
  </si>
  <si>
    <t>Example 16.1</t>
  </si>
  <si>
    <t>Liquidity Coverage Ratio for Jan 2021:</t>
  </si>
  <si>
    <t>t</t>
  </si>
  <si>
    <t>r</t>
  </si>
  <si>
    <t>P</t>
  </si>
  <si>
    <t>$vol</t>
  </si>
  <si>
    <t>Pcum</t>
  </si>
  <si>
    <t>The company’s treasury risk management policy states a preference for funding working capital employed in the same country and currency, where available at a reasonable cost. It also requires that, at all times, the amount of undrawn loan commitments be =&gt; 20% of total debt and that the amount of short term debt be &lt;= 60% of total debt.  Each year should start with at least $10 Million in cash.
While complying with these constraints, try to keep the cost of borrowing low.</t>
  </si>
  <si>
    <t>LCR</t>
  </si>
  <si>
    <t>Long Term Sovereign Bonds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</si>
</sst>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7" formatCode="#,##0.0_);\(#,##0.0\)"/>
  </numFmts>
  <fonts count="4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rgb="FF0033CC"/>
      <name val="Calibri"/>
      <family val="2"/>
      <scheme val="minor"/>
    </font>
    <font>
      <sz val="11"/>
      <color rgb="FF0033CC"/>
      <name val="Calibri"/>
      <family val="2"/>
      <scheme val="minor"/>
    </font>
    <font>
      <i/>
      <sz val="11"/>
      <color rgb="FF0033CC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rgb="FF000000"/>
      <name val="Tahoma"/>
      <family val="2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rgb="FF333333"/>
      <name val="Calibri"/>
      <family val="2"/>
    </font>
    <font>
      <sz val="16"/>
      <name val="Calibri"/>
      <family val="2"/>
    </font>
    <font>
      <sz val="16"/>
      <color rgb="FF333333"/>
      <name val="Calibri"/>
      <family val="2"/>
    </font>
    <font>
      <sz val="16"/>
      <color rgb="FF333333"/>
      <name val="Times New Roman"/>
      <family val="1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rgb="FF000000"/>
      <name val="Arial"/>
      <family val="2"/>
    </font>
    <font>
      <sz val="20"/>
      <name val="Calibri"/>
      <family val="2"/>
      <scheme val="minor"/>
    </font>
    <font>
      <b/>
      <sz val="20"/>
      <name val="Calibri"/>
      <family val="2"/>
      <scheme val="minor"/>
    </font>
    <font>
      <b/>
      <i/>
      <sz val="2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5"/>
      <color theme="1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u/>
      <sz val="15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6"/>
      <color rgb="FF000000"/>
      <name val="Arial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20"/>
      <color theme="0" tint="-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7"/>
        <bgColor indexed="64"/>
      </patternFill>
    </fill>
    <fill>
      <patternFill patternType="solid">
        <fgColor rgb="FFF6F9FB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13">
    <xf numFmtId="0" fontId="0" fillId="0" borderId="0"/>
    <xf numFmtId="0" fontId="9" fillId="0" borderId="0"/>
    <xf numFmtId="9" fontId="9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6" fillId="0" borderId="0" applyNumberFormat="0" applyFill="0" applyBorder="0" applyAlignment="0" applyProtection="0"/>
    <xf numFmtId="9" fontId="28" fillId="0" borderId="0" applyFont="0" applyFill="0" applyBorder="0" applyAlignment="0" applyProtection="0"/>
    <xf numFmtId="0" fontId="2" fillId="0" borderId="0"/>
    <xf numFmtId="0" fontId="1" fillId="0" borderId="0"/>
  </cellStyleXfs>
  <cellXfs count="148">
    <xf numFmtId="0" fontId="0" fillId="0" borderId="0" xfId="0"/>
    <xf numFmtId="0" fontId="11" fillId="0" borderId="0" xfId="0" applyFont="1"/>
    <xf numFmtId="0" fontId="0" fillId="0" borderId="0" xfId="0" applyAlignment="1">
      <alignment horizontal="center"/>
    </xf>
    <xf numFmtId="37" fontId="12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15" fontId="0" fillId="0" borderId="0" xfId="0" applyNumberFormat="1" applyAlignment="1">
      <alignment horizontal="center"/>
    </xf>
    <xf numFmtId="15" fontId="11" fillId="0" borderId="0" xfId="0" applyNumberFormat="1" applyFont="1" applyAlignment="1">
      <alignment horizontal="center"/>
    </xf>
    <xf numFmtId="0" fontId="13" fillId="0" borderId="0" xfId="0" applyFont="1"/>
    <xf numFmtId="0" fontId="0" fillId="0" borderId="8" xfId="0" applyBorder="1" applyAlignment="1">
      <alignment horizontal="center"/>
    </xf>
    <xf numFmtId="37" fontId="0" fillId="0" borderId="0" xfId="0" applyNumberFormat="1" applyAlignment="1">
      <alignment horizontal="center"/>
    </xf>
    <xf numFmtId="0" fontId="11" fillId="0" borderId="0" xfId="0" applyFont="1" applyAlignment="1">
      <alignment horizontal="left"/>
    </xf>
    <xf numFmtId="37" fontId="10" fillId="0" borderId="8" xfId="0" applyNumberFormat="1" applyFont="1" applyBorder="1" applyAlignment="1">
      <alignment horizontal="center"/>
    </xf>
    <xf numFmtId="0" fontId="14" fillId="0" borderId="0" xfId="0" applyFont="1"/>
    <xf numFmtId="0" fontId="14" fillId="0" borderId="9" xfId="0" applyFont="1" applyBorder="1" applyAlignment="1">
      <alignment horizontal="center"/>
    </xf>
    <xf numFmtId="37" fontId="14" fillId="0" borderId="0" xfId="0" applyNumberFormat="1" applyFont="1" applyAlignment="1">
      <alignment horizontal="center"/>
    </xf>
    <xf numFmtId="37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1" fontId="10" fillId="0" borderId="9" xfId="0" applyNumberFormat="1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3" fontId="11" fillId="0" borderId="0" xfId="0" applyNumberFormat="1" applyFont="1" applyAlignment="1">
      <alignment horizontal="center"/>
    </xf>
    <xf numFmtId="0" fontId="17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17" fillId="0" borderId="10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37" fontId="10" fillId="0" borderId="0" xfId="0" applyNumberFormat="1" applyFont="1" applyAlignment="1">
      <alignment horizontal="center"/>
    </xf>
    <xf numFmtId="37" fontId="0" fillId="0" borderId="0" xfId="0" applyNumberFormat="1"/>
    <xf numFmtId="165" fontId="14" fillId="3" borderId="0" xfId="0" applyNumberFormat="1" applyFont="1" applyFill="1" applyAlignment="1">
      <alignment horizontal="center"/>
    </xf>
    <xf numFmtId="0" fontId="15" fillId="0" borderId="0" xfId="0" applyFont="1"/>
    <xf numFmtId="3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164" fontId="15" fillId="0" borderId="0" xfId="0" applyNumberFormat="1" applyFont="1" applyAlignment="1">
      <alignment horizontal="center"/>
    </xf>
    <xf numFmtId="164" fontId="0" fillId="0" borderId="8" xfId="0" applyNumberFormat="1" applyBorder="1" applyAlignment="1">
      <alignment horizontal="center"/>
    </xf>
    <xf numFmtId="167" fontId="0" fillId="0" borderId="0" xfId="0" applyNumberFormat="1" applyAlignment="1">
      <alignment horizontal="center"/>
    </xf>
    <xf numFmtId="164" fontId="0" fillId="0" borderId="9" xfId="0" applyNumberFormat="1" applyBorder="1" applyAlignment="1">
      <alignment horizontal="center"/>
    </xf>
    <xf numFmtId="0" fontId="14" fillId="0" borderId="0" xfId="0" applyFont="1" applyAlignment="1">
      <alignment horizontal="left" indent="1"/>
    </xf>
    <xf numFmtId="164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left"/>
    </xf>
    <xf numFmtId="164" fontId="0" fillId="0" borderId="10" xfId="0" applyNumberForma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3" fillId="0" borderId="9" xfId="0" applyNumberFormat="1" applyFont="1" applyBorder="1" applyAlignment="1">
      <alignment horizontal="center"/>
    </xf>
    <xf numFmtId="164" fontId="0" fillId="0" borderId="0" xfId="0" applyNumberFormat="1"/>
    <xf numFmtId="0" fontId="10" fillId="0" borderId="0" xfId="0" applyFont="1"/>
    <xf numFmtId="37" fontId="14" fillId="5" borderId="0" xfId="0" applyNumberFormat="1" applyFont="1" applyFill="1" applyAlignment="1">
      <alignment horizontal="center"/>
    </xf>
    <xf numFmtId="0" fontId="21" fillId="4" borderId="0" xfId="0" applyFont="1" applyFill="1" applyAlignment="1">
      <alignment horizontal="center"/>
    </xf>
    <xf numFmtId="0" fontId="21" fillId="4" borderId="0" xfId="0" applyFont="1" applyFill="1"/>
    <xf numFmtId="0" fontId="22" fillId="2" borderId="1" xfId="0" applyFont="1" applyFill="1" applyBorder="1" applyAlignment="1">
      <alignment horizontal="center" vertical="center" wrapText="1"/>
    </xf>
    <xf numFmtId="0" fontId="23" fillId="2" borderId="2" xfId="0" applyFont="1" applyFill="1" applyBorder="1" applyAlignment="1">
      <alignment vertical="center" wrapText="1"/>
    </xf>
    <xf numFmtId="0" fontId="24" fillId="2" borderId="6" xfId="0" applyFont="1" applyFill="1" applyBorder="1" applyAlignment="1">
      <alignment vertical="center" wrapText="1"/>
    </xf>
    <xf numFmtId="0" fontId="24" fillId="2" borderId="3" xfId="0" applyFont="1" applyFill="1" applyBorder="1" applyAlignment="1">
      <alignment vertical="center" wrapText="1"/>
    </xf>
    <xf numFmtId="0" fontId="24" fillId="2" borderId="6" xfId="0" applyFont="1" applyFill="1" applyBorder="1" applyAlignment="1">
      <alignment horizontal="left" vertical="center" wrapText="1" indent="2"/>
    </xf>
    <xf numFmtId="0" fontId="24" fillId="2" borderId="4" xfId="0" applyFont="1" applyFill="1" applyBorder="1" applyAlignment="1">
      <alignment horizontal="left" vertical="center" wrapText="1" indent="2"/>
    </xf>
    <xf numFmtId="0" fontId="0" fillId="0" borderId="0" xfId="0" applyAlignment="1">
      <alignment horizontal="right"/>
    </xf>
    <xf numFmtId="0" fontId="14" fillId="0" borderId="0" xfId="0" applyFont="1" applyAlignment="1">
      <alignment horizontal="right"/>
    </xf>
    <xf numFmtId="0" fontId="18" fillId="4" borderId="0" xfId="8" applyFont="1" applyFill="1"/>
    <xf numFmtId="0" fontId="26" fillId="4" borderId="0" xfId="9" applyFill="1"/>
    <xf numFmtId="0" fontId="27" fillId="6" borderId="0" xfId="0" applyFont="1" applyFill="1" applyAlignment="1">
      <alignment horizontal="left"/>
    </xf>
    <xf numFmtId="0" fontId="18" fillId="7" borderId="0" xfId="8" applyFont="1" applyFill="1"/>
    <xf numFmtId="0" fontId="18" fillId="7" borderId="0" xfId="8" quotePrefix="1" applyFont="1" applyFill="1"/>
    <xf numFmtId="0" fontId="18" fillId="7" borderId="0" xfId="8" applyFont="1" applyFill="1" applyAlignment="1">
      <alignment horizontal="center"/>
    </xf>
    <xf numFmtId="0" fontId="18" fillId="7" borderId="7" xfId="8" applyFont="1" applyFill="1" applyBorder="1" applyAlignment="1">
      <alignment horizontal="center"/>
    </xf>
    <xf numFmtId="0" fontId="18" fillId="7" borderId="5" xfId="8" applyFont="1" applyFill="1" applyBorder="1" applyAlignment="1">
      <alignment horizontal="center"/>
    </xf>
    <xf numFmtId="0" fontId="18" fillId="7" borderId="3" xfId="8" applyFont="1" applyFill="1" applyBorder="1" applyAlignment="1">
      <alignment horizontal="center"/>
    </xf>
    <xf numFmtId="0" fontId="29" fillId="0" borderId="11" xfId="0" applyFont="1" applyBorder="1" applyAlignment="1">
      <alignment horizontal="left" vertical="center" wrapText="1" readingOrder="1"/>
    </xf>
    <xf numFmtId="0" fontId="29" fillId="0" borderId="11" xfId="0" applyFont="1" applyBorder="1" applyAlignment="1">
      <alignment horizontal="center" vertical="center" wrapText="1" readingOrder="1"/>
    </xf>
    <xf numFmtId="0" fontId="29" fillId="0" borderId="12" xfId="0" applyFont="1" applyBorder="1" applyAlignment="1">
      <alignment horizontal="left" vertical="center" wrapText="1" readingOrder="1"/>
    </xf>
    <xf numFmtId="0" fontId="29" fillId="0" borderId="13" xfId="0" applyFont="1" applyBorder="1" applyAlignment="1">
      <alignment horizontal="left" vertical="center" wrapText="1" readingOrder="1"/>
    </xf>
    <xf numFmtId="9" fontId="29" fillId="0" borderId="11" xfId="0" applyNumberFormat="1" applyFont="1" applyBorder="1" applyAlignment="1">
      <alignment horizontal="center" vertical="center" wrapText="1" readingOrder="1"/>
    </xf>
    <xf numFmtId="0" fontId="30" fillId="4" borderId="0" xfId="8" applyFont="1" applyFill="1"/>
    <xf numFmtId="0" fontId="31" fillId="4" borderId="0" xfId="8" applyFont="1" applyFill="1"/>
    <xf numFmtId="0" fontId="32" fillId="4" borderId="0" xfId="8" applyFont="1" applyFill="1"/>
    <xf numFmtId="10" fontId="30" fillId="4" borderId="0" xfId="10" applyNumberFormat="1" applyFont="1" applyFill="1"/>
    <xf numFmtId="0" fontId="33" fillId="4" borderId="0" xfId="8" applyFont="1" applyFill="1"/>
    <xf numFmtId="0" fontId="34" fillId="4" borderId="0" xfId="11" applyFont="1" applyFill="1"/>
    <xf numFmtId="0" fontId="34" fillId="4" borderId="0" xfId="11" applyFont="1" applyFill="1" applyAlignment="1">
      <alignment horizontal="right"/>
    </xf>
    <xf numFmtId="0" fontId="34" fillId="4" borderId="0" xfId="0" applyFont="1" applyFill="1"/>
    <xf numFmtId="0" fontId="34" fillId="4" borderId="0" xfId="0" applyFont="1" applyFill="1" applyAlignment="1">
      <alignment horizontal="right"/>
    </xf>
    <xf numFmtId="1" fontId="34" fillId="4" borderId="0" xfId="11" applyNumberFormat="1" applyFont="1" applyFill="1"/>
    <xf numFmtId="0" fontId="35" fillId="4" borderId="0" xfId="0" applyFont="1" applyFill="1"/>
    <xf numFmtId="0" fontId="34" fillId="5" borderId="0" xfId="11" applyFont="1" applyFill="1"/>
    <xf numFmtId="9" fontId="34" fillId="4" borderId="0" xfId="10" applyFont="1" applyFill="1"/>
    <xf numFmtId="0" fontId="36" fillId="4" borderId="0" xfId="9" applyFont="1" applyFill="1"/>
    <xf numFmtId="164" fontId="37" fillId="0" borderId="0" xfId="0" applyNumberFormat="1" applyFont="1"/>
    <xf numFmtId="2" fontId="37" fillId="0" borderId="0" xfId="0" applyNumberFormat="1" applyFont="1"/>
    <xf numFmtId="17" fontId="0" fillId="0" borderId="0" xfId="0" applyNumberFormat="1"/>
    <xf numFmtId="0" fontId="18" fillId="4" borderId="0" xfId="11" applyFont="1" applyFill="1"/>
    <xf numFmtId="0" fontId="18" fillId="5" borderId="0" xfId="11" applyFont="1" applyFill="1"/>
    <xf numFmtId="0" fontId="18" fillId="4" borderId="0" xfId="0" applyFont="1" applyFill="1"/>
    <xf numFmtId="0" fontId="33" fillId="4" borderId="0" xfId="0" applyFont="1" applyFill="1"/>
    <xf numFmtId="9" fontId="38" fillId="4" borderId="0" xfId="0" applyNumberFormat="1" applyFont="1" applyFill="1"/>
    <xf numFmtId="0" fontId="38" fillId="4" borderId="0" xfId="0" applyFont="1" applyFill="1"/>
    <xf numFmtId="0" fontId="39" fillId="4" borderId="0" xfId="0" applyFont="1" applyFill="1"/>
    <xf numFmtId="0" fontId="38" fillId="4" borderId="15" xfId="0" applyFont="1" applyFill="1" applyBorder="1"/>
    <xf numFmtId="0" fontId="38" fillId="4" borderId="14" xfId="0" applyFont="1" applyFill="1" applyBorder="1"/>
    <xf numFmtId="0" fontId="38" fillId="4" borderId="16" xfId="0" applyFont="1" applyFill="1" applyBorder="1"/>
    <xf numFmtId="0" fontId="38" fillId="4" borderId="17" xfId="0" applyFont="1" applyFill="1" applyBorder="1"/>
    <xf numFmtId="0" fontId="38" fillId="4" borderId="18" xfId="0" applyFont="1" applyFill="1" applyBorder="1"/>
    <xf numFmtId="0" fontId="18" fillId="4" borderId="0" xfId="0" applyFont="1" applyFill="1" applyAlignment="1">
      <alignment horizontal="right"/>
    </xf>
    <xf numFmtId="0" fontId="40" fillId="4" borderId="0" xfId="0" applyFont="1" applyFill="1"/>
    <xf numFmtId="9" fontId="18" fillId="4" borderId="0" xfId="0" applyNumberFormat="1" applyFont="1" applyFill="1"/>
    <xf numFmtId="9" fontId="38" fillId="4" borderId="18" xfId="0" applyNumberFormat="1" applyFont="1" applyFill="1" applyBorder="1"/>
    <xf numFmtId="0" fontId="38" fillId="4" borderId="19" xfId="0" applyFont="1" applyFill="1" applyBorder="1"/>
    <xf numFmtId="0" fontId="38" fillId="4" borderId="20" xfId="0" applyFont="1" applyFill="1" applyBorder="1"/>
    <xf numFmtId="9" fontId="38" fillId="4" borderId="21" xfId="0" applyNumberFormat="1" applyFont="1" applyFill="1" applyBorder="1"/>
    <xf numFmtId="0" fontId="18" fillId="5" borderId="0" xfId="0" applyFont="1" applyFill="1"/>
    <xf numFmtId="0" fontId="41" fillId="4" borderId="0" xfId="0" applyFont="1" applyFill="1"/>
    <xf numFmtId="0" fontId="41" fillId="4" borderId="0" xfId="0" applyFont="1" applyFill="1" applyAlignment="1">
      <alignment horizontal="right"/>
    </xf>
    <xf numFmtId="0" fontId="18" fillId="7" borderId="0" xfId="11" applyFont="1" applyFill="1"/>
    <xf numFmtId="0" fontId="26" fillId="7" borderId="0" xfId="9" applyFill="1"/>
    <xf numFmtId="0" fontId="30" fillId="4" borderId="0" xfId="8" applyFont="1" applyFill="1" applyAlignment="1">
      <alignment horizontal="right"/>
    </xf>
    <xf numFmtId="0" fontId="30" fillId="8" borderId="0" xfId="8" applyFont="1" applyFill="1"/>
    <xf numFmtId="0" fontId="30" fillId="8" borderId="14" xfId="8" applyFont="1" applyFill="1" applyBorder="1"/>
    <xf numFmtId="0" fontId="43" fillId="0" borderId="11" xfId="0" applyFont="1" applyBorder="1" applyAlignment="1">
      <alignment horizontal="left" vertical="center" wrapText="1" readingOrder="1"/>
    </xf>
    <xf numFmtId="9" fontId="29" fillId="7" borderId="12" xfId="0" applyNumberFormat="1" applyFont="1" applyFill="1" applyBorder="1" applyAlignment="1">
      <alignment horizontal="center" vertical="center" wrapText="1" readingOrder="1"/>
    </xf>
    <xf numFmtId="9" fontId="29" fillId="7" borderId="22" xfId="0" applyNumberFormat="1" applyFont="1" applyFill="1" applyBorder="1" applyAlignment="1">
      <alignment horizontal="center" vertical="center" wrapText="1" readingOrder="1"/>
    </xf>
    <xf numFmtId="9" fontId="29" fillId="7" borderId="13" xfId="0" applyNumberFormat="1" applyFont="1" applyFill="1" applyBorder="1" applyAlignment="1">
      <alignment horizontal="center" vertical="center" wrapText="1" readingOrder="1"/>
    </xf>
    <xf numFmtId="9" fontId="29" fillId="7" borderId="12" xfId="0" applyNumberFormat="1" applyFont="1" applyFill="1" applyBorder="1" applyAlignment="1">
      <alignment horizontal="left" vertical="center" wrapText="1" readingOrder="1"/>
    </xf>
    <xf numFmtId="9" fontId="29" fillId="7" borderId="22" xfId="0" applyNumberFormat="1" applyFont="1" applyFill="1" applyBorder="1" applyAlignment="1">
      <alignment horizontal="left" vertical="center" wrapText="1" readingOrder="1"/>
    </xf>
    <xf numFmtId="9" fontId="29" fillId="7" borderId="13" xfId="0" applyNumberFormat="1" applyFont="1" applyFill="1" applyBorder="1" applyAlignment="1">
      <alignment horizontal="left" vertical="center" wrapText="1" readingOrder="1"/>
    </xf>
    <xf numFmtId="0" fontId="21" fillId="4" borderId="0" xfId="0" applyFont="1" applyFill="1" applyAlignment="1">
      <alignment horizontal="right"/>
    </xf>
    <xf numFmtId="0" fontId="21" fillId="5" borderId="0" xfId="0" applyFont="1" applyFill="1"/>
    <xf numFmtId="0" fontId="18" fillId="9" borderId="0" xfId="0" applyFont="1" applyFill="1"/>
    <xf numFmtId="9" fontId="18" fillId="9" borderId="0" xfId="0" applyNumberFormat="1" applyFont="1" applyFill="1"/>
    <xf numFmtId="1" fontId="44" fillId="0" borderId="9" xfId="0" applyNumberFormat="1" applyFont="1" applyBorder="1" applyAlignment="1">
      <alignment horizontal="center"/>
    </xf>
    <xf numFmtId="0" fontId="44" fillId="0" borderId="9" xfId="0" applyFont="1" applyBorder="1" applyAlignment="1">
      <alignment horizontal="center"/>
    </xf>
    <xf numFmtId="0" fontId="44" fillId="0" borderId="10" xfId="0" applyFont="1" applyBorder="1" applyAlignment="1">
      <alignment horizontal="center"/>
    </xf>
    <xf numFmtId="1" fontId="45" fillId="0" borderId="10" xfId="0" applyNumberFormat="1" applyFont="1" applyBorder="1" applyAlignment="1">
      <alignment horizontal="center"/>
    </xf>
    <xf numFmtId="1" fontId="0" fillId="5" borderId="9" xfId="0" applyNumberFormat="1" applyFill="1" applyBorder="1" applyAlignment="1">
      <alignment horizontal="center"/>
    </xf>
    <xf numFmtId="1" fontId="14" fillId="5" borderId="9" xfId="0" applyNumberFormat="1" applyFont="1" applyFill="1" applyBorder="1" applyAlignment="1">
      <alignment horizontal="center"/>
    </xf>
    <xf numFmtId="10" fontId="14" fillId="0" borderId="9" xfId="0" applyNumberFormat="1" applyFont="1" applyBorder="1" applyAlignment="1">
      <alignment horizontal="center"/>
    </xf>
    <xf numFmtId="0" fontId="46" fillId="4" borderId="0" xfId="8" applyFont="1" applyFill="1"/>
    <xf numFmtId="2" fontId="18" fillId="7" borderId="0" xfId="0" applyNumberFormat="1" applyFont="1" applyFill="1"/>
    <xf numFmtId="0" fontId="18" fillId="7" borderId="0" xfId="0" applyFont="1" applyFill="1"/>
    <xf numFmtId="2" fontId="18" fillId="7" borderId="0" xfId="0" applyNumberFormat="1" applyFont="1" applyFill="1" applyAlignment="1">
      <alignment horizontal="right"/>
    </xf>
    <xf numFmtId="0" fontId="18" fillId="7" borderId="0" xfId="0" applyFont="1" applyFill="1" applyAlignment="1">
      <alignment horizontal="right"/>
    </xf>
    <xf numFmtId="165" fontId="18" fillId="7" borderId="0" xfId="10" applyNumberFormat="1" applyFont="1" applyFill="1"/>
    <xf numFmtId="9" fontId="29" fillId="0" borderId="12" xfId="0" applyNumberFormat="1" applyFont="1" applyBorder="1" applyAlignment="1">
      <alignment horizontal="center" vertical="center" wrapText="1" readingOrder="1"/>
    </xf>
    <xf numFmtId="9" fontId="29" fillId="0" borderId="13" xfId="0" applyNumberFormat="1" applyFont="1" applyBorder="1" applyAlignment="1">
      <alignment horizontal="center" vertical="center" wrapText="1" readingOrder="1"/>
    </xf>
    <xf numFmtId="0" fontId="22" fillId="2" borderId="7" xfId="0" applyFont="1" applyFill="1" applyBorder="1" applyAlignment="1">
      <alignment horizontal="center"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3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9" fontId="15" fillId="0" borderId="0" xfId="0" applyNumberFormat="1" applyFont="1" applyAlignment="1">
      <alignment vertical="center"/>
    </xf>
    <xf numFmtId="0" fontId="42" fillId="4" borderId="0" xfId="0" applyFont="1" applyFill="1" applyAlignment="1">
      <alignment horizontal="center"/>
    </xf>
    <xf numFmtId="0" fontId="18" fillId="4" borderId="0" xfId="12" applyFont="1" applyFill="1"/>
    <xf numFmtId="0" fontId="18" fillId="10" borderId="0" xfId="7" applyFont="1" applyFill="1"/>
    <xf numFmtId="16" fontId="18" fillId="10" borderId="0" xfId="7" applyNumberFormat="1" applyFont="1" applyFill="1"/>
  </cellXfs>
  <cellStyles count="13">
    <cellStyle name="Hyperlink" xfId="9" builtinId="8"/>
    <cellStyle name="Normal" xfId="0" builtinId="0"/>
    <cellStyle name="Normal 2" xfId="3" xr:uid="{00000000-0005-0000-0000-000001000000}"/>
    <cellStyle name="Normal 2 2" xfId="5" xr:uid="{00000000-0005-0000-0000-000002000000}"/>
    <cellStyle name="Normal 3" xfId="1" xr:uid="{00000000-0005-0000-0000-000003000000}"/>
    <cellStyle name="Normal 4" xfId="4" xr:uid="{00000000-0005-0000-0000-000004000000}"/>
    <cellStyle name="Normal 5" xfId="6" xr:uid="{00000000-0005-0000-0000-000005000000}"/>
    <cellStyle name="Normal 5 2" xfId="7" xr:uid="{C2DC075E-9043-0447-877B-1CDC2EAA7E9F}"/>
    <cellStyle name="Normal 6" xfId="8" xr:uid="{3E06B310-8102-0041-8A13-DEF90902D2E1}"/>
    <cellStyle name="Normal 6 2" xfId="11" xr:uid="{E1A57E40-B66D-F344-BFAC-E99F62B1FC78}"/>
    <cellStyle name="Normal 7" xfId="12" xr:uid="{852A6522-5978-D641-913A-7AAA400ABDE7}"/>
    <cellStyle name="Percent" xfId="10" builtinId="5"/>
    <cellStyle name="Percent 2" xfId="2" xr:uid="{00000000-0005-0000-0000-000006000000}"/>
  </cellStyles>
  <dxfs count="0"/>
  <tableStyles count="0" defaultTableStyle="TableStyleMedium2" defaultPivotStyle="PivotStyleLight16"/>
  <colors>
    <mruColors>
      <color rgb="FFF6F9FB"/>
      <color rgb="FFFFFF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externalLink" Target="externalLinks/externalLink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externalLink" Target="externalLinks/externalLink10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externalLink" Target="externalLinks/externalLink9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14</xdr:col>
      <xdr:colOff>342900</xdr:colOff>
      <xdr:row>22</xdr:row>
      <xdr:rowOff>20413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6697493-A273-3445-EE4C-D492E567D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46800" y="990600"/>
          <a:ext cx="7772400" cy="62942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4</xdr:row>
      <xdr:rowOff>196850</xdr:rowOff>
    </xdr:from>
    <xdr:ext cx="6388100" cy="5375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6A4205C-77FD-B846-8AF7-588C3755D207}"/>
                </a:ext>
              </a:extLst>
            </xdr:cNvPr>
            <xdr:cNvSpPr txBox="1"/>
          </xdr:nvSpPr>
          <xdr:spPr>
            <a:xfrm>
              <a:off x="2844800" y="1517650"/>
              <a:ext cx="6388100" cy="5375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𝑳𝑪𝑹</m:t>
                  </m:r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𝑯𝒊𝒈𝒉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𝑸𝒖𝒂𝒍𝒊𝒕𝒚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𝑳𝒊𝒒𝒖𝒊𝒅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𝑨𝒔𝒔𝒆𝒕</m:t>
                      </m:r>
                    </m:num>
                    <m:den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𝑵𝒆𝒕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𝑪𝒂𝒔𝒉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𝑶𝒖𝒕𝒇𝒍𝒐𝒘𝒔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𝒊𝒏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𝒂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𝟑𝟎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𝑫𝒂𝒚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𝑷𝒆𝒓𝒊𝒐𝒅</m:t>
                      </m:r>
                    </m:den>
                  </m:f>
                </m:oMath>
              </a14:m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6A4205C-77FD-B846-8AF7-588C3755D207}"/>
                </a:ext>
              </a:extLst>
            </xdr:cNvPr>
            <xdr:cNvSpPr txBox="1"/>
          </xdr:nvSpPr>
          <xdr:spPr>
            <a:xfrm>
              <a:off x="2844800" y="1517650"/>
              <a:ext cx="6388100" cy="5375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2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𝑳𝑪𝑹=(𝑯𝒊𝒈𝒉−𝑸𝒖𝒂𝒍𝒊𝒕𝒚 𝑳𝒊𝒒𝒖𝒊𝒅 𝑨𝒔𝒔𝒆𝒕)/(𝑵𝒆𝒕 𝑪𝒂𝒔𝒉 𝑶𝒖𝒕𝒇𝒍𝒐𝒘𝒔 𝒊𝒏 𝒂 𝟑𝟎𝑫𝒂𝒚 𝑷𝒆𝒓𝒊𝒐𝒅)</a:t>
              </a:r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685800</xdr:colOff>
      <xdr:row>3</xdr:row>
      <xdr:rowOff>50800</xdr:rowOff>
    </xdr:from>
    <xdr:ext cx="6388100" cy="5379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00D6185-DBF7-0A44-A9E2-1376FECB3D88}"/>
                </a:ext>
              </a:extLst>
            </xdr:cNvPr>
            <xdr:cNvSpPr txBox="1"/>
          </xdr:nvSpPr>
          <xdr:spPr>
            <a:xfrm>
              <a:off x="1511300" y="12357100"/>
              <a:ext cx="6388100" cy="5379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𝑵𝑺𝑭𝑹</m:t>
                  </m:r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𝑨𝒎𝒐𝒖𝒏𝒕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𝒐𝒇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𝑺𝒕𝒂𝒃𝒍𝒆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𝑭𝒖𝒏𝒅𝒊𝒏𝒈</m:t>
                      </m:r>
                    </m:num>
                    <m:den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𝑹𝒆𝒒𝒖𝒊𝒓𝒆𝒅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𝑨𝒎𝒐𝒖𝒏𝒕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𝒐𝒇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𝑺𝒕𝒂𝒃𝒍𝒆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𝑭𝒖𝒏𝒅𝒊𝒏𝒈</m:t>
                      </m:r>
                    </m:den>
                  </m:f>
                </m:oMath>
              </a14:m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00D6185-DBF7-0A44-A9E2-1376FECB3D88}"/>
                </a:ext>
              </a:extLst>
            </xdr:cNvPr>
            <xdr:cNvSpPr txBox="1"/>
          </xdr:nvSpPr>
          <xdr:spPr>
            <a:xfrm>
              <a:off x="1511300" y="12357100"/>
              <a:ext cx="6388100" cy="5379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2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𝑵𝑺𝑭𝑹=(𝑨𝒎𝒐𝒖𝒏𝒕 𝒐𝒇 𝑺𝒕𝒂𝒃𝒍𝒆 𝑭𝒖𝒏𝒅𝒊𝒏𝒈)/(𝑹𝒆𝒒𝒖𝒊𝒓𝒆𝒅 𝑨𝒎𝒐𝒖𝒏𝒕 𝒐𝒇 𝑺𝒕𝒂𝒃𝒍𝒆 𝑭𝒖𝒏𝒅𝒊𝒏𝒈)</a:t>
              </a:r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85271</xdr:colOff>
      <xdr:row>3</xdr:row>
      <xdr:rowOff>54428</xdr:rowOff>
    </xdr:from>
    <xdr:ext cx="6388100" cy="5379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13331DE-C45A-1243-9355-1528BEECABEA}"/>
                </a:ext>
              </a:extLst>
            </xdr:cNvPr>
            <xdr:cNvSpPr txBox="1"/>
          </xdr:nvSpPr>
          <xdr:spPr>
            <a:xfrm>
              <a:off x="1754414" y="1034142"/>
              <a:ext cx="6388100" cy="5379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𝑵𝑺𝑭𝑹</m:t>
                  </m:r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𝑨𝒎𝒐𝒖𝒏𝒕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𝒐𝒇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𝑺𝒕𝒂𝒃𝒍𝒆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𝑭𝒖𝒏𝒅𝒊𝒏𝒈</m:t>
                      </m:r>
                    </m:num>
                    <m:den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𝑹𝒆𝒒𝒖𝒊𝒓𝒆𝒅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𝑨𝒎𝒐𝒖𝒏𝒕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𝒐𝒇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𝑺𝒕𝒂𝒃𝒍𝒆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𝑭𝒖𝒏𝒅𝒊𝒏𝒈</m:t>
                      </m:r>
                    </m:den>
                  </m:f>
                </m:oMath>
              </a14:m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13331DE-C45A-1243-9355-1528BEECABEA}"/>
                </a:ext>
              </a:extLst>
            </xdr:cNvPr>
            <xdr:cNvSpPr txBox="1"/>
          </xdr:nvSpPr>
          <xdr:spPr>
            <a:xfrm>
              <a:off x="1754414" y="1034142"/>
              <a:ext cx="6388100" cy="5379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2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𝑵𝑺𝑭𝑹=(𝑨𝒎𝒐𝒖𝒏𝒕 𝒐𝒇 𝑺𝒕𝒂𝒃𝒍𝒆 𝑭𝒖𝒏𝒅𝒊𝒏𝒈)/(𝑹𝒆𝒒𝒖𝒊𝒓𝒆𝒅 𝑨𝒎𝒐𝒖𝒏𝒕 𝒐𝒇 𝑺𝒕𝒂𝒃𝒍𝒆 𝑭𝒖𝒏𝒅𝒊𝒏𝒈)</a:t>
              </a:r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12700</xdr:colOff>
      <xdr:row>3</xdr:row>
      <xdr:rowOff>279399</xdr:rowOff>
    </xdr:from>
    <xdr:ext cx="2259993" cy="6337301"/>
    <xdr:pic>
      <xdr:nvPicPr>
        <xdr:cNvPr id="2" name="Picture 1">
          <a:extLst>
            <a:ext uri="{FF2B5EF4-FFF2-40B4-BE49-F238E27FC236}">
              <a16:creationId xmlns:a16="http://schemas.microsoft.com/office/drawing/2014/main" id="{E75FAAC7-EABC-434C-98F5-38890EA9D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0" y="1269999"/>
          <a:ext cx="2259993" cy="6337301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50800</xdr:colOff>
      <xdr:row>0</xdr:row>
      <xdr:rowOff>304800</xdr:rowOff>
    </xdr:from>
    <xdr:to>
      <xdr:col>28</xdr:col>
      <xdr:colOff>9526</xdr:colOff>
      <xdr:row>23</xdr:row>
      <xdr:rowOff>304800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ABADB0-B12A-BB48-8156-1C2E9007E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7800" y="304800"/>
          <a:ext cx="12341226" cy="75946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50800</xdr:colOff>
      <xdr:row>1</xdr:row>
      <xdr:rowOff>114300</xdr:rowOff>
    </xdr:from>
    <xdr:ext cx="5951982" cy="805441"/>
    <xdr:pic>
      <xdr:nvPicPr>
        <xdr:cNvPr id="2" name="Picture 1">
          <a:extLst>
            <a:ext uri="{FF2B5EF4-FFF2-40B4-BE49-F238E27FC236}">
              <a16:creationId xmlns:a16="http://schemas.microsoft.com/office/drawing/2014/main" id="{AE235DEC-1709-8D4E-BB4B-8C9E6CF15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304800"/>
          <a:ext cx="5951982" cy="805441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0</xdr:rowOff>
    </xdr:from>
    <xdr:ext cx="5854930" cy="809522"/>
    <xdr:pic>
      <xdr:nvPicPr>
        <xdr:cNvPr id="3" name="Picture 2">
          <a:extLst>
            <a:ext uri="{FF2B5EF4-FFF2-40B4-BE49-F238E27FC236}">
              <a16:creationId xmlns:a16="http://schemas.microsoft.com/office/drawing/2014/main" id="{B0366BB3-AFCD-7440-81B6-0888F5611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1000" y="1320800"/>
          <a:ext cx="5854930" cy="809522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stinhon/Downloads/FRMClass1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Library/CloudStorage/GoogleDrive-davethemovie@gmail.com/My%20Drive/Columbia/Classes/FRM/ClassFiles/FRM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6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Class3/FRM_1_V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I7">
            <v>63.016692425521988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I8">
            <v>34.430640486782302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I9">
            <v>875.03184773964745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I10">
            <v>25.480909561250201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I11">
            <v>173.30690528775909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I12">
            <v>53.18756714882727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I13">
            <v>101.66752649202422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I14">
            <v>83.065489486874156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I15">
            <v>27.926592661358761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I16">
            <v>118.49690911671134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I17">
            <v>27.606419524520028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I18">
            <v>196.47139738526423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I19">
            <v>347.19425554146738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I20">
            <v>45.448259545022808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I21">
            <v>73.89902190385736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I22">
            <v>43.875613303401586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I23">
            <v>398.20302367088152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8">
          <cell r="G28">
            <v>0.01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11"/>
      <sheetName val="Learning Objective"/>
      <sheetName val="Market Liquidity"/>
      <sheetName val="Liquidity Risk Mitigation"/>
      <sheetName val="Liquidity Stress Test"/>
      <sheetName val="Liquidity_VaR"/>
      <sheetName val="Liquidity"/>
      <sheetName val="LiquidityOtherThougths"/>
      <sheetName val="Homework"/>
      <sheetName val="Discussion"/>
      <sheetName val="Q11_1"/>
      <sheetName val="Q11_1_Calc"/>
      <sheetName val="Q11_2"/>
      <sheetName val="EndowmentPortfolio_March"/>
      <sheetName val="EndowmentPortfolio_June"/>
      <sheetName val="OtherLiquidityModels"/>
      <sheetName val="Remember"/>
    </sheetNames>
    <sheetDataSet>
      <sheetData sheetId="0"/>
      <sheetData sheetId="1"/>
      <sheetData sheetId="2"/>
      <sheetData sheetId="3"/>
      <sheetData sheetId="4"/>
      <sheetData sheetId="5">
        <row r="7">
          <cell r="B7">
            <v>7496</v>
          </cell>
          <cell r="C7">
            <v>118.370121981415</v>
          </cell>
          <cell r="D7">
            <v>119.53509682578719</v>
          </cell>
          <cell r="E7">
            <v>118.95260940360109</v>
          </cell>
          <cell r="F7">
            <v>1.1649748443721961</v>
          </cell>
          <cell r="G7">
            <v>9.7936047827205421E-3</v>
          </cell>
          <cell r="H7">
            <v>240.80532849415357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G8">
            <v>1.0500981764753099E-2</v>
          </cell>
          <cell r="H8">
            <v>91.940348205745394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G9">
            <v>5.3081827457607193E-2</v>
          </cell>
          <cell r="H9">
            <v>312.53935978116596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G10">
            <v>4.5043576769144278E-3</v>
          </cell>
          <cell r="H10">
            <v>116.99746616538251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G11">
            <v>1.4351393144960719E-2</v>
          </cell>
          <cell r="H11">
            <v>243.11829322888929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G12">
            <v>7.8270483187618256E-3</v>
          </cell>
          <cell r="H12">
            <v>228.34101853474434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G13">
            <v>1.135701789375187E-2</v>
          </cell>
          <cell r="H13">
            <v>150.47120579864131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G14">
            <v>1.1811068057728925E-2</v>
          </cell>
          <cell r="H14">
            <v>289.89158008687855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G15">
            <v>1.0054266186611134E-2</v>
          </cell>
          <cell r="H15">
            <v>158.2774617783744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G16">
            <v>1.1831895057931391E-2</v>
          </cell>
          <cell r="H16">
            <v>300.87816257687331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G17">
            <v>1.0500362558939378E-2</v>
          </cell>
          <cell r="H17">
            <v>147.57999988022164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G18">
            <v>1.5406819285255594E-2</v>
          </cell>
          <cell r="H18">
            <v>313.66371763832916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G19">
            <v>4.0568560909647507E-2</v>
          </cell>
          <cell r="H19">
            <v>159.3375706151283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G20">
            <v>1.1561202435487783E-2</v>
          </cell>
          <cell r="H20">
            <v>212.53575951405017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G21">
            <v>1.322116333302068E-2</v>
          </cell>
          <cell r="H21">
            <v>138.13539388005074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G22">
            <v>9.8451926576541282E-3</v>
          </cell>
          <cell r="H22">
            <v>211.66839773852425</v>
          </cell>
        </row>
        <row r="23">
          <cell r="B23">
            <v>2821</v>
          </cell>
          <cell r="C23">
            <v>6.8</v>
          </cell>
          <cell r="D23">
            <v>7.3676254373529284</v>
          </cell>
          <cell r="E23">
            <v>7.0838127186764641</v>
          </cell>
          <cell r="F23">
            <v>0.56762543735292859</v>
          </cell>
          <cell r="G23">
            <v>8.0129932833541001E-2</v>
          </cell>
          <cell r="H23">
            <v>90.623243287354214</v>
          </cell>
        </row>
        <row r="25">
          <cell r="G25">
            <v>1.9196864373840421E-2</v>
          </cell>
        </row>
        <row r="26">
          <cell r="G26">
            <v>1.9366044321320872E-2</v>
          </cell>
        </row>
        <row r="28">
          <cell r="G28">
            <v>0.01</v>
          </cell>
        </row>
        <row r="29">
          <cell r="G29">
            <v>6.4249020409325924E-2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8"/>
      <sheetName val="Review1"/>
      <sheetName val="Review2"/>
      <sheetName val="Spread2PD"/>
      <sheetName val="PD2Spread"/>
      <sheetName val="1_Spread2PD"/>
      <sheetName val="2_PD2Spread"/>
    </sheetNames>
    <sheetDataSet>
      <sheetData sheetId="0"/>
      <sheetData sheetId="1"/>
      <sheetData sheetId="2"/>
      <sheetData sheetId="3">
        <row r="18">
          <cell r="C18">
            <v>8.7526935082926656</v>
          </cell>
        </row>
        <row r="22">
          <cell r="F22">
            <v>0.97530991202833262</v>
          </cell>
        </row>
        <row r="23">
          <cell r="F23">
            <v>0.95122942450071402</v>
          </cell>
        </row>
        <row r="24">
          <cell r="F24">
            <v>0.92774348632855286</v>
          </cell>
        </row>
        <row r="25">
          <cell r="F25">
            <v>0.90483741803595952</v>
          </cell>
        </row>
        <row r="26">
          <cell r="F26">
            <v>0.88249690258459546</v>
          </cell>
        </row>
        <row r="27">
          <cell r="F27">
            <v>0.86070797642505781</v>
          </cell>
        </row>
        <row r="28">
          <cell r="F28">
            <v>0.83945702076920736</v>
          </cell>
        </row>
        <row r="29">
          <cell r="F29">
            <v>0.81873075307798182</v>
          </cell>
        </row>
        <row r="30">
          <cell r="F30">
            <v>0.79851621875937706</v>
          </cell>
        </row>
        <row r="31">
          <cell r="F31">
            <v>0.77880078307140488</v>
          </cell>
        </row>
        <row r="41">
          <cell r="E41" t="str">
            <v>Loss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E42">
            <v>66.728709213467042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E43">
            <v>65.971048498937989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E44">
            <v>65.17454168889401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E45">
            <v>64.337197101428075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E46">
            <v>63.456920938918259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4">
        <row r="9">
          <cell r="B9">
            <v>0.02</v>
          </cell>
        </row>
        <row r="13">
          <cell r="C13">
            <v>0.98019867330675525</v>
          </cell>
        </row>
        <row r="14">
          <cell r="C14">
            <v>0.96078943915232318</v>
          </cell>
        </row>
        <row r="15">
          <cell r="C15">
            <v>0.94176453358424872</v>
          </cell>
        </row>
        <row r="16">
          <cell r="C16">
            <v>0.92311634638663576</v>
          </cell>
        </row>
        <row r="17">
          <cell r="C17">
            <v>0.90483741803595952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I27">
            <v>9.1394641753381189E-3</v>
          </cell>
          <cell r="J27">
            <v>7.2980103747777832E-3</v>
          </cell>
        </row>
      </sheetData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E40">
            <v>66.728709213467042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E41">
            <v>65.971048498937989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E42">
            <v>65.17454168889401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E43">
            <v>64.337197101428075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E44">
            <v>63.456920938918259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B11">
            <v>1</v>
          </cell>
          <cell r="C11">
            <v>0.98019867330675525</v>
          </cell>
          <cell r="E11">
            <v>0.95122942450071402</v>
          </cell>
        </row>
        <row r="12">
          <cell r="B12">
            <v>2</v>
          </cell>
          <cell r="C12">
            <v>0.96078943915232318</v>
          </cell>
          <cell r="E12">
            <v>0.90483741803595952</v>
          </cell>
        </row>
        <row r="13">
          <cell r="B13">
            <v>3</v>
          </cell>
          <cell r="C13">
            <v>0.94176453358424872</v>
          </cell>
          <cell r="E13">
            <v>0.86070797642505781</v>
          </cell>
        </row>
        <row r="14">
          <cell r="B14">
            <v>4</v>
          </cell>
          <cell r="C14">
            <v>0.92311634638663576</v>
          </cell>
          <cell r="E14">
            <v>0.81873075307798182</v>
          </cell>
        </row>
        <row r="15">
          <cell r="B15">
            <v>5</v>
          </cell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D21">
            <v>0.4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D22">
            <v>0.4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D23">
            <v>0.4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D24">
            <v>0.4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D25">
            <v>0.4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3">
          <cell r="C3">
            <v>72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  <cell r="J4">
            <v>0.99502487562189068</v>
          </cell>
        </row>
        <row r="5">
          <cell r="H5">
            <v>24</v>
          </cell>
          <cell r="J5">
            <v>0.99502487562189068</v>
          </cell>
        </row>
        <row r="6">
          <cell r="H6">
            <v>36</v>
          </cell>
          <cell r="J6">
            <v>0.99477741855259882</v>
          </cell>
        </row>
        <row r="7">
          <cell r="H7">
            <v>36</v>
          </cell>
          <cell r="J7">
            <v>0.99477741855259882</v>
          </cell>
        </row>
        <row r="8">
          <cell r="H8">
            <v>36</v>
          </cell>
          <cell r="J8">
            <v>0.99461251554082064</v>
          </cell>
        </row>
        <row r="9">
          <cell r="H9">
            <v>36</v>
          </cell>
          <cell r="J9">
            <v>0.99461251554082064</v>
          </cell>
        </row>
        <row r="10">
          <cell r="H10">
            <v>48</v>
          </cell>
          <cell r="J10">
            <v>0.99420049710024849</v>
          </cell>
        </row>
        <row r="11">
          <cell r="H11">
            <v>48</v>
          </cell>
          <cell r="J11">
            <v>0.99420049710024849</v>
          </cell>
        </row>
        <row r="12">
          <cell r="H12">
            <v>36</v>
          </cell>
          <cell r="J12">
            <v>0.99337748344370869</v>
          </cell>
        </row>
        <row r="13">
          <cell r="H13">
            <v>36</v>
          </cell>
          <cell r="J13">
            <v>0.99337748344370869</v>
          </cell>
        </row>
        <row r="14">
          <cell r="H14">
            <v>24</v>
          </cell>
          <cell r="J14">
            <v>0.99502487562189068</v>
          </cell>
        </row>
        <row r="15">
          <cell r="H15">
            <v>24</v>
          </cell>
          <cell r="J15">
            <v>0.99502487562189068</v>
          </cell>
        </row>
        <row r="16">
          <cell r="H16">
            <v>48</v>
          </cell>
          <cell r="J16">
            <v>0.99420049710024849</v>
          </cell>
        </row>
        <row r="17">
          <cell r="H17">
            <v>48</v>
          </cell>
          <cell r="J17">
            <v>0.99420049710024849</v>
          </cell>
        </row>
        <row r="18">
          <cell r="H18">
            <v>60</v>
          </cell>
          <cell r="J18">
            <v>0.99378881987577627</v>
          </cell>
        </row>
        <row r="19">
          <cell r="H19">
            <v>60</v>
          </cell>
          <cell r="J19">
            <v>0.99378881987577627</v>
          </cell>
        </row>
        <row r="20">
          <cell r="H20">
            <v>24</v>
          </cell>
          <cell r="J20">
            <v>0.99502487562189068</v>
          </cell>
        </row>
        <row r="21">
          <cell r="H21">
            <v>24</v>
          </cell>
          <cell r="J21">
            <v>0.99502487562189068</v>
          </cell>
        </row>
        <row r="22">
          <cell r="H22">
            <v>36</v>
          </cell>
          <cell r="J22">
            <v>0.99477741855259882</v>
          </cell>
        </row>
        <row r="23">
          <cell r="H23">
            <v>36</v>
          </cell>
          <cell r="J23">
            <v>0.99477741855259882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  <cell r="F6">
            <v>14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N"/>
      <sheetName val="CreditMatrix"/>
      <sheetName val="CreditMatrix_Weighted"/>
      <sheetName val="CreditMatrix_Loss"/>
      <sheetName val="MertonModel"/>
      <sheetName val="Homework"/>
      <sheetName val="QuizBank"/>
      <sheetName val="O_Material"/>
      <sheetName val="O_Discussion"/>
    </sheetNames>
    <sheetDataSet>
      <sheetData sheetId="0"/>
      <sheetData sheetId="1">
        <row r="2">
          <cell r="B2">
            <v>0</v>
          </cell>
          <cell r="C2" t="str">
            <v>A</v>
          </cell>
        </row>
        <row r="3">
          <cell r="B3">
            <v>0.2</v>
          </cell>
          <cell r="C3" t="str">
            <v>B</v>
          </cell>
        </row>
        <row r="4">
          <cell r="B4">
            <v>0.4</v>
          </cell>
          <cell r="C4" t="str">
            <v>C</v>
          </cell>
        </row>
        <row r="5">
          <cell r="B5">
            <v>0.6</v>
          </cell>
          <cell r="C5" t="str">
            <v>D</v>
          </cell>
        </row>
        <row r="6">
          <cell r="B6">
            <v>0.8</v>
          </cell>
          <cell r="C6" t="str">
            <v>E</v>
          </cell>
        </row>
        <row r="7">
          <cell r="B7">
            <v>1</v>
          </cell>
          <cell r="C7" t="str">
            <v>F</v>
          </cell>
        </row>
        <row r="10">
          <cell r="D10" t="str">
            <v>C</v>
          </cell>
          <cell r="E10" t="str">
            <v>C</v>
          </cell>
        </row>
        <row r="11">
          <cell r="D11" t="str">
            <v>B</v>
          </cell>
          <cell r="E11" t="str">
            <v>C</v>
          </cell>
        </row>
        <row r="12">
          <cell r="D12" t="str">
            <v>A</v>
          </cell>
          <cell r="E12" t="str">
            <v>C</v>
          </cell>
        </row>
        <row r="13">
          <cell r="D13" t="str">
            <v>D</v>
          </cell>
          <cell r="E13" t="str">
            <v>E</v>
          </cell>
        </row>
        <row r="14">
          <cell r="D14" t="str">
            <v>A</v>
          </cell>
          <cell r="E14" t="str">
            <v>A</v>
          </cell>
        </row>
        <row r="15">
          <cell r="D15" t="str">
            <v>B</v>
          </cell>
          <cell r="E15" t="str">
            <v>B</v>
          </cell>
        </row>
        <row r="16">
          <cell r="D16" t="str">
            <v>B</v>
          </cell>
          <cell r="E16" t="str">
            <v>D</v>
          </cell>
        </row>
        <row r="17">
          <cell r="D17" t="str">
            <v>A</v>
          </cell>
          <cell r="E17" t="str">
            <v>A</v>
          </cell>
        </row>
        <row r="18">
          <cell r="D18" t="str">
            <v>C</v>
          </cell>
          <cell r="E18" t="str">
            <v>E</v>
          </cell>
        </row>
        <row r="19">
          <cell r="D19" t="str">
            <v>D</v>
          </cell>
          <cell r="E19" t="str">
            <v>E</v>
          </cell>
        </row>
        <row r="20">
          <cell r="D20" t="str">
            <v>B</v>
          </cell>
          <cell r="E20" t="str">
            <v>A</v>
          </cell>
        </row>
        <row r="21">
          <cell r="D21" t="str">
            <v>B</v>
          </cell>
          <cell r="E21" t="str">
            <v>B</v>
          </cell>
        </row>
        <row r="22">
          <cell r="D22" t="str">
            <v>D</v>
          </cell>
          <cell r="E22" t="str">
            <v>E</v>
          </cell>
        </row>
        <row r="23">
          <cell r="D23" t="str">
            <v>C</v>
          </cell>
          <cell r="E23" t="str">
            <v>D</v>
          </cell>
        </row>
        <row r="24">
          <cell r="D24" t="str">
            <v>D</v>
          </cell>
          <cell r="E24" t="str">
            <v>D</v>
          </cell>
        </row>
        <row r="25">
          <cell r="D25" t="str">
            <v>A</v>
          </cell>
          <cell r="E25" t="str">
            <v>B</v>
          </cell>
        </row>
        <row r="26">
          <cell r="D26" t="str">
            <v>B</v>
          </cell>
          <cell r="E26" t="str">
            <v>A</v>
          </cell>
        </row>
        <row r="27">
          <cell r="D27" t="str">
            <v>E</v>
          </cell>
          <cell r="E27" t="str">
            <v>F</v>
          </cell>
        </row>
        <row r="28">
          <cell r="D28" t="str">
            <v>A</v>
          </cell>
          <cell r="E28" t="str">
            <v>A</v>
          </cell>
        </row>
        <row r="29">
          <cell r="D29" t="str">
            <v>A</v>
          </cell>
          <cell r="E29" t="str">
            <v>A</v>
          </cell>
        </row>
        <row r="30">
          <cell r="D30" t="str">
            <v>E</v>
          </cell>
          <cell r="E30" t="str">
            <v>F</v>
          </cell>
        </row>
        <row r="31">
          <cell r="D31" t="str">
            <v>B</v>
          </cell>
          <cell r="E31" t="str">
            <v>C</v>
          </cell>
        </row>
        <row r="32">
          <cell r="D32" t="str">
            <v>B</v>
          </cell>
          <cell r="E32" t="str">
            <v>D</v>
          </cell>
        </row>
        <row r="33">
          <cell r="D33" t="str">
            <v>C</v>
          </cell>
          <cell r="E33" t="str">
            <v>C</v>
          </cell>
        </row>
        <row r="34">
          <cell r="D34" t="str">
            <v>A</v>
          </cell>
          <cell r="E34" t="str">
            <v>A</v>
          </cell>
        </row>
        <row r="35">
          <cell r="D35" t="str">
            <v>E</v>
          </cell>
          <cell r="E35" t="str">
            <v>D</v>
          </cell>
        </row>
        <row r="36">
          <cell r="D36" t="str">
            <v>C</v>
          </cell>
          <cell r="E36" t="str">
            <v>E</v>
          </cell>
        </row>
        <row r="37">
          <cell r="D37" t="str">
            <v>C</v>
          </cell>
          <cell r="E37" t="str">
            <v>C</v>
          </cell>
        </row>
        <row r="38">
          <cell r="D38" t="str">
            <v>E</v>
          </cell>
          <cell r="E38" t="str">
            <v>E</v>
          </cell>
        </row>
        <row r="39">
          <cell r="D39" t="str">
            <v>A</v>
          </cell>
          <cell r="E39" t="str">
            <v>C</v>
          </cell>
        </row>
        <row r="40">
          <cell r="D40" t="str">
            <v>B</v>
          </cell>
          <cell r="E40" t="str">
            <v>B</v>
          </cell>
        </row>
        <row r="41">
          <cell r="D41" t="str">
            <v>B</v>
          </cell>
          <cell r="E41" t="str">
            <v>C</v>
          </cell>
        </row>
        <row r="42">
          <cell r="D42" t="str">
            <v>D</v>
          </cell>
          <cell r="E42" t="str">
            <v>E</v>
          </cell>
        </row>
        <row r="43">
          <cell r="D43" t="str">
            <v>C</v>
          </cell>
          <cell r="E43" t="str">
            <v>D</v>
          </cell>
        </row>
        <row r="44">
          <cell r="D44" t="str">
            <v>C</v>
          </cell>
          <cell r="E44" t="str">
            <v>B</v>
          </cell>
        </row>
        <row r="45">
          <cell r="D45" t="str">
            <v>A</v>
          </cell>
          <cell r="E45" t="str">
            <v>A</v>
          </cell>
        </row>
        <row r="46">
          <cell r="D46" t="str">
            <v>D</v>
          </cell>
          <cell r="E46" t="str">
            <v>F</v>
          </cell>
        </row>
        <row r="47">
          <cell r="D47" t="str">
            <v>D</v>
          </cell>
          <cell r="E47" t="str">
            <v>E</v>
          </cell>
        </row>
        <row r="48">
          <cell r="D48" t="str">
            <v>D</v>
          </cell>
          <cell r="E48" t="str">
            <v>F</v>
          </cell>
        </row>
        <row r="49">
          <cell r="D49" t="str">
            <v>B</v>
          </cell>
          <cell r="E49" t="str">
            <v>C</v>
          </cell>
        </row>
        <row r="50">
          <cell r="D50" t="str">
            <v>E</v>
          </cell>
          <cell r="E50" t="str">
            <v>F</v>
          </cell>
        </row>
        <row r="51">
          <cell r="D51" t="str">
            <v>E</v>
          </cell>
          <cell r="E51" t="str">
            <v>E</v>
          </cell>
        </row>
        <row r="52">
          <cell r="D52" t="str">
            <v>D</v>
          </cell>
          <cell r="E52" t="str">
            <v>C</v>
          </cell>
        </row>
        <row r="53">
          <cell r="D53" t="str">
            <v>B</v>
          </cell>
          <cell r="E53" t="str">
            <v>A</v>
          </cell>
        </row>
        <row r="54">
          <cell r="D54" t="str">
            <v>B</v>
          </cell>
          <cell r="E54" t="str">
            <v>C</v>
          </cell>
        </row>
        <row r="55">
          <cell r="D55" t="str">
            <v>D</v>
          </cell>
          <cell r="E55" t="str">
            <v>F</v>
          </cell>
        </row>
        <row r="56">
          <cell r="D56" t="str">
            <v>C</v>
          </cell>
          <cell r="E56" t="str">
            <v>D</v>
          </cell>
        </row>
        <row r="57">
          <cell r="D57" t="str">
            <v>B</v>
          </cell>
          <cell r="E57" t="str">
            <v>C</v>
          </cell>
        </row>
        <row r="58">
          <cell r="D58" t="str">
            <v>E</v>
          </cell>
          <cell r="E58" t="str">
            <v>D</v>
          </cell>
        </row>
        <row r="59">
          <cell r="D59" t="str">
            <v>A</v>
          </cell>
          <cell r="E59" t="str">
            <v>B</v>
          </cell>
        </row>
        <row r="60">
          <cell r="D60" t="str">
            <v>D</v>
          </cell>
          <cell r="E60" t="str">
            <v>D</v>
          </cell>
        </row>
        <row r="61">
          <cell r="D61" t="str">
            <v>D</v>
          </cell>
          <cell r="E61" t="str">
            <v>D</v>
          </cell>
        </row>
        <row r="62">
          <cell r="D62" t="str">
            <v>E</v>
          </cell>
          <cell r="E62" t="str">
            <v>F</v>
          </cell>
        </row>
        <row r="63">
          <cell r="D63" t="str">
            <v>A</v>
          </cell>
          <cell r="E63" t="str">
            <v>A</v>
          </cell>
        </row>
        <row r="64">
          <cell r="D64" t="str">
            <v>B</v>
          </cell>
          <cell r="E64" t="str">
            <v>B</v>
          </cell>
        </row>
        <row r="65">
          <cell r="D65" t="str">
            <v>B</v>
          </cell>
          <cell r="E65" t="str">
            <v>B</v>
          </cell>
        </row>
        <row r="66">
          <cell r="D66" t="str">
            <v>B</v>
          </cell>
          <cell r="E66" t="str">
            <v>D</v>
          </cell>
        </row>
        <row r="67">
          <cell r="D67" t="str">
            <v>B</v>
          </cell>
          <cell r="E67" t="str">
            <v>D</v>
          </cell>
        </row>
        <row r="68">
          <cell r="D68" t="str">
            <v>E</v>
          </cell>
          <cell r="E68" t="str">
            <v>F</v>
          </cell>
        </row>
        <row r="69">
          <cell r="D69" t="str">
            <v>E</v>
          </cell>
          <cell r="E69" t="str">
            <v>F</v>
          </cell>
        </row>
        <row r="70">
          <cell r="D70" t="str">
            <v>C</v>
          </cell>
          <cell r="E70" t="str">
            <v>D</v>
          </cell>
        </row>
        <row r="71">
          <cell r="D71" t="str">
            <v>D</v>
          </cell>
          <cell r="E71" t="str">
            <v>C</v>
          </cell>
        </row>
        <row r="72">
          <cell r="D72" t="str">
            <v>E</v>
          </cell>
          <cell r="E72" t="str">
            <v>F</v>
          </cell>
        </row>
        <row r="73">
          <cell r="D73" t="str">
            <v>B</v>
          </cell>
          <cell r="E73" t="str">
            <v>D</v>
          </cell>
        </row>
        <row r="74">
          <cell r="D74" t="str">
            <v>B</v>
          </cell>
          <cell r="E74" t="str">
            <v>C</v>
          </cell>
        </row>
        <row r="75">
          <cell r="D75" t="str">
            <v>B</v>
          </cell>
          <cell r="E75" t="str">
            <v>B</v>
          </cell>
        </row>
        <row r="76">
          <cell r="D76" t="str">
            <v>C</v>
          </cell>
          <cell r="E76" t="str">
            <v>E</v>
          </cell>
        </row>
        <row r="77">
          <cell r="D77" t="str">
            <v>A</v>
          </cell>
          <cell r="E77" t="str">
            <v>C</v>
          </cell>
        </row>
        <row r="78">
          <cell r="D78" t="str">
            <v>C</v>
          </cell>
          <cell r="E78" t="str">
            <v>E</v>
          </cell>
        </row>
        <row r="79">
          <cell r="D79" t="str">
            <v>D</v>
          </cell>
          <cell r="E79" t="str">
            <v>D</v>
          </cell>
        </row>
        <row r="80">
          <cell r="D80" t="str">
            <v>A</v>
          </cell>
          <cell r="E80" t="str">
            <v>B</v>
          </cell>
        </row>
        <row r="81">
          <cell r="D81" t="str">
            <v>B</v>
          </cell>
          <cell r="E81" t="str">
            <v>C</v>
          </cell>
        </row>
        <row r="82">
          <cell r="D82" t="str">
            <v>B</v>
          </cell>
          <cell r="E82" t="str">
            <v>B</v>
          </cell>
        </row>
        <row r="83">
          <cell r="D83" t="str">
            <v>D</v>
          </cell>
          <cell r="E83" t="str">
            <v>E</v>
          </cell>
        </row>
        <row r="84">
          <cell r="D84" t="str">
            <v>E</v>
          </cell>
          <cell r="E84" t="str">
            <v>F</v>
          </cell>
        </row>
        <row r="85">
          <cell r="D85" t="str">
            <v>C</v>
          </cell>
          <cell r="E85" t="str">
            <v>C</v>
          </cell>
        </row>
        <row r="86">
          <cell r="D86" t="str">
            <v>C</v>
          </cell>
          <cell r="E86" t="str">
            <v>D</v>
          </cell>
        </row>
        <row r="87">
          <cell r="D87" t="str">
            <v>D</v>
          </cell>
          <cell r="E87" t="str">
            <v>E</v>
          </cell>
        </row>
        <row r="88">
          <cell r="D88" t="str">
            <v>A</v>
          </cell>
          <cell r="E88" t="str">
            <v>C</v>
          </cell>
        </row>
        <row r="89">
          <cell r="D89" t="str">
            <v>A</v>
          </cell>
          <cell r="E89" t="str">
            <v>A</v>
          </cell>
        </row>
        <row r="90">
          <cell r="D90" t="str">
            <v>A</v>
          </cell>
          <cell r="E90" t="str">
            <v>B</v>
          </cell>
        </row>
        <row r="91">
          <cell r="D91" t="str">
            <v>B</v>
          </cell>
          <cell r="E91" t="str">
            <v>C</v>
          </cell>
        </row>
        <row r="92">
          <cell r="D92" t="str">
            <v>E</v>
          </cell>
          <cell r="E92" t="str">
            <v>F</v>
          </cell>
        </row>
        <row r="93">
          <cell r="D93" t="str">
            <v>A</v>
          </cell>
          <cell r="E93" t="str">
            <v>B</v>
          </cell>
        </row>
        <row r="94">
          <cell r="D94" t="str">
            <v>C</v>
          </cell>
          <cell r="E94" t="str">
            <v>C</v>
          </cell>
        </row>
        <row r="95">
          <cell r="D95" t="str">
            <v>B</v>
          </cell>
          <cell r="E95" t="str">
            <v>C</v>
          </cell>
        </row>
        <row r="96">
          <cell r="D96" t="str">
            <v>A</v>
          </cell>
          <cell r="E96" t="str">
            <v>B</v>
          </cell>
        </row>
        <row r="97">
          <cell r="D97" t="str">
            <v>D</v>
          </cell>
          <cell r="E97" t="str">
            <v>F</v>
          </cell>
        </row>
        <row r="98">
          <cell r="D98" t="str">
            <v>A</v>
          </cell>
          <cell r="E98" t="str">
            <v>B</v>
          </cell>
        </row>
        <row r="99">
          <cell r="D99" t="str">
            <v>A</v>
          </cell>
          <cell r="E99" t="str">
            <v>C</v>
          </cell>
        </row>
        <row r="100">
          <cell r="D100" t="str">
            <v>D</v>
          </cell>
          <cell r="E100" t="str">
            <v>E</v>
          </cell>
        </row>
        <row r="101">
          <cell r="D101" t="str">
            <v>C</v>
          </cell>
          <cell r="E101" t="str">
            <v>D</v>
          </cell>
        </row>
        <row r="102">
          <cell r="D102" t="str">
            <v>E</v>
          </cell>
          <cell r="E102" t="str">
            <v>E</v>
          </cell>
        </row>
        <row r="103">
          <cell r="D103" t="str">
            <v>A</v>
          </cell>
          <cell r="E103" t="str">
            <v>A</v>
          </cell>
        </row>
        <row r="104">
          <cell r="D104" t="str">
            <v>C</v>
          </cell>
          <cell r="E104" t="str">
            <v>B</v>
          </cell>
        </row>
        <row r="105">
          <cell r="D105" t="str">
            <v>B</v>
          </cell>
          <cell r="E105" t="str">
            <v>C</v>
          </cell>
        </row>
        <row r="106">
          <cell r="D106" t="str">
            <v>E</v>
          </cell>
          <cell r="E106" t="str">
            <v>F</v>
          </cell>
        </row>
        <row r="107">
          <cell r="D107" t="str">
            <v>C</v>
          </cell>
          <cell r="E107" t="str">
            <v>D</v>
          </cell>
        </row>
        <row r="108">
          <cell r="D108" t="str">
            <v>B</v>
          </cell>
          <cell r="E108" t="str">
            <v>A</v>
          </cell>
        </row>
        <row r="109">
          <cell r="D109" t="str">
            <v>A</v>
          </cell>
          <cell r="E109" t="str">
            <v>A</v>
          </cell>
        </row>
      </sheetData>
      <sheetData sheetId="2">
        <row r="10">
          <cell r="F10">
            <v>33</v>
          </cell>
        </row>
        <row r="11">
          <cell r="F11">
            <v>72</v>
          </cell>
        </row>
        <row r="12">
          <cell r="F12">
            <v>80</v>
          </cell>
        </row>
        <row r="13">
          <cell r="F13">
            <v>100</v>
          </cell>
        </row>
        <row r="14">
          <cell r="F14">
            <v>85</v>
          </cell>
        </row>
        <row r="15">
          <cell r="F15">
            <v>74</v>
          </cell>
        </row>
        <row r="16">
          <cell r="F16">
            <v>20</v>
          </cell>
        </row>
        <row r="17">
          <cell r="F17">
            <v>66</v>
          </cell>
        </row>
        <row r="18">
          <cell r="F18">
            <v>45</v>
          </cell>
        </row>
        <row r="19">
          <cell r="F19">
            <v>99</v>
          </cell>
        </row>
        <row r="20">
          <cell r="F20">
            <v>54</v>
          </cell>
        </row>
        <row r="21">
          <cell r="F21">
            <v>37</v>
          </cell>
        </row>
        <row r="22">
          <cell r="F22">
            <v>29</v>
          </cell>
        </row>
        <row r="23">
          <cell r="F23">
            <v>71</v>
          </cell>
        </row>
        <row r="24">
          <cell r="F24">
            <v>30</v>
          </cell>
        </row>
        <row r="25">
          <cell r="F25">
            <v>39</v>
          </cell>
        </row>
        <row r="26">
          <cell r="F26">
            <v>44</v>
          </cell>
        </row>
        <row r="27">
          <cell r="F27">
            <v>31</v>
          </cell>
        </row>
        <row r="28">
          <cell r="F28">
            <v>61</v>
          </cell>
        </row>
        <row r="29">
          <cell r="F29">
            <v>44</v>
          </cell>
        </row>
        <row r="30">
          <cell r="F30">
            <v>25</v>
          </cell>
        </row>
        <row r="31">
          <cell r="F31">
            <v>33</v>
          </cell>
        </row>
        <row r="32">
          <cell r="F32">
            <v>87</v>
          </cell>
        </row>
        <row r="33">
          <cell r="F33">
            <v>68</v>
          </cell>
        </row>
        <row r="34">
          <cell r="F34">
            <v>81</v>
          </cell>
        </row>
        <row r="35">
          <cell r="F35">
            <v>69</v>
          </cell>
        </row>
        <row r="36">
          <cell r="F36">
            <v>22</v>
          </cell>
        </row>
        <row r="37">
          <cell r="F37">
            <v>54</v>
          </cell>
        </row>
        <row r="38">
          <cell r="F38">
            <v>71</v>
          </cell>
        </row>
        <row r="39">
          <cell r="F39">
            <v>61</v>
          </cell>
        </row>
        <row r="40">
          <cell r="F40">
            <v>46</v>
          </cell>
        </row>
        <row r="41">
          <cell r="F41">
            <v>98</v>
          </cell>
        </row>
        <row r="42">
          <cell r="F42">
            <v>62</v>
          </cell>
        </row>
        <row r="43">
          <cell r="F43">
            <v>47</v>
          </cell>
        </row>
        <row r="44">
          <cell r="F44">
            <v>49</v>
          </cell>
        </row>
        <row r="45">
          <cell r="F45">
            <v>91</v>
          </cell>
        </row>
        <row r="46">
          <cell r="F46">
            <v>88</v>
          </cell>
        </row>
        <row r="47">
          <cell r="F47">
            <v>23</v>
          </cell>
        </row>
        <row r="48">
          <cell r="F48">
            <v>92</v>
          </cell>
        </row>
        <row r="49">
          <cell r="F49">
            <v>48</v>
          </cell>
        </row>
        <row r="50">
          <cell r="F50">
            <v>47</v>
          </cell>
        </row>
        <row r="51">
          <cell r="F51">
            <v>64</v>
          </cell>
        </row>
        <row r="52">
          <cell r="F52">
            <v>22</v>
          </cell>
        </row>
        <row r="53">
          <cell r="F53">
            <v>81</v>
          </cell>
        </row>
        <row r="54">
          <cell r="F54">
            <v>28</v>
          </cell>
        </row>
        <row r="55">
          <cell r="F55">
            <v>70</v>
          </cell>
        </row>
        <row r="56">
          <cell r="F56">
            <v>58</v>
          </cell>
        </row>
        <row r="57">
          <cell r="F57">
            <v>32</v>
          </cell>
        </row>
        <row r="58">
          <cell r="F58">
            <v>92</v>
          </cell>
        </row>
        <row r="59">
          <cell r="F59">
            <v>67</v>
          </cell>
        </row>
        <row r="60">
          <cell r="F60">
            <v>52</v>
          </cell>
        </row>
        <row r="61">
          <cell r="F61">
            <v>67</v>
          </cell>
        </row>
        <row r="62">
          <cell r="F62">
            <v>98</v>
          </cell>
        </row>
        <row r="63">
          <cell r="F63">
            <v>23</v>
          </cell>
        </row>
        <row r="64">
          <cell r="F64">
            <v>81</v>
          </cell>
        </row>
        <row r="65">
          <cell r="F65">
            <v>58</v>
          </cell>
        </row>
        <row r="66">
          <cell r="F66">
            <v>97</v>
          </cell>
        </row>
        <row r="67">
          <cell r="F67">
            <v>96</v>
          </cell>
        </row>
        <row r="68">
          <cell r="F68">
            <v>30</v>
          </cell>
        </row>
        <row r="69">
          <cell r="F69">
            <v>72</v>
          </cell>
        </row>
        <row r="70">
          <cell r="F70">
            <v>76</v>
          </cell>
        </row>
        <row r="71">
          <cell r="F71">
            <v>27</v>
          </cell>
        </row>
        <row r="72">
          <cell r="F72">
            <v>66</v>
          </cell>
        </row>
        <row r="73">
          <cell r="F73">
            <v>63</v>
          </cell>
        </row>
        <row r="74">
          <cell r="F74">
            <v>95</v>
          </cell>
        </row>
        <row r="75">
          <cell r="F75">
            <v>71</v>
          </cell>
        </row>
        <row r="76">
          <cell r="F76">
            <v>49</v>
          </cell>
        </row>
        <row r="77">
          <cell r="F77">
            <v>54</v>
          </cell>
        </row>
        <row r="78">
          <cell r="F78">
            <v>35</v>
          </cell>
        </row>
        <row r="79">
          <cell r="F79">
            <v>79</v>
          </cell>
        </row>
        <row r="80">
          <cell r="F80">
            <v>29</v>
          </cell>
        </row>
        <row r="81">
          <cell r="F81">
            <v>47</v>
          </cell>
        </row>
        <row r="82">
          <cell r="F82">
            <v>71</v>
          </cell>
        </row>
        <row r="83">
          <cell r="F83">
            <v>44</v>
          </cell>
        </row>
        <row r="84">
          <cell r="F84">
            <v>68</v>
          </cell>
        </row>
        <row r="85">
          <cell r="F85">
            <v>99</v>
          </cell>
        </row>
        <row r="86">
          <cell r="F86">
            <v>85</v>
          </cell>
        </row>
        <row r="87">
          <cell r="F87">
            <v>89</v>
          </cell>
        </row>
        <row r="88">
          <cell r="F88">
            <v>95</v>
          </cell>
        </row>
        <row r="89">
          <cell r="F89">
            <v>93</v>
          </cell>
        </row>
        <row r="90">
          <cell r="F90">
            <v>63</v>
          </cell>
        </row>
        <row r="91">
          <cell r="F91">
            <v>53</v>
          </cell>
        </row>
        <row r="92">
          <cell r="F92">
            <v>50</v>
          </cell>
        </row>
        <row r="93">
          <cell r="F93">
            <v>32</v>
          </cell>
        </row>
        <row r="94">
          <cell r="F94">
            <v>66</v>
          </cell>
        </row>
        <row r="95">
          <cell r="F95">
            <v>68</v>
          </cell>
        </row>
        <row r="96">
          <cell r="F96">
            <v>35</v>
          </cell>
        </row>
        <row r="97">
          <cell r="F97">
            <v>31</v>
          </cell>
        </row>
        <row r="98">
          <cell r="F98">
            <v>64</v>
          </cell>
        </row>
        <row r="99">
          <cell r="F99">
            <v>43</v>
          </cell>
        </row>
        <row r="100">
          <cell r="F100">
            <v>39</v>
          </cell>
        </row>
        <row r="101">
          <cell r="F101">
            <v>44</v>
          </cell>
        </row>
        <row r="102">
          <cell r="F102">
            <v>33</v>
          </cell>
        </row>
        <row r="103">
          <cell r="F103">
            <v>93</v>
          </cell>
        </row>
        <row r="104">
          <cell r="F104">
            <v>62</v>
          </cell>
        </row>
        <row r="105">
          <cell r="F105">
            <v>43</v>
          </cell>
        </row>
        <row r="106">
          <cell r="F106">
            <v>37</v>
          </cell>
        </row>
        <row r="107">
          <cell r="F107">
            <v>47</v>
          </cell>
        </row>
        <row r="108">
          <cell r="F108">
            <v>28</v>
          </cell>
        </row>
        <row r="109">
          <cell r="F109">
            <v>75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iPkJH6BT7dM" TargetMode="External"/><Relationship Id="rId1" Type="http://schemas.openxmlformats.org/officeDocument/2006/relationships/hyperlink" Target="https://www.youtube.com/watch?v=xE5klz0yUT0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www.bis.org/publ/bcbs238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en.wikipedia.org/wiki/Laddering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www.bis.org/publ/bcbs238.pdf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www.bis.org/fsi/fsisummaries/nsfr.ht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7DBD8-2B86-D345-9177-8DEB24FE4F87}">
  <dimension ref="B2:E16"/>
  <sheetViews>
    <sheetView tabSelected="1" workbookViewId="0"/>
  </sheetViews>
  <sheetFormatPr baseColWidth="10" defaultRowHeight="26" x14ac:dyDescent="0.3"/>
  <cols>
    <col min="1" max="2" width="10.83203125" style="146"/>
    <col min="3" max="3" width="36.83203125" style="146" bestFit="1" customWidth="1"/>
    <col min="4" max="4" width="10.83203125" style="146"/>
    <col min="5" max="5" width="11.33203125" style="146" bestFit="1" customWidth="1"/>
    <col min="6" max="16384" width="10.83203125" style="146"/>
  </cols>
  <sheetData>
    <row r="2" spans="2:5" s="146" customFormat="1" x14ac:dyDescent="0.3">
      <c r="B2" s="146" t="s">
        <v>283</v>
      </c>
    </row>
    <row r="4" spans="2:5" s="146" customFormat="1" x14ac:dyDescent="0.3">
      <c r="B4" s="146" t="s">
        <v>284</v>
      </c>
    </row>
    <row r="5" spans="2:5" s="146" customFormat="1" x14ac:dyDescent="0.3">
      <c r="C5" s="146" t="s">
        <v>299</v>
      </c>
    </row>
    <row r="6" spans="2:5" s="146" customFormat="1" x14ac:dyDescent="0.3">
      <c r="C6" s="146" t="s">
        <v>300</v>
      </c>
    </row>
    <row r="8" spans="2:5" s="146" customFormat="1" x14ac:dyDescent="0.3">
      <c r="B8" s="146" t="s">
        <v>285</v>
      </c>
    </row>
    <row r="9" spans="2:5" s="146" customFormat="1" x14ac:dyDescent="0.3">
      <c r="E9" s="147"/>
    </row>
    <row r="10" spans="2:5" s="146" customFormat="1" x14ac:dyDescent="0.3">
      <c r="E10" s="147"/>
    </row>
    <row r="11" spans="2:5" s="146" customFormat="1" x14ac:dyDescent="0.3">
      <c r="E11" s="147"/>
    </row>
    <row r="14" spans="2:5" s="146" customFormat="1" x14ac:dyDescent="0.3">
      <c r="E14" s="147"/>
    </row>
    <row r="16" spans="2:5" s="146" customFormat="1" x14ac:dyDescent="0.3">
      <c r="E16" s="147"/>
    </row>
  </sheetData>
  <phoneticPr fontId="20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0BCBF-DEF8-8A4C-A9F8-BD7E49EDE22E}">
  <sheetPr>
    <tabColor rgb="FFFF0000"/>
  </sheetPr>
  <dimension ref="B3:C17"/>
  <sheetViews>
    <sheetView workbookViewId="0"/>
  </sheetViews>
  <sheetFormatPr baseColWidth="10" defaultRowHeight="26" x14ac:dyDescent="0.3"/>
  <cols>
    <col min="1" max="16384" width="10.83203125" style="55"/>
  </cols>
  <sheetData>
    <row r="3" spans="2:3" x14ac:dyDescent="0.3">
      <c r="B3" s="55" t="s">
        <v>136</v>
      </c>
    </row>
    <row r="5" spans="2:3" x14ac:dyDescent="0.3">
      <c r="B5" s="55" t="s">
        <v>137</v>
      </c>
    </row>
    <row r="6" spans="2:3" x14ac:dyDescent="0.3">
      <c r="B6" s="56" t="s">
        <v>135</v>
      </c>
    </row>
    <row r="8" spans="2:3" x14ac:dyDescent="0.3">
      <c r="B8" s="55" t="s">
        <v>138</v>
      </c>
    </row>
    <row r="9" spans="2:3" x14ac:dyDescent="0.3">
      <c r="B9" s="56" t="s">
        <v>139</v>
      </c>
    </row>
    <row r="11" spans="2:3" x14ac:dyDescent="0.3">
      <c r="B11" s="55" t="s">
        <v>140</v>
      </c>
    </row>
    <row r="12" spans="2:3" x14ac:dyDescent="0.3">
      <c r="C12" s="55" t="s">
        <v>141</v>
      </c>
    </row>
    <row r="13" spans="2:3" x14ac:dyDescent="0.3">
      <c r="C13" s="55" t="s">
        <v>142</v>
      </c>
    </row>
    <row r="16" spans="2:3" x14ac:dyDescent="0.3">
      <c r="C16" s="57"/>
    </row>
    <row r="17" spans="3:3" x14ac:dyDescent="0.3">
      <c r="C17" s="57"/>
    </row>
  </sheetData>
  <hyperlinks>
    <hyperlink ref="B6" r:id="rId1" xr:uid="{B848328D-EDA8-6140-A740-D0D8387D8CF5}"/>
    <hyperlink ref="B9" r:id="rId2" xr:uid="{83B73CD3-E7B5-8041-A23F-E79D34086CF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AED5D-0A9E-944E-8243-AC8FD8B18D2B}">
  <sheetPr>
    <tabColor rgb="FFFF0000"/>
  </sheetPr>
  <dimension ref="B2:D18"/>
  <sheetViews>
    <sheetView workbookViewId="0"/>
  </sheetViews>
  <sheetFormatPr baseColWidth="10" defaultRowHeight="26" x14ac:dyDescent="0.3"/>
  <cols>
    <col min="1" max="1" width="10.83203125" style="55"/>
    <col min="2" max="2" width="9.5" style="55" customWidth="1"/>
    <col min="3" max="3" width="11.1640625" style="55" customWidth="1"/>
    <col min="4" max="16384" width="10.83203125" style="55"/>
  </cols>
  <sheetData>
    <row r="2" spans="2:4" x14ac:dyDescent="0.3">
      <c r="B2" s="73" t="s">
        <v>239</v>
      </c>
    </row>
    <row r="4" spans="2:4" x14ac:dyDescent="0.3">
      <c r="B4" s="55" t="s">
        <v>227</v>
      </c>
    </row>
    <row r="6" spans="2:4" x14ac:dyDescent="0.3">
      <c r="B6" s="55" t="s">
        <v>238</v>
      </c>
    </row>
    <row r="7" spans="2:4" x14ac:dyDescent="0.3">
      <c r="C7" s="55" t="s">
        <v>234</v>
      </c>
    </row>
    <row r="8" spans="2:4" x14ac:dyDescent="0.3">
      <c r="D8" s="55" t="s">
        <v>236</v>
      </c>
    </row>
    <row r="9" spans="2:4" x14ac:dyDescent="0.3">
      <c r="C9" s="55" t="s">
        <v>235</v>
      </c>
    </row>
    <row r="10" spans="2:4" x14ac:dyDescent="0.3">
      <c r="D10" s="55" t="s">
        <v>237</v>
      </c>
    </row>
    <row r="12" spans="2:4" x14ac:dyDescent="0.3">
      <c r="B12" s="55" t="s">
        <v>228</v>
      </c>
    </row>
    <row r="13" spans="2:4" x14ac:dyDescent="0.3">
      <c r="C13" s="55" t="s">
        <v>229</v>
      </c>
    </row>
    <row r="14" spans="2:4" x14ac:dyDescent="0.3">
      <c r="C14" s="55" t="s">
        <v>230</v>
      </c>
    </row>
    <row r="16" spans="2:4" x14ac:dyDescent="0.3">
      <c r="C16" s="55" t="s">
        <v>231</v>
      </c>
    </row>
    <row r="17" spans="4:4" x14ac:dyDescent="0.3">
      <c r="D17" s="55" t="s">
        <v>232</v>
      </c>
    </row>
    <row r="18" spans="4:4" x14ac:dyDescent="0.3">
      <c r="D18" s="55" t="s">
        <v>233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D1BAE-5BEA-4B47-8643-53D5D7190D9E}">
  <sheetPr>
    <tabColor rgb="FFFF0000"/>
  </sheetPr>
  <dimension ref="B2:L24"/>
  <sheetViews>
    <sheetView workbookViewId="0"/>
  </sheetViews>
  <sheetFormatPr baseColWidth="10" defaultRowHeight="26" x14ac:dyDescent="0.3"/>
  <cols>
    <col min="1" max="2" width="10.83203125" style="69"/>
    <col min="3" max="3" width="6.5" style="131" customWidth="1"/>
    <col min="4" max="16384" width="10.83203125" style="69"/>
  </cols>
  <sheetData>
    <row r="2" spans="2:12" x14ac:dyDescent="0.3">
      <c r="B2" s="69" t="s">
        <v>286</v>
      </c>
      <c r="L2" s="69" t="s">
        <v>172</v>
      </c>
    </row>
    <row r="4" spans="2:12" x14ac:dyDescent="0.3">
      <c r="B4" s="69" t="s">
        <v>173</v>
      </c>
    </row>
    <row r="5" spans="2:12" x14ac:dyDescent="0.3">
      <c r="C5" s="131" t="s">
        <v>193</v>
      </c>
    </row>
    <row r="6" spans="2:12" x14ac:dyDescent="0.3">
      <c r="C6" s="131" t="s">
        <v>194</v>
      </c>
    </row>
    <row r="7" spans="2:12" x14ac:dyDescent="0.3">
      <c r="C7" s="131" t="s">
        <v>195</v>
      </c>
    </row>
    <row r="10" spans="2:12" x14ac:dyDescent="0.3">
      <c r="B10" s="69" t="s">
        <v>174</v>
      </c>
    </row>
    <row r="11" spans="2:12" x14ac:dyDescent="0.3">
      <c r="C11" s="131" t="s">
        <v>196</v>
      </c>
    </row>
    <row r="12" spans="2:12" x14ac:dyDescent="0.3">
      <c r="C12" s="131" t="s">
        <v>197</v>
      </c>
    </row>
    <row r="14" spans="2:12" x14ac:dyDescent="0.3">
      <c r="B14" s="69" t="s">
        <v>175</v>
      </c>
    </row>
    <row r="15" spans="2:12" x14ac:dyDescent="0.3">
      <c r="C15" s="131" t="s">
        <v>198</v>
      </c>
    </row>
    <row r="16" spans="2:12" x14ac:dyDescent="0.3">
      <c r="C16" s="131" t="s">
        <v>199</v>
      </c>
    </row>
    <row r="18" spans="2:12" x14ac:dyDescent="0.3">
      <c r="B18" s="69" t="s">
        <v>176</v>
      </c>
    </row>
    <row r="19" spans="2:12" x14ac:dyDescent="0.3">
      <c r="C19" s="131" t="s">
        <v>200</v>
      </c>
    </row>
    <row r="21" spans="2:12" x14ac:dyDescent="0.3">
      <c r="B21" s="69" t="s">
        <v>177</v>
      </c>
    </row>
    <row r="22" spans="2:12" x14ac:dyDescent="0.3">
      <c r="C22" s="131" t="s">
        <v>202</v>
      </c>
      <c r="L22" s="69" t="s">
        <v>201</v>
      </c>
    </row>
    <row r="24" spans="2:12" x14ac:dyDescent="0.3">
      <c r="B24" s="69" t="s">
        <v>178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1A983-24E2-994C-8705-F4774FFDD3C9}">
  <sheetPr>
    <tabColor rgb="FFFF0000"/>
  </sheetPr>
  <dimension ref="B2:D23"/>
  <sheetViews>
    <sheetView zoomScaleNormal="100" workbookViewId="0"/>
  </sheetViews>
  <sheetFormatPr baseColWidth="10" defaultRowHeight="26" x14ac:dyDescent="0.3"/>
  <cols>
    <col min="1" max="1" width="10.83203125" style="69"/>
    <col min="2" max="2" width="26.33203125" style="69" customWidth="1"/>
    <col min="3" max="3" width="93.83203125" style="69" bestFit="1" customWidth="1"/>
    <col min="4" max="4" width="33" style="69" customWidth="1"/>
    <col min="5" max="16384" width="10.83203125" style="69"/>
  </cols>
  <sheetData>
    <row r="2" spans="2:4" x14ac:dyDescent="0.3">
      <c r="B2" s="69" t="s">
        <v>203</v>
      </c>
    </row>
    <row r="3" spans="2:4" x14ac:dyDescent="0.3">
      <c r="B3" s="82" t="s">
        <v>241</v>
      </c>
    </row>
    <row r="8" spans="2:4" x14ac:dyDescent="0.3">
      <c r="B8" s="69" t="s">
        <v>208</v>
      </c>
    </row>
    <row r="9" spans="2:4" x14ac:dyDescent="0.3">
      <c r="C9" s="69" t="s">
        <v>301</v>
      </c>
    </row>
    <row r="10" spans="2:4" x14ac:dyDescent="0.3">
      <c r="C10" s="69" t="s">
        <v>302</v>
      </c>
    </row>
    <row r="11" spans="2:4" x14ac:dyDescent="0.3">
      <c r="C11" s="69" t="s">
        <v>303</v>
      </c>
    </row>
    <row r="12" spans="2:4" x14ac:dyDescent="0.3">
      <c r="C12" s="69" t="s">
        <v>304</v>
      </c>
    </row>
    <row r="13" spans="2:4" x14ac:dyDescent="0.3">
      <c r="C13" s="69" t="s">
        <v>305</v>
      </c>
    </row>
    <row r="15" spans="2:4" ht="27" thickBot="1" x14ac:dyDescent="0.35">
      <c r="B15" s="71" t="s">
        <v>226</v>
      </c>
    </row>
    <row r="16" spans="2:4" ht="27" thickBot="1" x14ac:dyDescent="0.35">
      <c r="B16" s="65" t="s">
        <v>222</v>
      </c>
      <c r="C16" s="65" t="s">
        <v>2</v>
      </c>
      <c r="D16" s="65" t="s">
        <v>180</v>
      </c>
    </row>
    <row r="17" spans="2:4" x14ac:dyDescent="0.3">
      <c r="B17" s="114"/>
      <c r="C17" s="117" t="s">
        <v>293</v>
      </c>
      <c r="D17" s="114"/>
    </row>
    <row r="18" spans="2:4" x14ac:dyDescent="0.3">
      <c r="B18" s="115">
        <v>0</v>
      </c>
      <c r="C18" s="118" t="s">
        <v>292</v>
      </c>
      <c r="D18" s="115" t="s">
        <v>219</v>
      </c>
    </row>
    <row r="19" spans="2:4" ht="27" thickBot="1" x14ac:dyDescent="0.35">
      <c r="B19" s="116"/>
      <c r="C19" s="119" t="s">
        <v>294</v>
      </c>
      <c r="D19" s="116"/>
    </row>
    <row r="20" spans="2:4" x14ac:dyDescent="0.3">
      <c r="B20" s="115">
        <v>0.15</v>
      </c>
      <c r="C20" s="118" t="s">
        <v>298</v>
      </c>
      <c r="D20" s="115" t="s">
        <v>220</v>
      </c>
    </row>
    <row r="21" spans="2:4" ht="27" thickBot="1" x14ac:dyDescent="0.35">
      <c r="B21" s="116"/>
      <c r="C21" s="119" t="s">
        <v>295</v>
      </c>
      <c r="D21" s="116"/>
    </row>
    <row r="22" spans="2:4" x14ac:dyDescent="0.3">
      <c r="B22" s="115">
        <v>0.5</v>
      </c>
      <c r="C22" s="118" t="s">
        <v>296</v>
      </c>
      <c r="D22" s="115" t="s">
        <v>221</v>
      </c>
    </row>
    <row r="23" spans="2:4" ht="27" thickBot="1" x14ac:dyDescent="0.35">
      <c r="B23" s="116"/>
      <c r="C23" s="119" t="s">
        <v>297</v>
      </c>
      <c r="D23" s="116"/>
    </row>
  </sheetData>
  <hyperlinks>
    <hyperlink ref="B3" r:id="rId1" xr:uid="{9283EF6B-D161-564E-8825-9BE95932F5C3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286FA-B593-614B-9591-812D6782EC6D}">
  <sheetPr>
    <tabColor rgb="FFFF0000"/>
  </sheetPr>
  <dimension ref="B2:F20"/>
  <sheetViews>
    <sheetView workbookViewId="0"/>
  </sheetViews>
  <sheetFormatPr baseColWidth="10" defaultRowHeight="26" x14ac:dyDescent="0.3"/>
  <cols>
    <col min="1" max="1" width="10.83203125" style="69"/>
    <col min="2" max="2" width="26.33203125" style="69" customWidth="1"/>
    <col min="3" max="3" width="68.33203125" style="69" customWidth="1"/>
    <col min="4" max="4" width="18.1640625" style="69" customWidth="1"/>
    <col min="5" max="5" width="10.83203125" style="69"/>
    <col min="6" max="6" width="70" style="69" customWidth="1"/>
    <col min="7" max="16384" width="10.83203125" style="69"/>
  </cols>
  <sheetData>
    <row r="2" spans="2:6" x14ac:dyDescent="0.3">
      <c r="B2" s="69" t="s">
        <v>248</v>
      </c>
    </row>
    <row r="11" spans="2:6" ht="27" thickBot="1" x14ac:dyDescent="0.35">
      <c r="B11" s="71" t="s">
        <v>204</v>
      </c>
      <c r="E11" s="71" t="s">
        <v>205</v>
      </c>
    </row>
    <row r="12" spans="2:6" ht="49" thickBot="1" x14ac:dyDescent="0.35">
      <c r="B12" s="65" t="s">
        <v>179</v>
      </c>
      <c r="C12" s="65" t="s">
        <v>180</v>
      </c>
      <c r="E12" s="65" t="s">
        <v>185</v>
      </c>
      <c r="F12" s="65" t="s">
        <v>180</v>
      </c>
    </row>
    <row r="13" spans="2:6" ht="27" thickBot="1" x14ac:dyDescent="0.35">
      <c r="B13" s="137">
        <v>1</v>
      </c>
      <c r="C13" s="66" t="s">
        <v>181</v>
      </c>
      <c r="E13" s="68">
        <v>0</v>
      </c>
      <c r="F13" s="64" t="s">
        <v>186</v>
      </c>
    </row>
    <row r="14" spans="2:6" ht="49" thickBot="1" x14ac:dyDescent="0.35">
      <c r="B14" s="138"/>
      <c r="C14" s="67" t="s">
        <v>182</v>
      </c>
      <c r="E14" s="68">
        <v>0.05</v>
      </c>
      <c r="F14" s="64" t="s">
        <v>192</v>
      </c>
    </row>
    <row r="15" spans="2:6" ht="27" thickBot="1" x14ac:dyDescent="0.35">
      <c r="B15" s="68">
        <v>0.9</v>
      </c>
      <c r="C15" s="64" t="s">
        <v>206</v>
      </c>
      <c r="E15" s="137">
        <v>0.2</v>
      </c>
      <c r="F15" s="66" t="s">
        <v>187</v>
      </c>
    </row>
    <row r="16" spans="2:6" ht="49" thickBot="1" x14ac:dyDescent="0.35">
      <c r="B16" s="68">
        <v>0.8</v>
      </c>
      <c r="C16" s="64" t="s">
        <v>207</v>
      </c>
      <c r="E16" s="138"/>
      <c r="F16" s="67" t="s">
        <v>188</v>
      </c>
    </row>
    <row r="17" spans="2:6" ht="27" thickBot="1" x14ac:dyDescent="0.35">
      <c r="B17" s="68">
        <v>0.5</v>
      </c>
      <c r="C17" s="64" t="s">
        <v>183</v>
      </c>
      <c r="E17" s="68">
        <v>0.5</v>
      </c>
      <c r="F17" s="64" t="s">
        <v>189</v>
      </c>
    </row>
    <row r="18" spans="2:6" ht="27" thickBot="1" x14ac:dyDescent="0.35">
      <c r="B18" s="68">
        <v>0</v>
      </c>
      <c r="C18" s="64" t="s">
        <v>184</v>
      </c>
      <c r="E18" s="68">
        <v>0.65</v>
      </c>
      <c r="F18" s="64" t="s">
        <v>84</v>
      </c>
    </row>
    <row r="19" spans="2:6" ht="27" thickBot="1" x14ac:dyDescent="0.35">
      <c r="E19" s="68">
        <v>0.85</v>
      </c>
      <c r="F19" s="64" t="s">
        <v>190</v>
      </c>
    </row>
    <row r="20" spans="2:6" ht="27" thickBot="1" x14ac:dyDescent="0.35">
      <c r="E20" s="68">
        <v>1</v>
      </c>
      <c r="F20" s="64" t="s">
        <v>191</v>
      </c>
    </row>
  </sheetData>
  <mergeCells count="2">
    <mergeCell ref="B13:B14"/>
    <mergeCell ref="E15:E1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5E7B2-6D8E-B744-A6ED-D7D75A00E8AD}">
  <sheetPr>
    <tabColor rgb="FFFF0000"/>
  </sheetPr>
  <dimension ref="B2:G28"/>
  <sheetViews>
    <sheetView zoomScale="80" zoomScaleNormal="80" workbookViewId="0"/>
  </sheetViews>
  <sheetFormatPr baseColWidth="10" defaultRowHeight="26" x14ac:dyDescent="0.3"/>
  <cols>
    <col min="1" max="1" width="10.83203125" style="69"/>
    <col min="2" max="2" width="82.83203125" style="69" bestFit="1" customWidth="1"/>
    <col min="3" max="3" width="11.6640625" style="69" bestFit="1" customWidth="1"/>
    <col min="4" max="5" width="10.83203125" style="69"/>
    <col min="6" max="6" width="85.83203125" style="69" bestFit="1" customWidth="1"/>
    <col min="7" max="8" width="10.83203125" style="69"/>
    <col min="9" max="9" width="27.1640625" style="69" customWidth="1"/>
    <col min="10" max="10" width="11.6640625" style="69" bestFit="1" customWidth="1"/>
    <col min="11" max="16384" width="10.83203125" style="69"/>
  </cols>
  <sheetData>
    <row r="2" spans="2:7" x14ac:dyDescent="0.3">
      <c r="B2" s="70" t="s">
        <v>210</v>
      </c>
      <c r="G2" s="110" t="s">
        <v>209</v>
      </c>
    </row>
    <row r="3" spans="2:7" x14ac:dyDescent="0.3">
      <c r="G3" s="110" t="s">
        <v>309</v>
      </c>
    </row>
    <row r="7" spans="2:7" x14ac:dyDescent="0.3">
      <c r="B7" s="69" t="s">
        <v>290</v>
      </c>
    </row>
    <row r="8" spans="2:7" x14ac:dyDescent="0.3">
      <c r="B8" s="111" t="s">
        <v>211</v>
      </c>
      <c r="C8" s="111">
        <v>5</v>
      </c>
      <c r="D8" s="111"/>
      <c r="E8" s="111"/>
      <c r="F8" s="111" t="s">
        <v>215</v>
      </c>
      <c r="G8" s="111">
        <v>40</v>
      </c>
    </row>
    <row r="9" spans="2:7" x14ac:dyDescent="0.3">
      <c r="B9" s="111" t="s">
        <v>212</v>
      </c>
      <c r="C9" s="111">
        <v>5</v>
      </c>
      <c r="D9" s="111"/>
      <c r="E9" s="111"/>
      <c r="F9" s="111" t="s">
        <v>216</v>
      </c>
      <c r="G9" s="111">
        <v>48</v>
      </c>
    </row>
    <row r="10" spans="2:7" x14ac:dyDescent="0.3">
      <c r="B10" s="111" t="s">
        <v>213</v>
      </c>
      <c r="C10" s="111">
        <v>20</v>
      </c>
      <c r="D10" s="111"/>
      <c r="E10" s="111"/>
      <c r="F10" s="111" t="s">
        <v>217</v>
      </c>
      <c r="G10" s="111">
        <v>4</v>
      </c>
    </row>
    <row r="11" spans="2:7" x14ac:dyDescent="0.3">
      <c r="B11" s="111" t="s">
        <v>214</v>
      </c>
      <c r="C11" s="111">
        <v>60</v>
      </c>
      <c r="D11" s="111"/>
      <c r="E11" s="111"/>
      <c r="F11" s="111" t="s">
        <v>218</v>
      </c>
      <c r="G11" s="111">
        <v>8</v>
      </c>
    </row>
    <row r="12" spans="2:7" x14ac:dyDescent="0.3">
      <c r="B12" s="112" t="s">
        <v>32</v>
      </c>
      <c r="C12" s="112">
        <v>10</v>
      </c>
      <c r="D12" s="111"/>
      <c r="E12" s="111"/>
      <c r="F12" s="112"/>
      <c r="G12" s="112"/>
    </row>
    <row r="13" spans="2:7" x14ac:dyDescent="0.3">
      <c r="B13" s="111"/>
      <c r="C13" s="111">
        <f>SUM(C8:C12)</f>
        <v>100</v>
      </c>
      <c r="D13" s="111"/>
      <c r="E13" s="111"/>
      <c r="F13" s="111"/>
      <c r="G13" s="111">
        <f>SUM(G8:G12)</f>
        <v>100</v>
      </c>
    </row>
    <row r="15" spans="2:7" ht="27" thickBot="1" x14ac:dyDescent="0.35">
      <c r="B15" s="71" t="s">
        <v>205</v>
      </c>
      <c r="F15" s="71" t="s">
        <v>204</v>
      </c>
    </row>
    <row r="16" spans="2:7" ht="49" thickBot="1" x14ac:dyDescent="0.35">
      <c r="B16" s="65" t="s">
        <v>180</v>
      </c>
      <c r="C16" s="65" t="s">
        <v>185</v>
      </c>
      <c r="F16" s="65" t="s">
        <v>180</v>
      </c>
      <c r="G16" s="65" t="s">
        <v>179</v>
      </c>
    </row>
    <row r="17" spans="2:7" ht="27" thickBot="1" x14ac:dyDescent="0.35">
      <c r="B17" s="64" t="s">
        <v>186</v>
      </c>
      <c r="C17" s="68">
        <v>0</v>
      </c>
      <c r="F17" s="66" t="s">
        <v>181</v>
      </c>
      <c r="G17" s="137">
        <v>1</v>
      </c>
    </row>
    <row r="18" spans="2:7" ht="49" thickBot="1" x14ac:dyDescent="0.35">
      <c r="B18" s="113" t="s">
        <v>192</v>
      </c>
      <c r="C18" s="68">
        <v>0.05</v>
      </c>
      <c r="F18" s="67" t="s">
        <v>291</v>
      </c>
      <c r="G18" s="138"/>
    </row>
    <row r="19" spans="2:7" ht="27" thickBot="1" x14ac:dyDescent="0.35">
      <c r="B19" s="66" t="s">
        <v>187</v>
      </c>
      <c r="C19" s="137">
        <v>0.2</v>
      </c>
      <c r="F19" s="64" t="s">
        <v>206</v>
      </c>
      <c r="G19" s="68">
        <v>0.9</v>
      </c>
    </row>
    <row r="20" spans="2:7" ht="27" thickBot="1" x14ac:dyDescent="0.35">
      <c r="B20" s="67" t="s">
        <v>188</v>
      </c>
      <c r="C20" s="138"/>
      <c r="F20" s="64" t="s">
        <v>207</v>
      </c>
      <c r="G20" s="68">
        <v>0.8</v>
      </c>
    </row>
    <row r="21" spans="2:7" ht="27" thickBot="1" x14ac:dyDescent="0.35">
      <c r="B21" s="64" t="s">
        <v>189</v>
      </c>
      <c r="C21" s="68">
        <v>0.5</v>
      </c>
      <c r="F21" s="64" t="s">
        <v>183</v>
      </c>
      <c r="G21" s="68">
        <v>0.5</v>
      </c>
    </row>
    <row r="22" spans="2:7" ht="27" thickBot="1" x14ac:dyDescent="0.35">
      <c r="B22" s="64" t="s">
        <v>84</v>
      </c>
      <c r="C22" s="68">
        <v>0.65</v>
      </c>
      <c r="F22" s="64" t="s">
        <v>184</v>
      </c>
      <c r="G22" s="68">
        <v>0</v>
      </c>
    </row>
    <row r="23" spans="2:7" ht="27" thickBot="1" x14ac:dyDescent="0.35">
      <c r="B23" s="64" t="s">
        <v>190</v>
      </c>
      <c r="C23" s="68">
        <v>0.85</v>
      </c>
    </row>
    <row r="24" spans="2:7" ht="27" thickBot="1" x14ac:dyDescent="0.35">
      <c r="B24" s="64" t="s">
        <v>191</v>
      </c>
      <c r="C24" s="68">
        <v>1</v>
      </c>
    </row>
    <row r="26" spans="2:7" x14ac:dyDescent="0.3">
      <c r="B26" s="69" t="s">
        <v>288</v>
      </c>
      <c r="C26" s="69">
        <f>C8*C17+C9*C18+C10*C22+C11*C23+C12*C24</f>
        <v>74.25</v>
      </c>
      <c r="F26" s="69" t="s">
        <v>287</v>
      </c>
      <c r="G26" s="69">
        <f>G8*G19+G9*G21+G10*G17+G11*G17</f>
        <v>72</v>
      </c>
    </row>
    <row r="28" spans="2:7" x14ac:dyDescent="0.3">
      <c r="B28" s="69" t="s">
        <v>289</v>
      </c>
      <c r="C28" s="72">
        <f>G26/C26</f>
        <v>0.96969696969696972</v>
      </c>
    </row>
  </sheetData>
  <mergeCells count="2">
    <mergeCell ref="G17:G18"/>
    <mergeCell ref="C19:C20"/>
  </mergeCells>
  <phoneticPr fontId="20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B9538-F007-AE47-937A-F9CEE8F996B2}">
  <sheetPr>
    <tabColor rgb="FFFF0000"/>
  </sheetPr>
  <dimension ref="B2:U84"/>
  <sheetViews>
    <sheetView workbookViewId="0"/>
  </sheetViews>
  <sheetFormatPr baseColWidth="10" defaultRowHeight="26" x14ac:dyDescent="0.3"/>
  <cols>
    <col min="1" max="5" width="10.83203125" style="108"/>
    <col min="6" max="6" width="9" style="132" bestFit="1" customWidth="1"/>
    <col min="7" max="7" width="9" style="132" customWidth="1"/>
    <col min="8" max="8" width="6.5" style="133" bestFit="1" customWidth="1"/>
    <col min="9" max="13" width="10.83203125" style="133"/>
    <col min="14" max="14" width="9" style="132" bestFit="1" customWidth="1"/>
    <col min="15" max="15" width="9" style="132" customWidth="1"/>
    <col min="16" max="16" width="6.5" style="133" bestFit="1" customWidth="1"/>
    <col min="17" max="21" width="10.83203125" style="133"/>
    <col min="22" max="16384" width="10.83203125" style="108"/>
  </cols>
  <sheetData>
    <row r="2" spans="2:21" x14ac:dyDescent="0.3">
      <c r="B2" s="108" t="s">
        <v>282</v>
      </c>
    </row>
    <row r="3" spans="2:21" x14ac:dyDescent="0.3">
      <c r="B3" s="109" t="s">
        <v>281</v>
      </c>
      <c r="F3" s="134" t="s">
        <v>311</v>
      </c>
      <c r="G3" s="134" t="s">
        <v>312</v>
      </c>
      <c r="H3" s="135" t="s">
        <v>313</v>
      </c>
      <c r="I3" s="135" t="s">
        <v>16</v>
      </c>
      <c r="J3" s="135"/>
      <c r="K3" s="135" t="s">
        <v>314</v>
      </c>
      <c r="L3" s="135"/>
      <c r="M3" s="135"/>
      <c r="N3" s="134" t="s">
        <v>311</v>
      </c>
      <c r="O3" s="134" t="s">
        <v>312</v>
      </c>
      <c r="P3" s="135" t="s">
        <v>313</v>
      </c>
      <c r="Q3" s="135" t="s">
        <v>16</v>
      </c>
      <c r="R3" s="135" t="s">
        <v>315</v>
      </c>
      <c r="S3" s="135" t="s">
        <v>16</v>
      </c>
      <c r="T3" s="135"/>
      <c r="U3" s="135" t="s">
        <v>314</v>
      </c>
    </row>
    <row r="4" spans="2:21" x14ac:dyDescent="0.3">
      <c r="F4" s="132">
        <v>0</v>
      </c>
      <c r="G4" s="136">
        <f ca="1">_xlfn.NORM.INV(RAND(),5%,1%)</f>
        <v>4.1585016057747837E-2</v>
      </c>
      <c r="H4" s="133">
        <v>100</v>
      </c>
      <c r="I4" s="133">
        <f ca="1">IF(ISBLANK(H4),"",H4*G4)</f>
        <v>4.1585016057747834</v>
      </c>
      <c r="K4" s="133">
        <f ca="1">_xlfn.STDEV.S(I:I)</f>
        <v>1.1821616280369447</v>
      </c>
      <c r="N4" s="132">
        <v>0</v>
      </c>
      <c r="O4" s="136">
        <f ca="1">G4</f>
        <v>4.1585016057747837E-2</v>
      </c>
      <c r="P4" s="133">
        <v>25</v>
      </c>
      <c r="Q4" s="133">
        <f ca="1">IF(ISBLANK(P4),"",P4*O4)</f>
        <v>1.0396254014436959</v>
      </c>
      <c r="R4" s="133">
        <f t="shared" ref="R4:R67" si="0">SUM(P1:P4)</f>
        <v>25</v>
      </c>
      <c r="U4" s="133">
        <f ca="1">_xlfn.STDEV.S(S:S)</f>
        <v>0.45328690002518901</v>
      </c>
    </row>
    <row r="5" spans="2:21" x14ac:dyDescent="0.3">
      <c r="F5" s="132">
        <v>0.25</v>
      </c>
      <c r="G5" s="136">
        <f t="shared" ref="G5:G68" ca="1" si="1">_xlfn.NORM.INV(RAND(),5%,1%)</f>
        <v>4.0932267997182734E-2</v>
      </c>
      <c r="I5" s="133" t="str">
        <f t="shared" ref="I5:I68" si="2">IF(ISBLANK(H5),"",H5*G5)</f>
        <v/>
      </c>
      <c r="N5" s="132">
        <v>0.25</v>
      </c>
      <c r="O5" s="136">
        <f t="shared" ref="O5:O68" ca="1" si="3">G5</f>
        <v>4.0932267997182734E-2</v>
      </c>
      <c r="P5" s="133">
        <v>25</v>
      </c>
      <c r="Q5" s="133">
        <f t="shared" ref="Q5:Q68" ca="1" si="4">IF(ISBLANK(P5),"",P5*O5)</f>
        <v>1.0233066999295684</v>
      </c>
      <c r="R5" s="133">
        <f t="shared" si="0"/>
        <v>50</v>
      </c>
    </row>
    <row r="6" spans="2:21" x14ac:dyDescent="0.3">
      <c r="F6" s="132">
        <v>0.5</v>
      </c>
      <c r="G6" s="136">
        <f t="shared" ca="1" si="1"/>
        <v>4.2162562050221522E-2</v>
      </c>
      <c r="I6" s="133" t="str">
        <f t="shared" si="2"/>
        <v/>
      </c>
      <c r="N6" s="132">
        <v>0.5</v>
      </c>
      <c r="O6" s="136">
        <f t="shared" ca="1" si="3"/>
        <v>4.2162562050221522E-2</v>
      </c>
      <c r="P6" s="133">
        <v>25</v>
      </c>
      <c r="Q6" s="133">
        <f t="shared" ca="1" si="4"/>
        <v>1.0540640512555381</v>
      </c>
      <c r="R6" s="133">
        <f t="shared" si="0"/>
        <v>75</v>
      </c>
    </row>
    <row r="7" spans="2:21" x14ac:dyDescent="0.3">
      <c r="F7" s="132">
        <v>0.75</v>
      </c>
      <c r="G7" s="136">
        <f t="shared" ca="1" si="1"/>
        <v>4.7472526177236567E-2</v>
      </c>
      <c r="I7" s="133" t="str">
        <f t="shared" si="2"/>
        <v/>
      </c>
      <c r="N7" s="132">
        <v>0.75</v>
      </c>
      <c r="O7" s="136">
        <f t="shared" ca="1" si="3"/>
        <v>4.7472526177236567E-2</v>
      </c>
      <c r="P7" s="133">
        <v>25</v>
      </c>
      <c r="Q7" s="133">
        <f t="shared" ca="1" si="4"/>
        <v>1.1868131544309142</v>
      </c>
      <c r="R7" s="133">
        <f>SUM(P4:P7)</f>
        <v>100</v>
      </c>
    </row>
    <row r="8" spans="2:21" x14ac:dyDescent="0.3">
      <c r="F8" s="132">
        <v>1</v>
      </c>
      <c r="G8" s="136">
        <f t="shared" ca="1" si="1"/>
        <v>3.7437115604527615E-2</v>
      </c>
      <c r="H8" s="133">
        <v>100</v>
      </c>
      <c r="I8" s="133">
        <f t="shared" ca="1" si="2"/>
        <v>3.7437115604527618</v>
      </c>
      <c r="N8" s="132">
        <v>1</v>
      </c>
      <c r="O8" s="136">
        <f t="shared" ca="1" si="3"/>
        <v>3.7437115604527615E-2</v>
      </c>
      <c r="P8" s="133">
        <v>25</v>
      </c>
      <c r="Q8" s="133">
        <f t="shared" ca="1" si="4"/>
        <v>0.93592789011319044</v>
      </c>
      <c r="R8" s="133">
        <f t="shared" si="0"/>
        <v>100</v>
      </c>
      <c r="S8" s="133">
        <f ca="1">SUM(Q4:Q7)</f>
        <v>4.3038093070597165</v>
      </c>
    </row>
    <row r="9" spans="2:21" x14ac:dyDescent="0.3">
      <c r="F9" s="132">
        <v>1.25</v>
      </c>
      <c r="G9" s="136">
        <f t="shared" ca="1" si="1"/>
        <v>5.522004104630971E-2</v>
      </c>
      <c r="I9" s="133" t="str">
        <f t="shared" si="2"/>
        <v/>
      </c>
      <c r="N9" s="132">
        <v>1.25</v>
      </c>
      <c r="O9" s="136">
        <f t="shared" ca="1" si="3"/>
        <v>5.522004104630971E-2</v>
      </c>
      <c r="P9" s="133">
        <v>25</v>
      </c>
      <c r="Q9" s="133">
        <f t="shared" ca="1" si="4"/>
        <v>1.3805010261577428</v>
      </c>
      <c r="R9" s="133">
        <f t="shared" si="0"/>
        <v>100</v>
      </c>
    </row>
    <row r="10" spans="2:21" x14ac:dyDescent="0.3">
      <c r="F10" s="132">
        <v>1.5</v>
      </c>
      <c r="G10" s="136">
        <f t="shared" ca="1" si="1"/>
        <v>4.0989020965389145E-2</v>
      </c>
      <c r="I10" s="133" t="str">
        <f t="shared" si="2"/>
        <v/>
      </c>
      <c r="N10" s="132">
        <v>1.5</v>
      </c>
      <c r="O10" s="136">
        <f t="shared" ca="1" si="3"/>
        <v>4.0989020965389145E-2</v>
      </c>
      <c r="P10" s="133">
        <v>25</v>
      </c>
      <c r="Q10" s="133">
        <f t="shared" ca="1" si="4"/>
        <v>1.0247255241347286</v>
      </c>
      <c r="R10" s="133">
        <f t="shared" si="0"/>
        <v>100</v>
      </c>
    </row>
    <row r="11" spans="2:21" x14ac:dyDescent="0.3">
      <c r="F11" s="132">
        <v>1.75</v>
      </c>
      <c r="G11" s="136">
        <f t="shared" ca="1" si="1"/>
        <v>4.2931697995775411E-2</v>
      </c>
      <c r="I11" s="133" t="str">
        <f t="shared" si="2"/>
        <v/>
      </c>
      <c r="N11" s="132">
        <v>1.75</v>
      </c>
      <c r="O11" s="136">
        <f t="shared" ca="1" si="3"/>
        <v>4.2931697995775411E-2</v>
      </c>
      <c r="P11" s="133">
        <v>25</v>
      </c>
      <c r="Q11" s="133">
        <f t="shared" ca="1" si="4"/>
        <v>1.0732924498943852</v>
      </c>
      <c r="R11" s="133">
        <f t="shared" si="0"/>
        <v>100</v>
      </c>
    </row>
    <row r="12" spans="2:21" x14ac:dyDescent="0.3">
      <c r="F12" s="132">
        <v>2</v>
      </c>
      <c r="G12" s="136">
        <f t="shared" ca="1" si="1"/>
        <v>4.5939751269531329E-2</v>
      </c>
      <c r="H12" s="133">
        <v>100</v>
      </c>
      <c r="I12" s="133">
        <f t="shared" ca="1" si="2"/>
        <v>4.5939751269531328</v>
      </c>
      <c r="N12" s="132">
        <v>2</v>
      </c>
      <c r="O12" s="136">
        <f t="shared" ca="1" si="3"/>
        <v>4.5939751269531329E-2</v>
      </c>
      <c r="P12" s="133">
        <v>25</v>
      </c>
      <c r="Q12" s="133">
        <f t="shared" ca="1" si="4"/>
        <v>1.1484937817382832</v>
      </c>
      <c r="R12" s="133">
        <f t="shared" si="0"/>
        <v>100</v>
      </c>
      <c r="S12" s="133">
        <f t="shared" ref="S12" ca="1" si="5">SUM(Q8:Q11)</f>
        <v>4.4144468903000469</v>
      </c>
    </row>
    <row r="13" spans="2:21" x14ac:dyDescent="0.3">
      <c r="F13" s="132">
        <v>2.25</v>
      </c>
      <c r="G13" s="136">
        <f t="shared" ca="1" si="1"/>
        <v>4.7207742314817482E-2</v>
      </c>
      <c r="I13" s="133" t="str">
        <f t="shared" si="2"/>
        <v/>
      </c>
      <c r="N13" s="132">
        <v>2.25</v>
      </c>
      <c r="O13" s="136">
        <f t="shared" ca="1" si="3"/>
        <v>4.7207742314817482E-2</v>
      </c>
      <c r="P13" s="133">
        <v>25</v>
      </c>
      <c r="Q13" s="133">
        <f t="shared" ca="1" si="4"/>
        <v>1.180193557870437</v>
      </c>
      <c r="R13" s="133">
        <f t="shared" si="0"/>
        <v>100</v>
      </c>
    </row>
    <row r="14" spans="2:21" x14ac:dyDescent="0.3">
      <c r="F14" s="132">
        <v>2.5</v>
      </c>
      <c r="G14" s="136">
        <f t="shared" ca="1" si="1"/>
        <v>6.168089416488913E-2</v>
      </c>
      <c r="I14" s="133" t="str">
        <f t="shared" si="2"/>
        <v/>
      </c>
      <c r="N14" s="132">
        <v>2.5</v>
      </c>
      <c r="O14" s="136">
        <f t="shared" ca="1" si="3"/>
        <v>6.168089416488913E-2</v>
      </c>
      <c r="P14" s="133">
        <v>25</v>
      </c>
      <c r="Q14" s="133">
        <f t="shared" ca="1" si="4"/>
        <v>1.5420223541222282</v>
      </c>
      <c r="R14" s="133">
        <f t="shared" si="0"/>
        <v>100</v>
      </c>
    </row>
    <row r="15" spans="2:21" x14ac:dyDescent="0.3">
      <c r="F15" s="132">
        <v>2.75</v>
      </c>
      <c r="G15" s="136">
        <f t="shared" ca="1" si="1"/>
        <v>2.9031809536141429E-2</v>
      </c>
      <c r="I15" s="133" t="str">
        <f t="shared" si="2"/>
        <v/>
      </c>
      <c r="N15" s="132">
        <v>2.75</v>
      </c>
      <c r="O15" s="136">
        <f t="shared" ca="1" si="3"/>
        <v>2.9031809536141429E-2</v>
      </c>
      <c r="P15" s="133">
        <v>25</v>
      </c>
      <c r="Q15" s="133">
        <f t="shared" ca="1" si="4"/>
        <v>0.72579523840353577</v>
      </c>
      <c r="R15" s="133">
        <f t="shared" si="0"/>
        <v>100</v>
      </c>
    </row>
    <row r="16" spans="2:21" x14ac:dyDescent="0.3">
      <c r="F16" s="132">
        <v>3</v>
      </c>
      <c r="G16" s="136">
        <f t="shared" ca="1" si="1"/>
        <v>4.8191735512662148E-2</v>
      </c>
      <c r="H16" s="133">
        <v>100</v>
      </c>
      <c r="I16" s="133">
        <f t="shared" ca="1" si="2"/>
        <v>4.819173551266215</v>
      </c>
      <c r="N16" s="132">
        <v>3</v>
      </c>
      <c r="O16" s="136">
        <f t="shared" ca="1" si="3"/>
        <v>4.8191735512662148E-2</v>
      </c>
      <c r="P16" s="133">
        <v>25</v>
      </c>
      <c r="Q16" s="133">
        <f t="shared" ca="1" si="4"/>
        <v>1.2047933878165538</v>
      </c>
      <c r="R16" s="133">
        <f t="shared" si="0"/>
        <v>100</v>
      </c>
      <c r="S16" s="133">
        <f t="shared" ref="S16" ca="1" si="6">SUM(Q12:Q15)</f>
        <v>4.5965049321344846</v>
      </c>
    </row>
    <row r="17" spans="6:19" x14ac:dyDescent="0.3">
      <c r="F17" s="132">
        <v>3.25</v>
      </c>
      <c r="G17" s="136">
        <f t="shared" ca="1" si="1"/>
        <v>5.3915895534059441E-2</v>
      </c>
      <c r="I17" s="133" t="str">
        <f t="shared" si="2"/>
        <v/>
      </c>
      <c r="N17" s="132">
        <v>3.25</v>
      </c>
      <c r="O17" s="136">
        <f t="shared" ca="1" si="3"/>
        <v>5.3915895534059441E-2</v>
      </c>
      <c r="P17" s="133">
        <v>25</v>
      </c>
      <c r="Q17" s="133">
        <f t="shared" ca="1" si="4"/>
        <v>1.347897388351486</v>
      </c>
      <c r="R17" s="133">
        <f t="shared" si="0"/>
        <v>100</v>
      </c>
    </row>
    <row r="18" spans="6:19" x14ac:dyDescent="0.3">
      <c r="F18" s="132">
        <v>3.5</v>
      </c>
      <c r="G18" s="136">
        <f t="shared" ca="1" si="1"/>
        <v>4.5432629277188566E-2</v>
      </c>
      <c r="I18" s="133" t="str">
        <f t="shared" si="2"/>
        <v/>
      </c>
      <c r="N18" s="132">
        <v>3.5</v>
      </c>
      <c r="O18" s="136">
        <f t="shared" ca="1" si="3"/>
        <v>4.5432629277188566E-2</v>
      </c>
      <c r="P18" s="133">
        <v>25</v>
      </c>
      <c r="Q18" s="133">
        <f t="shared" ca="1" si="4"/>
        <v>1.1358157319297142</v>
      </c>
      <c r="R18" s="133">
        <f t="shared" si="0"/>
        <v>100</v>
      </c>
    </row>
    <row r="19" spans="6:19" x14ac:dyDescent="0.3">
      <c r="F19" s="132">
        <v>3.75</v>
      </c>
      <c r="G19" s="136">
        <f t="shared" ca="1" si="1"/>
        <v>5.971595430220604E-2</v>
      </c>
      <c r="I19" s="133" t="str">
        <f t="shared" si="2"/>
        <v/>
      </c>
      <c r="N19" s="132">
        <v>3.75</v>
      </c>
      <c r="O19" s="136">
        <f t="shared" ca="1" si="3"/>
        <v>5.971595430220604E-2</v>
      </c>
      <c r="P19" s="133">
        <v>25</v>
      </c>
      <c r="Q19" s="133">
        <f t="shared" ca="1" si="4"/>
        <v>1.4928988575551509</v>
      </c>
      <c r="R19" s="133">
        <f t="shared" si="0"/>
        <v>100</v>
      </c>
    </row>
    <row r="20" spans="6:19" x14ac:dyDescent="0.3">
      <c r="F20" s="132">
        <v>4</v>
      </c>
      <c r="G20" s="136">
        <f t="shared" ca="1" si="1"/>
        <v>4.1813967961384688E-2</v>
      </c>
      <c r="H20" s="133">
        <v>100</v>
      </c>
      <c r="I20" s="133">
        <f t="shared" ca="1" si="2"/>
        <v>4.1813967961384684</v>
      </c>
      <c r="N20" s="132">
        <v>4</v>
      </c>
      <c r="O20" s="136">
        <f t="shared" ca="1" si="3"/>
        <v>4.1813967961384688E-2</v>
      </c>
      <c r="P20" s="133">
        <v>25</v>
      </c>
      <c r="Q20" s="133">
        <f t="shared" ca="1" si="4"/>
        <v>1.0453491990346171</v>
      </c>
      <c r="R20" s="133">
        <f t="shared" si="0"/>
        <v>100</v>
      </c>
      <c r="S20" s="133">
        <f t="shared" ref="S20" ca="1" si="7">SUM(Q16:Q19)</f>
        <v>5.1814053656529051</v>
      </c>
    </row>
    <row r="21" spans="6:19" x14ac:dyDescent="0.3">
      <c r="F21" s="132">
        <v>4.25</v>
      </c>
      <c r="G21" s="136">
        <f t="shared" ca="1" si="1"/>
        <v>5.6348526443961239E-2</v>
      </c>
      <c r="I21" s="133" t="str">
        <f t="shared" si="2"/>
        <v/>
      </c>
      <c r="N21" s="132">
        <v>4.25</v>
      </c>
      <c r="O21" s="136">
        <f t="shared" ca="1" si="3"/>
        <v>5.6348526443961239E-2</v>
      </c>
      <c r="P21" s="133">
        <v>25</v>
      </c>
      <c r="Q21" s="133">
        <f t="shared" ca="1" si="4"/>
        <v>1.4087131610990309</v>
      </c>
      <c r="R21" s="133">
        <f t="shared" si="0"/>
        <v>100</v>
      </c>
    </row>
    <row r="22" spans="6:19" x14ac:dyDescent="0.3">
      <c r="F22" s="132">
        <v>4.5</v>
      </c>
      <c r="G22" s="136">
        <f t="shared" ca="1" si="1"/>
        <v>4.102309339852174E-2</v>
      </c>
      <c r="I22" s="133" t="str">
        <f t="shared" si="2"/>
        <v/>
      </c>
      <c r="N22" s="132">
        <v>4.5</v>
      </c>
      <c r="O22" s="136">
        <f t="shared" ca="1" si="3"/>
        <v>4.102309339852174E-2</v>
      </c>
      <c r="P22" s="133">
        <v>25</v>
      </c>
      <c r="Q22" s="133">
        <f t="shared" ca="1" si="4"/>
        <v>1.0255773349630435</v>
      </c>
      <c r="R22" s="133">
        <f t="shared" si="0"/>
        <v>100</v>
      </c>
    </row>
    <row r="23" spans="6:19" x14ac:dyDescent="0.3">
      <c r="F23" s="132">
        <v>4.75</v>
      </c>
      <c r="G23" s="136">
        <f t="shared" ca="1" si="1"/>
        <v>4.3418000182641192E-2</v>
      </c>
      <c r="I23" s="133" t="str">
        <f t="shared" si="2"/>
        <v/>
      </c>
      <c r="N23" s="132">
        <v>4.75</v>
      </c>
      <c r="O23" s="136">
        <f t="shared" ca="1" si="3"/>
        <v>4.3418000182641192E-2</v>
      </c>
      <c r="P23" s="133">
        <v>25</v>
      </c>
      <c r="Q23" s="133">
        <f t="shared" ca="1" si="4"/>
        <v>1.0854500045660298</v>
      </c>
      <c r="R23" s="133">
        <f t="shared" si="0"/>
        <v>100</v>
      </c>
    </row>
    <row r="24" spans="6:19" x14ac:dyDescent="0.3">
      <c r="F24" s="132">
        <v>5</v>
      </c>
      <c r="G24" s="136">
        <f t="shared" ca="1" si="1"/>
        <v>4.5002168430602507E-2</v>
      </c>
      <c r="H24" s="133">
        <v>100</v>
      </c>
      <c r="I24" s="133">
        <f t="shared" ca="1" si="2"/>
        <v>4.5002168430602509</v>
      </c>
      <c r="N24" s="132">
        <v>5</v>
      </c>
      <c r="O24" s="136">
        <f t="shared" ca="1" si="3"/>
        <v>4.5002168430602507E-2</v>
      </c>
      <c r="P24" s="133">
        <v>25</v>
      </c>
      <c r="Q24" s="133">
        <f t="shared" ca="1" si="4"/>
        <v>1.1250542107650627</v>
      </c>
      <c r="R24" s="133">
        <f t="shared" si="0"/>
        <v>100</v>
      </c>
      <c r="S24" s="133">
        <f t="shared" ref="S24" ca="1" si="8">SUM(Q20:Q23)</f>
        <v>4.565089699662721</v>
      </c>
    </row>
    <row r="25" spans="6:19" x14ac:dyDescent="0.3">
      <c r="F25" s="132">
        <v>5.25</v>
      </c>
      <c r="G25" s="136">
        <f t="shared" ca="1" si="1"/>
        <v>4.8393815035296155E-2</v>
      </c>
      <c r="I25" s="133" t="str">
        <f t="shared" si="2"/>
        <v/>
      </c>
      <c r="N25" s="132">
        <v>5.25</v>
      </c>
      <c r="O25" s="136">
        <f t="shared" ca="1" si="3"/>
        <v>4.8393815035296155E-2</v>
      </c>
      <c r="P25" s="133">
        <v>25</v>
      </c>
      <c r="Q25" s="133">
        <f t="shared" ca="1" si="4"/>
        <v>1.2098453758824039</v>
      </c>
      <c r="R25" s="133">
        <f t="shared" si="0"/>
        <v>100</v>
      </c>
    </row>
    <row r="26" spans="6:19" x14ac:dyDescent="0.3">
      <c r="F26" s="132">
        <v>5.5</v>
      </c>
      <c r="G26" s="136">
        <f t="shared" ca="1" si="1"/>
        <v>6.5687341434673377E-2</v>
      </c>
      <c r="I26" s="133" t="str">
        <f t="shared" si="2"/>
        <v/>
      </c>
      <c r="N26" s="132">
        <v>5.5</v>
      </c>
      <c r="O26" s="136">
        <f t="shared" ca="1" si="3"/>
        <v>6.5687341434673377E-2</v>
      </c>
      <c r="P26" s="133">
        <v>25</v>
      </c>
      <c r="Q26" s="133">
        <f t="shared" ca="1" si="4"/>
        <v>1.6421835358668344</v>
      </c>
      <c r="R26" s="133">
        <f t="shared" si="0"/>
        <v>100</v>
      </c>
    </row>
    <row r="27" spans="6:19" x14ac:dyDescent="0.3">
      <c r="F27" s="132">
        <v>5.75</v>
      </c>
      <c r="G27" s="136">
        <f t="shared" ca="1" si="1"/>
        <v>3.8400782056974427E-2</v>
      </c>
      <c r="I27" s="133" t="str">
        <f t="shared" si="2"/>
        <v/>
      </c>
      <c r="N27" s="132">
        <v>5.75</v>
      </c>
      <c r="O27" s="136">
        <f t="shared" ca="1" si="3"/>
        <v>3.8400782056974427E-2</v>
      </c>
      <c r="P27" s="133">
        <v>25</v>
      </c>
      <c r="Q27" s="133">
        <f t="shared" ca="1" si="4"/>
        <v>0.96001955142436068</v>
      </c>
      <c r="R27" s="133">
        <f t="shared" si="0"/>
        <v>100</v>
      </c>
    </row>
    <row r="28" spans="6:19" x14ac:dyDescent="0.3">
      <c r="F28" s="132">
        <v>6</v>
      </c>
      <c r="G28" s="136">
        <f t="shared" ca="1" si="1"/>
        <v>6.3489667600901412E-2</v>
      </c>
      <c r="H28" s="133">
        <v>100</v>
      </c>
      <c r="I28" s="133">
        <f t="shared" ca="1" si="2"/>
        <v>6.3489667600901409</v>
      </c>
      <c r="N28" s="132">
        <v>6</v>
      </c>
      <c r="O28" s="136">
        <f t="shared" ca="1" si="3"/>
        <v>6.3489667600901412E-2</v>
      </c>
      <c r="P28" s="133">
        <v>25</v>
      </c>
      <c r="Q28" s="133">
        <f t="shared" ca="1" si="4"/>
        <v>1.5872416900225352</v>
      </c>
      <c r="R28" s="133">
        <f t="shared" si="0"/>
        <v>100</v>
      </c>
      <c r="S28" s="133">
        <f t="shared" ref="S28" ca="1" si="9">SUM(Q24:Q27)</f>
        <v>4.9371026739386616</v>
      </c>
    </row>
    <row r="29" spans="6:19" x14ac:dyDescent="0.3">
      <c r="F29" s="132">
        <v>6.25</v>
      </c>
      <c r="G29" s="136">
        <f t="shared" ca="1" si="1"/>
        <v>5.9955926670374138E-2</v>
      </c>
      <c r="I29" s="133" t="str">
        <f t="shared" si="2"/>
        <v/>
      </c>
      <c r="N29" s="132">
        <v>6.25</v>
      </c>
      <c r="O29" s="136">
        <f t="shared" ca="1" si="3"/>
        <v>5.9955926670374138E-2</v>
      </c>
      <c r="P29" s="133">
        <v>25</v>
      </c>
      <c r="Q29" s="133">
        <f t="shared" ca="1" si="4"/>
        <v>1.4988981667593535</v>
      </c>
      <c r="R29" s="133">
        <f t="shared" si="0"/>
        <v>100</v>
      </c>
    </row>
    <row r="30" spans="6:19" x14ac:dyDescent="0.3">
      <c r="F30" s="132">
        <v>6.5</v>
      </c>
      <c r="G30" s="136">
        <f t="shared" ca="1" si="1"/>
        <v>5.4794328514874244E-2</v>
      </c>
      <c r="I30" s="133" t="str">
        <f t="shared" si="2"/>
        <v/>
      </c>
      <c r="N30" s="132">
        <v>6.5</v>
      </c>
      <c r="O30" s="136">
        <f t="shared" ca="1" si="3"/>
        <v>5.4794328514874244E-2</v>
      </c>
      <c r="P30" s="133">
        <v>25</v>
      </c>
      <c r="Q30" s="133">
        <f t="shared" ca="1" si="4"/>
        <v>1.3698582128718562</v>
      </c>
      <c r="R30" s="133">
        <f t="shared" si="0"/>
        <v>100</v>
      </c>
    </row>
    <row r="31" spans="6:19" x14ac:dyDescent="0.3">
      <c r="F31" s="132">
        <v>6.75</v>
      </c>
      <c r="G31" s="136">
        <f t="shared" ca="1" si="1"/>
        <v>4.4790595004743562E-2</v>
      </c>
      <c r="I31" s="133" t="str">
        <f t="shared" si="2"/>
        <v/>
      </c>
      <c r="N31" s="132">
        <v>6.75</v>
      </c>
      <c r="O31" s="136">
        <f t="shared" ca="1" si="3"/>
        <v>4.4790595004743562E-2</v>
      </c>
      <c r="P31" s="133">
        <v>25</v>
      </c>
      <c r="Q31" s="133">
        <f t="shared" ca="1" si="4"/>
        <v>1.1197648751185891</v>
      </c>
      <c r="R31" s="133">
        <f t="shared" si="0"/>
        <v>100</v>
      </c>
    </row>
    <row r="32" spans="6:19" x14ac:dyDescent="0.3">
      <c r="F32" s="132">
        <v>7</v>
      </c>
      <c r="G32" s="136">
        <f t="shared" ca="1" si="1"/>
        <v>5.1305564630710954E-2</v>
      </c>
      <c r="H32" s="133">
        <v>100</v>
      </c>
      <c r="I32" s="133">
        <f t="shared" ca="1" si="2"/>
        <v>5.1305564630710956</v>
      </c>
      <c r="N32" s="132">
        <v>7</v>
      </c>
      <c r="O32" s="136">
        <f t="shared" ca="1" si="3"/>
        <v>5.1305564630710954E-2</v>
      </c>
      <c r="P32" s="133">
        <v>25</v>
      </c>
      <c r="Q32" s="133">
        <f t="shared" ca="1" si="4"/>
        <v>1.2826391157677739</v>
      </c>
      <c r="R32" s="133">
        <f t="shared" si="0"/>
        <v>100</v>
      </c>
      <c r="S32" s="133">
        <f t="shared" ref="S32" ca="1" si="10">SUM(Q28:Q31)</f>
        <v>5.5757629447723343</v>
      </c>
    </row>
    <row r="33" spans="6:19" x14ac:dyDescent="0.3">
      <c r="F33" s="132">
        <v>7.25</v>
      </c>
      <c r="G33" s="136">
        <f t="shared" ca="1" si="1"/>
        <v>4.4952584728880418E-2</v>
      </c>
      <c r="I33" s="133" t="str">
        <f t="shared" si="2"/>
        <v/>
      </c>
      <c r="N33" s="132">
        <v>7.25</v>
      </c>
      <c r="O33" s="136">
        <f t="shared" ca="1" si="3"/>
        <v>4.4952584728880418E-2</v>
      </c>
      <c r="P33" s="133">
        <v>25</v>
      </c>
      <c r="Q33" s="133">
        <f t="shared" ca="1" si="4"/>
        <v>1.1238146182220103</v>
      </c>
      <c r="R33" s="133">
        <f t="shared" si="0"/>
        <v>100</v>
      </c>
    </row>
    <row r="34" spans="6:19" x14ac:dyDescent="0.3">
      <c r="F34" s="132">
        <v>7.5</v>
      </c>
      <c r="G34" s="136">
        <f t="shared" ca="1" si="1"/>
        <v>6.4601662265836315E-2</v>
      </c>
      <c r="I34" s="133" t="str">
        <f t="shared" si="2"/>
        <v/>
      </c>
      <c r="N34" s="132">
        <v>7.5</v>
      </c>
      <c r="O34" s="136">
        <f t="shared" ca="1" si="3"/>
        <v>6.4601662265836315E-2</v>
      </c>
      <c r="P34" s="133">
        <v>25</v>
      </c>
      <c r="Q34" s="133">
        <f t="shared" ca="1" si="4"/>
        <v>1.615041556645908</v>
      </c>
      <c r="R34" s="133">
        <f t="shared" si="0"/>
        <v>100</v>
      </c>
    </row>
    <row r="35" spans="6:19" x14ac:dyDescent="0.3">
      <c r="F35" s="132">
        <v>7.75</v>
      </c>
      <c r="G35" s="136">
        <f t="shared" ca="1" si="1"/>
        <v>4.4437833233861294E-2</v>
      </c>
      <c r="I35" s="133" t="str">
        <f t="shared" si="2"/>
        <v/>
      </c>
      <c r="N35" s="132">
        <v>7.75</v>
      </c>
      <c r="O35" s="136">
        <f t="shared" ca="1" si="3"/>
        <v>4.4437833233861294E-2</v>
      </c>
      <c r="P35" s="133">
        <v>25</v>
      </c>
      <c r="Q35" s="133">
        <f t="shared" ca="1" si="4"/>
        <v>1.1109458308465323</v>
      </c>
      <c r="R35" s="133">
        <f t="shared" si="0"/>
        <v>100</v>
      </c>
    </row>
    <row r="36" spans="6:19" x14ac:dyDescent="0.3">
      <c r="F36" s="132">
        <v>8</v>
      </c>
      <c r="G36" s="136">
        <f t="shared" ca="1" si="1"/>
        <v>4.24893106071332E-2</v>
      </c>
      <c r="H36" s="133">
        <v>100</v>
      </c>
      <c r="I36" s="133">
        <f t="shared" ca="1" si="2"/>
        <v>4.2489310607133204</v>
      </c>
      <c r="N36" s="132">
        <v>8</v>
      </c>
      <c r="O36" s="136">
        <f t="shared" ca="1" si="3"/>
        <v>4.24893106071332E-2</v>
      </c>
      <c r="P36" s="133">
        <v>25</v>
      </c>
      <c r="Q36" s="133">
        <f t="shared" ca="1" si="4"/>
        <v>1.0622327651783301</v>
      </c>
      <c r="R36" s="133">
        <f t="shared" si="0"/>
        <v>100</v>
      </c>
      <c r="S36" s="133">
        <f t="shared" ref="S36" ca="1" si="11">SUM(Q32:Q35)</f>
        <v>5.1324411214822243</v>
      </c>
    </row>
    <row r="37" spans="6:19" x14ac:dyDescent="0.3">
      <c r="F37" s="132">
        <v>8.25</v>
      </c>
      <c r="G37" s="136">
        <f t="shared" ca="1" si="1"/>
        <v>4.6881750961016218E-2</v>
      </c>
      <c r="I37" s="133" t="str">
        <f t="shared" si="2"/>
        <v/>
      </c>
      <c r="N37" s="132">
        <v>8.25</v>
      </c>
      <c r="O37" s="136">
        <f t="shared" ca="1" si="3"/>
        <v>4.6881750961016218E-2</v>
      </c>
      <c r="P37" s="133">
        <v>25</v>
      </c>
      <c r="Q37" s="133">
        <f t="shared" ca="1" si="4"/>
        <v>1.1720437740254055</v>
      </c>
      <c r="R37" s="133">
        <f t="shared" si="0"/>
        <v>100</v>
      </c>
    </row>
    <row r="38" spans="6:19" x14ac:dyDescent="0.3">
      <c r="F38" s="132">
        <v>8.5</v>
      </c>
      <c r="G38" s="136">
        <f t="shared" ca="1" si="1"/>
        <v>4.447280723688582E-2</v>
      </c>
      <c r="I38" s="133" t="str">
        <f t="shared" si="2"/>
        <v/>
      </c>
      <c r="N38" s="132">
        <v>8.5</v>
      </c>
      <c r="O38" s="136">
        <f t="shared" ca="1" si="3"/>
        <v>4.447280723688582E-2</v>
      </c>
      <c r="P38" s="133">
        <v>25</v>
      </c>
      <c r="Q38" s="133">
        <f t="shared" ca="1" si="4"/>
        <v>1.1118201809221455</v>
      </c>
      <c r="R38" s="133">
        <f t="shared" si="0"/>
        <v>100</v>
      </c>
    </row>
    <row r="39" spans="6:19" x14ac:dyDescent="0.3">
      <c r="F39" s="132">
        <v>8.75</v>
      </c>
      <c r="G39" s="136">
        <f t="shared" ca="1" si="1"/>
        <v>4.0682432204343977E-2</v>
      </c>
      <c r="I39" s="133" t="str">
        <f t="shared" si="2"/>
        <v/>
      </c>
      <c r="N39" s="132">
        <v>8.75</v>
      </c>
      <c r="O39" s="136">
        <f t="shared" ca="1" si="3"/>
        <v>4.0682432204343977E-2</v>
      </c>
      <c r="P39" s="133">
        <v>25</v>
      </c>
      <c r="Q39" s="133">
        <f t="shared" ca="1" si="4"/>
        <v>1.0170608051085994</v>
      </c>
      <c r="R39" s="133">
        <f t="shared" si="0"/>
        <v>100</v>
      </c>
    </row>
    <row r="40" spans="6:19" x14ac:dyDescent="0.3">
      <c r="F40" s="132">
        <v>9</v>
      </c>
      <c r="G40" s="136">
        <f t="shared" ca="1" si="1"/>
        <v>3.3567940827948353E-2</v>
      </c>
      <c r="H40" s="133">
        <v>100</v>
      </c>
      <c r="I40" s="133">
        <f t="shared" ca="1" si="2"/>
        <v>3.3567940827948353</v>
      </c>
      <c r="N40" s="132">
        <v>9</v>
      </c>
      <c r="O40" s="136">
        <f t="shared" ca="1" si="3"/>
        <v>3.3567940827948353E-2</v>
      </c>
      <c r="P40" s="133">
        <v>25</v>
      </c>
      <c r="Q40" s="133">
        <f t="shared" ca="1" si="4"/>
        <v>0.83919852069870882</v>
      </c>
      <c r="R40" s="133">
        <f t="shared" si="0"/>
        <v>100</v>
      </c>
      <c r="S40" s="133">
        <f t="shared" ref="S40" ca="1" si="12">SUM(Q36:Q39)</f>
        <v>4.3631575252344801</v>
      </c>
    </row>
    <row r="41" spans="6:19" x14ac:dyDescent="0.3">
      <c r="F41" s="132">
        <v>9.25</v>
      </c>
      <c r="G41" s="136">
        <f t="shared" ca="1" si="1"/>
        <v>7.2731382729882874E-2</v>
      </c>
      <c r="I41" s="133" t="str">
        <f t="shared" si="2"/>
        <v/>
      </c>
      <c r="N41" s="132">
        <v>9.25</v>
      </c>
      <c r="O41" s="136">
        <f t="shared" ca="1" si="3"/>
        <v>7.2731382729882874E-2</v>
      </c>
      <c r="P41" s="133">
        <v>25</v>
      </c>
      <c r="Q41" s="133">
        <f t="shared" ca="1" si="4"/>
        <v>1.8182845682470719</v>
      </c>
      <c r="R41" s="133">
        <f t="shared" si="0"/>
        <v>100</v>
      </c>
    </row>
    <row r="42" spans="6:19" x14ac:dyDescent="0.3">
      <c r="F42" s="132">
        <v>9.5</v>
      </c>
      <c r="G42" s="136">
        <f t="shared" ca="1" si="1"/>
        <v>5.2763987164366921E-2</v>
      </c>
      <c r="I42" s="133" t="str">
        <f t="shared" si="2"/>
        <v/>
      </c>
      <c r="N42" s="132">
        <v>9.5</v>
      </c>
      <c r="O42" s="136">
        <f t="shared" ca="1" si="3"/>
        <v>5.2763987164366921E-2</v>
      </c>
      <c r="P42" s="133">
        <v>25</v>
      </c>
      <c r="Q42" s="133">
        <f t="shared" ca="1" si="4"/>
        <v>1.3190996791091729</v>
      </c>
      <c r="R42" s="133">
        <f t="shared" si="0"/>
        <v>100</v>
      </c>
    </row>
    <row r="43" spans="6:19" x14ac:dyDescent="0.3">
      <c r="F43" s="132">
        <v>9.75</v>
      </c>
      <c r="G43" s="136">
        <f t="shared" ca="1" si="1"/>
        <v>5.0863124015642171E-2</v>
      </c>
      <c r="I43" s="133" t="str">
        <f t="shared" si="2"/>
        <v/>
      </c>
      <c r="N43" s="132">
        <v>9.75</v>
      </c>
      <c r="O43" s="136">
        <f t="shared" ca="1" si="3"/>
        <v>5.0863124015642171E-2</v>
      </c>
      <c r="P43" s="133">
        <v>25</v>
      </c>
      <c r="Q43" s="133">
        <f t="shared" ca="1" si="4"/>
        <v>1.2715781003910542</v>
      </c>
      <c r="R43" s="133">
        <f t="shared" si="0"/>
        <v>100</v>
      </c>
    </row>
    <row r="44" spans="6:19" x14ac:dyDescent="0.3">
      <c r="F44" s="132">
        <v>10</v>
      </c>
      <c r="G44" s="136">
        <f t="shared" ca="1" si="1"/>
        <v>4.8639577391262137E-2</v>
      </c>
      <c r="H44" s="133">
        <v>100</v>
      </c>
      <c r="I44" s="133">
        <f t="shared" ca="1" si="2"/>
        <v>4.8639577391262137</v>
      </c>
      <c r="N44" s="132">
        <v>10</v>
      </c>
      <c r="O44" s="136">
        <f t="shared" ca="1" si="3"/>
        <v>4.8639577391262137E-2</v>
      </c>
      <c r="P44" s="133">
        <v>25</v>
      </c>
      <c r="Q44" s="133">
        <f t="shared" ca="1" si="4"/>
        <v>1.2159894347815534</v>
      </c>
      <c r="R44" s="133">
        <f t="shared" si="0"/>
        <v>100</v>
      </c>
      <c r="S44" s="133">
        <f t="shared" ref="S44" ca="1" si="13">SUM(Q40:Q43)</f>
        <v>5.2481608684460079</v>
      </c>
    </row>
    <row r="45" spans="6:19" x14ac:dyDescent="0.3">
      <c r="F45" s="132">
        <v>10.25</v>
      </c>
      <c r="G45" s="136">
        <f t="shared" ca="1" si="1"/>
        <v>6.2724376146291907E-2</v>
      </c>
      <c r="I45" s="133" t="str">
        <f t="shared" si="2"/>
        <v/>
      </c>
      <c r="N45" s="132">
        <v>10.25</v>
      </c>
      <c r="O45" s="136">
        <f t="shared" ca="1" si="3"/>
        <v>6.2724376146291907E-2</v>
      </c>
      <c r="P45" s="133">
        <v>25</v>
      </c>
      <c r="Q45" s="133">
        <f t="shared" ca="1" si="4"/>
        <v>1.5681094036572978</v>
      </c>
      <c r="R45" s="133">
        <f t="shared" si="0"/>
        <v>100</v>
      </c>
    </row>
    <row r="46" spans="6:19" x14ac:dyDescent="0.3">
      <c r="F46" s="132">
        <v>10.5</v>
      </c>
      <c r="G46" s="136">
        <f t="shared" ca="1" si="1"/>
        <v>4.2453355454590141E-2</v>
      </c>
      <c r="I46" s="133" t="str">
        <f t="shared" si="2"/>
        <v/>
      </c>
      <c r="N46" s="132">
        <v>10.5</v>
      </c>
      <c r="O46" s="136">
        <f t="shared" ca="1" si="3"/>
        <v>4.2453355454590141E-2</v>
      </c>
      <c r="P46" s="133">
        <v>25</v>
      </c>
      <c r="Q46" s="133">
        <f t="shared" ca="1" si="4"/>
        <v>1.0613338863647535</v>
      </c>
      <c r="R46" s="133">
        <f t="shared" si="0"/>
        <v>100</v>
      </c>
    </row>
    <row r="47" spans="6:19" x14ac:dyDescent="0.3">
      <c r="F47" s="132">
        <v>10.75</v>
      </c>
      <c r="G47" s="136">
        <f t="shared" ca="1" si="1"/>
        <v>5.465362171297547E-2</v>
      </c>
      <c r="I47" s="133" t="str">
        <f t="shared" si="2"/>
        <v/>
      </c>
      <c r="N47" s="132">
        <v>10.75</v>
      </c>
      <c r="O47" s="136">
        <f t="shared" ca="1" si="3"/>
        <v>5.465362171297547E-2</v>
      </c>
      <c r="P47" s="133">
        <v>25</v>
      </c>
      <c r="Q47" s="133">
        <f t="shared" ca="1" si="4"/>
        <v>1.3663405428243867</v>
      </c>
      <c r="R47" s="133">
        <f t="shared" si="0"/>
        <v>100</v>
      </c>
    </row>
    <row r="48" spans="6:19" x14ac:dyDescent="0.3">
      <c r="F48" s="132">
        <v>11</v>
      </c>
      <c r="G48" s="136">
        <f t="shared" ca="1" si="1"/>
        <v>5.4267559071362617E-2</v>
      </c>
      <c r="H48" s="133">
        <v>100</v>
      </c>
      <c r="I48" s="133">
        <f t="shared" ca="1" si="2"/>
        <v>5.4267559071362621</v>
      </c>
      <c r="N48" s="132">
        <v>11</v>
      </c>
      <c r="O48" s="136">
        <f t="shared" ca="1" si="3"/>
        <v>5.4267559071362617E-2</v>
      </c>
      <c r="P48" s="133">
        <v>25</v>
      </c>
      <c r="Q48" s="133">
        <f t="shared" ca="1" si="4"/>
        <v>1.3566889767840655</v>
      </c>
      <c r="R48" s="133">
        <f t="shared" si="0"/>
        <v>100</v>
      </c>
      <c r="S48" s="133">
        <f t="shared" ref="S48" ca="1" si="14">SUM(Q44:Q47)</f>
        <v>5.2117732676279909</v>
      </c>
    </row>
    <row r="49" spans="6:19" x14ac:dyDescent="0.3">
      <c r="F49" s="132">
        <v>11.25</v>
      </c>
      <c r="G49" s="136">
        <f t="shared" ca="1" si="1"/>
        <v>4.0323845413889323E-2</v>
      </c>
      <c r="I49" s="133" t="str">
        <f t="shared" si="2"/>
        <v/>
      </c>
      <c r="N49" s="132">
        <v>11.25</v>
      </c>
      <c r="O49" s="136">
        <f t="shared" ca="1" si="3"/>
        <v>4.0323845413889323E-2</v>
      </c>
      <c r="P49" s="133">
        <v>25</v>
      </c>
      <c r="Q49" s="133">
        <f t="shared" ca="1" si="4"/>
        <v>1.0080961353472331</v>
      </c>
      <c r="R49" s="133">
        <f t="shared" si="0"/>
        <v>100</v>
      </c>
    </row>
    <row r="50" spans="6:19" x14ac:dyDescent="0.3">
      <c r="F50" s="132">
        <v>11.5</v>
      </c>
      <c r="G50" s="136">
        <f t="shared" ca="1" si="1"/>
        <v>6.0352521974570597E-2</v>
      </c>
      <c r="I50" s="133" t="str">
        <f t="shared" si="2"/>
        <v/>
      </c>
      <c r="N50" s="132">
        <v>11.5</v>
      </c>
      <c r="O50" s="136">
        <f t="shared" ca="1" si="3"/>
        <v>6.0352521974570597E-2</v>
      </c>
      <c r="P50" s="133">
        <v>25</v>
      </c>
      <c r="Q50" s="133">
        <f t="shared" ca="1" si="4"/>
        <v>1.5088130493642649</v>
      </c>
      <c r="R50" s="133">
        <f t="shared" si="0"/>
        <v>100</v>
      </c>
    </row>
    <row r="51" spans="6:19" x14ac:dyDescent="0.3">
      <c r="F51" s="132">
        <v>11.75</v>
      </c>
      <c r="G51" s="136">
        <f t="shared" ca="1" si="1"/>
        <v>4.9238249586513579E-2</v>
      </c>
      <c r="I51" s="133" t="str">
        <f t="shared" si="2"/>
        <v/>
      </c>
      <c r="N51" s="132">
        <v>11.75</v>
      </c>
      <c r="O51" s="136">
        <f t="shared" ca="1" si="3"/>
        <v>4.9238249586513579E-2</v>
      </c>
      <c r="P51" s="133">
        <v>25</v>
      </c>
      <c r="Q51" s="133">
        <f t="shared" ca="1" si="4"/>
        <v>1.2309562396628395</v>
      </c>
      <c r="R51" s="133">
        <f t="shared" si="0"/>
        <v>100</v>
      </c>
    </row>
    <row r="52" spans="6:19" x14ac:dyDescent="0.3">
      <c r="F52" s="132">
        <v>12</v>
      </c>
      <c r="G52" s="136">
        <f t="shared" ca="1" si="1"/>
        <v>3.5759754150904093E-2</v>
      </c>
      <c r="H52" s="133">
        <v>100</v>
      </c>
      <c r="I52" s="133">
        <f t="shared" ca="1" si="2"/>
        <v>3.5759754150904093</v>
      </c>
      <c r="N52" s="132">
        <v>12</v>
      </c>
      <c r="O52" s="136">
        <f t="shared" ca="1" si="3"/>
        <v>3.5759754150904093E-2</v>
      </c>
      <c r="P52" s="133">
        <v>25</v>
      </c>
      <c r="Q52" s="133">
        <f t="shared" ca="1" si="4"/>
        <v>0.89399385377260232</v>
      </c>
      <c r="R52" s="133">
        <f t="shared" si="0"/>
        <v>100</v>
      </c>
      <c r="S52" s="133">
        <f t="shared" ref="S52" ca="1" si="15">SUM(Q48:Q51)</f>
        <v>5.1045544011584028</v>
      </c>
    </row>
    <row r="53" spans="6:19" x14ac:dyDescent="0.3">
      <c r="F53" s="132">
        <v>12.25</v>
      </c>
      <c r="G53" s="136">
        <f t="shared" ca="1" si="1"/>
        <v>4.3225099727983496E-2</v>
      </c>
      <c r="I53" s="133" t="str">
        <f t="shared" si="2"/>
        <v/>
      </c>
      <c r="N53" s="132">
        <v>12.25</v>
      </c>
      <c r="O53" s="136">
        <f t="shared" ca="1" si="3"/>
        <v>4.3225099727983496E-2</v>
      </c>
      <c r="P53" s="133">
        <v>25</v>
      </c>
      <c r="Q53" s="133">
        <f t="shared" ca="1" si="4"/>
        <v>1.0806274931995874</v>
      </c>
      <c r="R53" s="133">
        <f t="shared" si="0"/>
        <v>100</v>
      </c>
    </row>
    <row r="54" spans="6:19" x14ac:dyDescent="0.3">
      <c r="F54" s="132">
        <v>12.5</v>
      </c>
      <c r="G54" s="136">
        <f t="shared" ca="1" si="1"/>
        <v>5.2738899235206457E-2</v>
      </c>
      <c r="I54" s="133" t="str">
        <f t="shared" si="2"/>
        <v/>
      </c>
      <c r="N54" s="132">
        <v>12.5</v>
      </c>
      <c r="O54" s="136">
        <f t="shared" ca="1" si="3"/>
        <v>5.2738899235206457E-2</v>
      </c>
      <c r="P54" s="133">
        <v>25</v>
      </c>
      <c r="Q54" s="133">
        <f t="shared" ca="1" si="4"/>
        <v>1.3184724808801613</v>
      </c>
      <c r="R54" s="133">
        <f t="shared" si="0"/>
        <v>100</v>
      </c>
    </row>
    <row r="55" spans="6:19" x14ac:dyDescent="0.3">
      <c r="F55" s="132">
        <v>12.75</v>
      </c>
      <c r="G55" s="136">
        <f t="shared" ca="1" si="1"/>
        <v>6.3480560409914497E-2</v>
      </c>
      <c r="I55" s="133" t="str">
        <f t="shared" si="2"/>
        <v/>
      </c>
      <c r="N55" s="132">
        <v>12.75</v>
      </c>
      <c r="O55" s="136">
        <f t="shared" ca="1" si="3"/>
        <v>6.3480560409914497E-2</v>
      </c>
      <c r="P55" s="133">
        <v>25</v>
      </c>
      <c r="Q55" s="133">
        <f t="shared" ca="1" si="4"/>
        <v>1.5870140102478625</v>
      </c>
      <c r="R55" s="133">
        <f t="shared" si="0"/>
        <v>100</v>
      </c>
    </row>
    <row r="56" spans="6:19" x14ac:dyDescent="0.3">
      <c r="F56" s="132">
        <v>13</v>
      </c>
      <c r="G56" s="136">
        <f t="shared" ca="1" si="1"/>
        <v>7.0712723730511046E-2</v>
      </c>
      <c r="H56" s="133">
        <v>100</v>
      </c>
      <c r="I56" s="133">
        <f t="shared" ca="1" si="2"/>
        <v>7.0712723730511042</v>
      </c>
      <c r="N56" s="132">
        <v>13</v>
      </c>
      <c r="O56" s="136">
        <f t="shared" ca="1" si="3"/>
        <v>7.0712723730511046E-2</v>
      </c>
      <c r="P56" s="133">
        <v>25</v>
      </c>
      <c r="Q56" s="133">
        <f t="shared" ca="1" si="4"/>
        <v>1.7678180932627761</v>
      </c>
      <c r="R56" s="133">
        <f t="shared" si="0"/>
        <v>100</v>
      </c>
      <c r="S56" s="133">
        <f t="shared" ref="S56" ca="1" si="16">SUM(Q52:Q55)</f>
        <v>4.8801078381002139</v>
      </c>
    </row>
    <row r="57" spans="6:19" x14ac:dyDescent="0.3">
      <c r="F57" s="132">
        <v>13.25</v>
      </c>
      <c r="G57" s="136">
        <f t="shared" ca="1" si="1"/>
        <v>4.2749828729393112E-2</v>
      </c>
      <c r="I57" s="133" t="str">
        <f t="shared" si="2"/>
        <v/>
      </c>
      <c r="N57" s="132">
        <v>13.25</v>
      </c>
      <c r="O57" s="136">
        <f t="shared" ca="1" si="3"/>
        <v>4.2749828729393112E-2</v>
      </c>
      <c r="P57" s="133">
        <v>25</v>
      </c>
      <c r="Q57" s="133">
        <f t="shared" ca="1" si="4"/>
        <v>1.0687457182348279</v>
      </c>
      <c r="R57" s="133">
        <f t="shared" si="0"/>
        <v>100</v>
      </c>
    </row>
    <row r="58" spans="6:19" x14ac:dyDescent="0.3">
      <c r="F58" s="132">
        <v>13.5</v>
      </c>
      <c r="G58" s="136">
        <f t="shared" ca="1" si="1"/>
        <v>4.920925932483957E-2</v>
      </c>
      <c r="I58" s="133" t="str">
        <f t="shared" si="2"/>
        <v/>
      </c>
      <c r="N58" s="132">
        <v>13.5</v>
      </c>
      <c r="O58" s="136">
        <f t="shared" ca="1" si="3"/>
        <v>4.920925932483957E-2</v>
      </c>
      <c r="P58" s="133">
        <v>25</v>
      </c>
      <c r="Q58" s="133">
        <f t="shared" ca="1" si="4"/>
        <v>1.2302314831209893</v>
      </c>
      <c r="R58" s="133">
        <f t="shared" si="0"/>
        <v>100</v>
      </c>
    </row>
    <row r="59" spans="6:19" x14ac:dyDescent="0.3">
      <c r="F59" s="132">
        <v>13.75</v>
      </c>
      <c r="G59" s="136">
        <f t="shared" ca="1" si="1"/>
        <v>4.9386348531252428E-2</v>
      </c>
      <c r="I59" s="133" t="str">
        <f t="shared" si="2"/>
        <v/>
      </c>
      <c r="N59" s="132">
        <v>13.75</v>
      </c>
      <c r="O59" s="136">
        <f t="shared" ca="1" si="3"/>
        <v>4.9386348531252428E-2</v>
      </c>
      <c r="P59" s="133">
        <v>25</v>
      </c>
      <c r="Q59" s="133">
        <f t="shared" ca="1" si="4"/>
        <v>1.2346587132813107</v>
      </c>
      <c r="R59" s="133">
        <f t="shared" si="0"/>
        <v>100</v>
      </c>
    </row>
    <row r="60" spans="6:19" x14ac:dyDescent="0.3">
      <c r="F60" s="132">
        <v>14</v>
      </c>
      <c r="G60" s="136">
        <f t="shared" ca="1" si="1"/>
        <v>4.6997806314571455E-2</v>
      </c>
      <c r="H60" s="133">
        <v>100</v>
      </c>
      <c r="I60" s="133">
        <f t="shared" ca="1" si="2"/>
        <v>4.6997806314571458</v>
      </c>
      <c r="N60" s="132">
        <v>14</v>
      </c>
      <c r="O60" s="136">
        <f t="shared" ca="1" si="3"/>
        <v>4.6997806314571455E-2</v>
      </c>
      <c r="P60" s="133">
        <v>25</v>
      </c>
      <c r="Q60" s="133">
        <f t="shared" ca="1" si="4"/>
        <v>1.1749451578642864</v>
      </c>
      <c r="R60" s="133">
        <f t="shared" si="0"/>
        <v>100</v>
      </c>
      <c r="S60" s="133">
        <f t="shared" ref="S60" ca="1" si="17">SUM(Q56:Q59)</f>
        <v>5.3014540078999044</v>
      </c>
    </row>
    <row r="61" spans="6:19" x14ac:dyDescent="0.3">
      <c r="F61" s="132">
        <v>14.25</v>
      </c>
      <c r="G61" s="136">
        <f t="shared" ca="1" si="1"/>
        <v>3.1012833157575293E-2</v>
      </c>
      <c r="I61" s="133" t="str">
        <f t="shared" si="2"/>
        <v/>
      </c>
      <c r="N61" s="132">
        <v>14.25</v>
      </c>
      <c r="O61" s="136">
        <f t="shared" ca="1" si="3"/>
        <v>3.1012833157575293E-2</v>
      </c>
      <c r="P61" s="133">
        <v>25</v>
      </c>
      <c r="Q61" s="133">
        <f t="shared" ca="1" si="4"/>
        <v>0.77532082893938237</v>
      </c>
      <c r="R61" s="133">
        <f t="shared" si="0"/>
        <v>100</v>
      </c>
    </row>
    <row r="62" spans="6:19" x14ac:dyDescent="0.3">
      <c r="F62" s="132">
        <v>14.5</v>
      </c>
      <c r="G62" s="136">
        <f t="shared" ca="1" si="1"/>
        <v>5.3284150633494412E-2</v>
      </c>
      <c r="I62" s="133" t="str">
        <f t="shared" si="2"/>
        <v/>
      </c>
      <c r="N62" s="132">
        <v>14.5</v>
      </c>
      <c r="O62" s="136">
        <f t="shared" ca="1" si="3"/>
        <v>5.3284150633494412E-2</v>
      </c>
      <c r="P62" s="133">
        <v>25</v>
      </c>
      <c r="Q62" s="133">
        <f t="shared" ca="1" si="4"/>
        <v>1.3321037658373602</v>
      </c>
      <c r="R62" s="133">
        <f t="shared" si="0"/>
        <v>100</v>
      </c>
    </row>
    <row r="63" spans="6:19" x14ac:dyDescent="0.3">
      <c r="F63" s="132">
        <v>14.75</v>
      </c>
      <c r="G63" s="136">
        <f t="shared" ca="1" si="1"/>
        <v>3.0845223973232271E-2</v>
      </c>
      <c r="I63" s="133" t="str">
        <f t="shared" si="2"/>
        <v/>
      </c>
      <c r="N63" s="132">
        <v>14.75</v>
      </c>
      <c r="O63" s="136">
        <f t="shared" ca="1" si="3"/>
        <v>3.0845223973232271E-2</v>
      </c>
      <c r="P63" s="133">
        <v>25</v>
      </c>
      <c r="Q63" s="133">
        <f t="shared" ca="1" si="4"/>
        <v>0.77113059933080674</v>
      </c>
      <c r="R63" s="133">
        <f t="shared" si="0"/>
        <v>100</v>
      </c>
    </row>
    <row r="64" spans="6:19" x14ac:dyDescent="0.3">
      <c r="F64" s="132">
        <v>15</v>
      </c>
      <c r="G64" s="136">
        <f t="shared" ca="1" si="1"/>
        <v>3.0270450588796186E-2</v>
      </c>
      <c r="H64" s="133">
        <v>100</v>
      </c>
      <c r="I64" s="133">
        <f t="shared" ca="1" si="2"/>
        <v>3.0270450588796187</v>
      </c>
      <c r="N64" s="132">
        <v>15</v>
      </c>
      <c r="O64" s="136">
        <f t="shared" ca="1" si="3"/>
        <v>3.0270450588796186E-2</v>
      </c>
      <c r="P64" s="133">
        <v>25</v>
      </c>
      <c r="Q64" s="133">
        <f t="shared" ca="1" si="4"/>
        <v>0.75676126471990468</v>
      </c>
      <c r="R64" s="133">
        <f t="shared" si="0"/>
        <v>100</v>
      </c>
      <c r="S64" s="133">
        <f t="shared" ref="S64" ca="1" si="18">SUM(Q60:Q63)</f>
        <v>4.0535003519718362</v>
      </c>
    </row>
    <row r="65" spans="6:19" x14ac:dyDescent="0.3">
      <c r="F65" s="132">
        <v>15.25</v>
      </c>
      <c r="G65" s="136">
        <f t="shared" ca="1" si="1"/>
        <v>2.8976078257565391E-2</v>
      </c>
      <c r="I65" s="133" t="str">
        <f t="shared" si="2"/>
        <v/>
      </c>
      <c r="N65" s="132">
        <v>15.25</v>
      </c>
      <c r="O65" s="136">
        <f t="shared" ca="1" si="3"/>
        <v>2.8976078257565391E-2</v>
      </c>
      <c r="P65" s="133">
        <v>25</v>
      </c>
      <c r="Q65" s="133">
        <f t="shared" ca="1" si="4"/>
        <v>0.72440195643913474</v>
      </c>
      <c r="R65" s="133">
        <f t="shared" si="0"/>
        <v>100</v>
      </c>
    </row>
    <row r="66" spans="6:19" x14ac:dyDescent="0.3">
      <c r="F66" s="132">
        <v>15.5</v>
      </c>
      <c r="G66" s="136">
        <f t="shared" ca="1" si="1"/>
        <v>4.4712270014993588E-2</v>
      </c>
      <c r="I66" s="133" t="str">
        <f t="shared" si="2"/>
        <v/>
      </c>
      <c r="N66" s="132">
        <v>15.5</v>
      </c>
      <c r="O66" s="136">
        <f t="shared" ca="1" si="3"/>
        <v>4.4712270014993588E-2</v>
      </c>
      <c r="P66" s="133">
        <v>25</v>
      </c>
      <c r="Q66" s="133">
        <f t="shared" ca="1" si="4"/>
        <v>1.1178067503748397</v>
      </c>
      <c r="R66" s="133">
        <f t="shared" si="0"/>
        <v>100</v>
      </c>
    </row>
    <row r="67" spans="6:19" x14ac:dyDescent="0.3">
      <c r="F67" s="132">
        <v>15.75</v>
      </c>
      <c r="G67" s="136">
        <f t="shared" ca="1" si="1"/>
        <v>5.5518455263326077E-2</v>
      </c>
      <c r="I67" s="133" t="str">
        <f t="shared" si="2"/>
        <v/>
      </c>
      <c r="N67" s="132">
        <v>15.75</v>
      </c>
      <c r="O67" s="136">
        <f t="shared" ca="1" si="3"/>
        <v>5.5518455263326077E-2</v>
      </c>
      <c r="P67" s="133">
        <v>25</v>
      </c>
      <c r="Q67" s="133">
        <f t="shared" ca="1" si="4"/>
        <v>1.387961381583152</v>
      </c>
      <c r="R67" s="133">
        <f t="shared" si="0"/>
        <v>100</v>
      </c>
    </row>
    <row r="68" spans="6:19" x14ac:dyDescent="0.3">
      <c r="F68" s="132">
        <v>16</v>
      </c>
      <c r="G68" s="136">
        <f t="shared" ca="1" si="1"/>
        <v>7.0855037711978347E-2</v>
      </c>
      <c r="H68" s="133">
        <v>100</v>
      </c>
      <c r="I68" s="133">
        <f t="shared" ca="1" si="2"/>
        <v>7.0855037711978346</v>
      </c>
      <c r="N68" s="132">
        <v>16</v>
      </c>
      <c r="O68" s="136">
        <f t="shared" ca="1" si="3"/>
        <v>7.0855037711978347E-2</v>
      </c>
      <c r="P68" s="133">
        <v>25</v>
      </c>
      <c r="Q68" s="133">
        <f t="shared" ca="1" si="4"/>
        <v>1.7713759427994586</v>
      </c>
      <c r="R68" s="133">
        <f t="shared" ref="R68:R84" si="19">SUM(P65:P68)</f>
        <v>100</v>
      </c>
      <c r="S68" s="133">
        <f t="shared" ref="S68" ca="1" si="20">SUM(Q64:Q67)</f>
        <v>3.9869313531170314</v>
      </c>
    </row>
    <row r="69" spans="6:19" x14ac:dyDescent="0.3">
      <c r="F69" s="132">
        <v>16.25</v>
      </c>
      <c r="G69" s="136">
        <f t="shared" ref="G69:G84" ca="1" si="21">_xlfn.NORM.INV(RAND(),5%,1%)</f>
        <v>5.0627082819336852E-2</v>
      </c>
      <c r="I69" s="133" t="str">
        <f t="shared" ref="I69:I84" si="22">IF(ISBLANK(H69),"",H69*G69)</f>
        <v/>
      </c>
      <c r="N69" s="132">
        <v>16.25</v>
      </c>
      <c r="O69" s="136">
        <f t="shared" ref="O69:O84" ca="1" si="23">G69</f>
        <v>5.0627082819336852E-2</v>
      </c>
      <c r="P69" s="133">
        <v>25</v>
      </c>
      <c r="Q69" s="133">
        <f t="shared" ref="Q69:Q84" ca="1" si="24">IF(ISBLANK(P69),"",P69*O69)</f>
        <v>1.2656770704834213</v>
      </c>
      <c r="R69" s="133">
        <f t="shared" si="19"/>
        <v>100</v>
      </c>
    </row>
    <row r="70" spans="6:19" x14ac:dyDescent="0.3">
      <c r="F70" s="132">
        <v>16.5</v>
      </c>
      <c r="G70" s="136">
        <f t="shared" ca="1" si="21"/>
        <v>3.6925480051760405E-2</v>
      </c>
      <c r="I70" s="133" t="str">
        <f t="shared" si="22"/>
        <v/>
      </c>
      <c r="N70" s="132">
        <v>16.5</v>
      </c>
      <c r="O70" s="136">
        <f t="shared" ca="1" si="23"/>
        <v>3.6925480051760405E-2</v>
      </c>
      <c r="P70" s="133">
        <v>25</v>
      </c>
      <c r="Q70" s="133">
        <f t="shared" ca="1" si="24"/>
        <v>0.92313700129401011</v>
      </c>
      <c r="R70" s="133">
        <f t="shared" si="19"/>
        <v>100</v>
      </c>
    </row>
    <row r="71" spans="6:19" x14ac:dyDescent="0.3">
      <c r="F71" s="132">
        <v>16.75</v>
      </c>
      <c r="G71" s="136">
        <f t="shared" ca="1" si="21"/>
        <v>5.0597477027388614E-2</v>
      </c>
      <c r="I71" s="133" t="str">
        <f t="shared" si="22"/>
        <v/>
      </c>
      <c r="N71" s="132">
        <v>16.75</v>
      </c>
      <c r="O71" s="136">
        <f t="shared" ca="1" si="23"/>
        <v>5.0597477027388614E-2</v>
      </c>
      <c r="P71" s="133">
        <v>25</v>
      </c>
      <c r="Q71" s="133">
        <f t="shared" ca="1" si="24"/>
        <v>1.2649369256847154</v>
      </c>
      <c r="R71" s="133">
        <f t="shared" si="19"/>
        <v>100</v>
      </c>
    </row>
    <row r="72" spans="6:19" x14ac:dyDescent="0.3">
      <c r="F72" s="132">
        <v>17</v>
      </c>
      <c r="G72" s="136">
        <f t="shared" ca="1" si="21"/>
        <v>5.0711869840405016E-2</v>
      </c>
      <c r="H72" s="133">
        <v>100</v>
      </c>
      <c r="I72" s="133">
        <f t="shared" ca="1" si="22"/>
        <v>5.0711869840405015</v>
      </c>
      <c r="N72" s="132">
        <v>17</v>
      </c>
      <c r="O72" s="136">
        <f t="shared" ca="1" si="23"/>
        <v>5.0711869840405016E-2</v>
      </c>
      <c r="P72" s="133">
        <v>25</v>
      </c>
      <c r="Q72" s="133">
        <f t="shared" ca="1" si="24"/>
        <v>1.2677967460101254</v>
      </c>
      <c r="R72" s="133">
        <f t="shared" si="19"/>
        <v>100</v>
      </c>
      <c r="S72" s="133">
        <f t="shared" ref="S72" ca="1" si="25">SUM(Q68:Q71)</f>
        <v>5.225126940261605</v>
      </c>
    </row>
    <row r="73" spans="6:19" x14ac:dyDescent="0.3">
      <c r="F73" s="132">
        <v>17.25</v>
      </c>
      <c r="G73" s="136">
        <f t="shared" ca="1" si="21"/>
        <v>4.6865123076970529E-2</v>
      </c>
      <c r="I73" s="133" t="str">
        <f t="shared" si="22"/>
        <v/>
      </c>
      <c r="N73" s="132">
        <v>17.25</v>
      </c>
      <c r="O73" s="136">
        <f t="shared" ca="1" si="23"/>
        <v>4.6865123076970529E-2</v>
      </c>
      <c r="P73" s="133">
        <v>25</v>
      </c>
      <c r="Q73" s="133">
        <f t="shared" ca="1" si="24"/>
        <v>1.1716280769242633</v>
      </c>
      <c r="R73" s="133">
        <f t="shared" si="19"/>
        <v>100</v>
      </c>
    </row>
    <row r="74" spans="6:19" x14ac:dyDescent="0.3">
      <c r="F74" s="132">
        <v>17.5</v>
      </c>
      <c r="G74" s="136">
        <f t="shared" ca="1" si="21"/>
        <v>4.8366249458458362E-2</v>
      </c>
      <c r="I74" s="133" t="str">
        <f t="shared" si="22"/>
        <v/>
      </c>
      <c r="N74" s="132">
        <v>17.5</v>
      </c>
      <c r="O74" s="136">
        <f t="shared" ca="1" si="23"/>
        <v>4.8366249458458362E-2</v>
      </c>
      <c r="P74" s="133">
        <v>25</v>
      </c>
      <c r="Q74" s="133">
        <f t="shared" ca="1" si="24"/>
        <v>1.209156236461459</v>
      </c>
      <c r="R74" s="133">
        <f t="shared" si="19"/>
        <v>100</v>
      </c>
    </row>
    <row r="75" spans="6:19" x14ac:dyDescent="0.3">
      <c r="F75" s="132">
        <v>17.75</v>
      </c>
      <c r="G75" s="136">
        <f t="shared" ca="1" si="21"/>
        <v>5.1715441419861917E-2</v>
      </c>
      <c r="I75" s="133" t="str">
        <f t="shared" si="22"/>
        <v/>
      </c>
      <c r="N75" s="132">
        <v>17.75</v>
      </c>
      <c r="O75" s="136">
        <f t="shared" ca="1" si="23"/>
        <v>5.1715441419861917E-2</v>
      </c>
      <c r="P75" s="133">
        <v>25</v>
      </c>
      <c r="Q75" s="133">
        <f t="shared" ca="1" si="24"/>
        <v>1.2928860354965479</v>
      </c>
      <c r="R75" s="133">
        <f t="shared" si="19"/>
        <v>100</v>
      </c>
    </row>
    <row r="76" spans="6:19" x14ac:dyDescent="0.3">
      <c r="F76" s="132">
        <v>18</v>
      </c>
      <c r="G76" s="136">
        <f t="shared" ca="1" si="21"/>
        <v>4.9855157550376686E-2</v>
      </c>
      <c r="H76" s="133">
        <v>100</v>
      </c>
      <c r="I76" s="133">
        <f t="shared" ca="1" si="22"/>
        <v>4.9855157550376683</v>
      </c>
      <c r="N76" s="132">
        <v>18</v>
      </c>
      <c r="O76" s="136">
        <f t="shared" ca="1" si="23"/>
        <v>4.9855157550376686E-2</v>
      </c>
      <c r="P76" s="133">
        <v>25</v>
      </c>
      <c r="Q76" s="133">
        <f t="shared" ca="1" si="24"/>
        <v>1.2463789387594171</v>
      </c>
      <c r="R76" s="133">
        <f t="shared" si="19"/>
        <v>100</v>
      </c>
      <c r="S76" s="133">
        <f t="shared" ref="S76" ca="1" si="26">SUM(Q72:Q75)</f>
        <v>4.9414670948923956</v>
      </c>
    </row>
    <row r="77" spans="6:19" x14ac:dyDescent="0.3">
      <c r="F77" s="132">
        <v>18.25</v>
      </c>
      <c r="G77" s="136">
        <f t="shared" ca="1" si="21"/>
        <v>5.5597859676896094E-2</v>
      </c>
      <c r="I77" s="133" t="str">
        <f t="shared" si="22"/>
        <v/>
      </c>
      <c r="N77" s="132">
        <v>18.25</v>
      </c>
      <c r="O77" s="136">
        <f t="shared" ca="1" si="23"/>
        <v>5.5597859676896094E-2</v>
      </c>
      <c r="P77" s="133">
        <v>25</v>
      </c>
      <c r="Q77" s="133">
        <f t="shared" ca="1" si="24"/>
        <v>1.3899464919224023</v>
      </c>
      <c r="R77" s="133">
        <f t="shared" si="19"/>
        <v>100</v>
      </c>
    </row>
    <row r="78" spans="6:19" x14ac:dyDescent="0.3">
      <c r="F78" s="132">
        <v>18.5</v>
      </c>
      <c r="G78" s="136">
        <f t="shared" ca="1" si="21"/>
        <v>4.7903378952058234E-2</v>
      </c>
      <c r="I78" s="133" t="str">
        <f t="shared" si="22"/>
        <v/>
      </c>
      <c r="N78" s="132">
        <v>18.5</v>
      </c>
      <c r="O78" s="136">
        <f t="shared" ca="1" si="23"/>
        <v>4.7903378952058234E-2</v>
      </c>
      <c r="P78" s="133">
        <v>25</v>
      </c>
      <c r="Q78" s="133">
        <f t="shared" ca="1" si="24"/>
        <v>1.1975844738014558</v>
      </c>
      <c r="R78" s="133">
        <f t="shared" si="19"/>
        <v>100</v>
      </c>
    </row>
    <row r="79" spans="6:19" x14ac:dyDescent="0.3">
      <c r="F79" s="132">
        <v>18.75</v>
      </c>
      <c r="G79" s="136">
        <f t="shared" ca="1" si="21"/>
        <v>5.6741255856582094E-2</v>
      </c>
      <c r="I79" s="133" t="str">
        <f t="shared" si="22"/>
        <v/>
      </c>
      <c r="N79" s="132">
        <v>18.75</v>
      </c>
      <c r="O79" s="136">
        <f t="shared" ca="1" si="23"/>
        <v>5.6741255856582094E-2</v>
      </c>
      <c r="P79" s="133">
        <v>25</v>
      </c>
      <c r="Q79" s="133">
        <f t="shared" ca="1" si="24"/>
        <v>1.4185313964145523</v>
      </c>
      <c r="R79" s="133">
        <f t="shared" si="19"/>
        <v>100</v>
      </c>
    </row>
    <row r="80" spans="6:19" x14ac:dyDescent="0.3">
      <c r="F80" s="132">
        <v>19</v>
      </c>
      <c r="G80" s="136">
        <f t="shared" ca="1" si="21"/>
        <v>2.3826058455210072E-2</v>
      </c>
      <c r="H80" s="133">
        <v>100</v>
      </c>
      <c r="I80" s="133">
        <f t="shared" ca="1" si="22"/>
        <v>2.3826058455210073</v>
      </c>
      <c r="N80" s="132">
        <v>19</v>
      </c>
      <c r="O80" s="136">
        <f t="shared" ca="1" si="23"/>
        <v>2.3826058455210072E-2</v>
      </c>
      <c r="P80" s="133">
        <v>25</v>
      </c>
      <c r="Q80" s="133">
        <f t="shared" ca="1" si="24"/>
        <v>0.59565146138025182</v>
      </c>
      <c r="R80" s="133">
        <f t="shared" si="19"/>
        <v>100</v>
      </c>
      <c r="S80" s="133">
        <f t="shared" ref="S80" ca="1" si="27">SUM(Q76:Q79)</f>
        <v>5.2524413008978277</v>
      </c>
    </row>
    <row r="81" spans="6:19" x14ac:dyDescent="0.3">
      <c r="F81" s="132">
        <v>19.25</v>
      </c>
      <c r="G81" s="136">
        <f t="shared" ca="1" si="21"/>
        <v>6.010727531650515E-2</v>
      </c>
      <c r="I81" s="133" t="str">
        <f t="shared" si="22"/>
        <v/>
      </c>
      <c r="N81" s="132">
        <v>19.25</v>
      </c>
      <c r="O81" s="136">
        <f t="shared" ca="1" si="23"/>
        <v>6.010727531650515E-2</v>
      </c>
      <c r="P81" s="133">
        <v>25</v>
      </c>
      <c r="Q81" s="133">
        <f t="shared" ca="1" si="24"/>
        <v>1.5026818829126287</v>
      </c>
      <c r="R81" s="133">
        <f t="shared" si="19"/>
        <v>100</v>
      </c>
    </row>
    <row r="82" spans="6:19" x14ac:dyDescent="0.3">
      <c r="F82" s="132">
        <v>19.5</v>
      </c>
      <c r="G82" s="136">
        <f t="shared" ca="1" si="21"/>
        <v>5.5917794710863736E-2</v>
      </c>
      <c r="I82" s="133" t="str">
        <f t="shared" si="22"/>
        <v/>
      </c>
      <c r="N82" s="132">
        <v>19.5</v>
      </c>
      <c r="O82" s="136">
        <f t="shared" ca="1" si="23"/>
        <v>5.5917794710863736E-2</v>
      </c>
      <c r="P82" s="133">
        <v>25</v>
      </c>
      <c r="Q82" s="133">
        <f t="shared" ca="1" si="24"/>
        <v>1.3979448677715933</v>
      </c>
      <c r="R82" s="133">
        <f t="shared" si="19"/>
        <v>100</v>
      </c>
    </row>
    <row r="83" spans="6:19" x14ac:dyDescent="0.3">
      <c r="F83" s="132">
        <v>19.75</v>
      </c>
      <c r="G83" s="136">
        <f t="shared" ca="1" si="21"/>
        <v>4.4271314916547698E-2</v>
      </c>
      <c r="I83" s="133" t="str">
        <f t="shared" si="22"/>
        <v/>
      </c>
      <c r="N83" s="132">
        <v>19.75</v>
      </c>
      <c r="O83" s="136">
        <f t="shared" ca="1" si="23"/>
        <v>4.4271314916547698E-2</v>
      </c>
      <c r="P83" s="133">
        <v>25</v>
      </c>
      <c r="Q83" s="133">
        <f t="shared" ca="1" si="24"/>
        <v>1.1067828729136924</v>
      </c>
      <c r="R83" s="133">
        <f t="shared" si="19"/>
        <v>100</v>
      </c>
    </row>
    <row r="84" spans="6:19" x14ac:dyDescent="0.3">
      <c r="F84" s="132">
        <v>20</v>
      </c>
      <c r="G84" s="136">
        <f t="shared" ca="1" si="21"/>
        <v>4.7099076017889187E-2</v>
      </c>
      <c r="H84" s="133">
        <v>100</v>
      </c>
      <c r="I84" s="133">
        <f t="shared" ca="1" si="22"/>
        <v>4.7099076017889185</v>
      </c>
      <c r="N84" s="132">
        <v>20</v>
      </c>
      <c r="O84" s="136">
        <f t="shared" ca="1" si="23"/>
        <v>4.7099076017889187E-2</v>
      </c>
      <c r="P84" s="133">
        <v>25</v>
      </c>
      <c r="Q84" s="133">
        <f t="shared" ca="1" si="24"/>
        <v>1.1774769004472296</v>
      </c>
      <c r="R84" s="133">
        <f t="shared" si="19"/>
        <v>100</v>
      </c>
      <c r="S84" s="133">
        <f t="shared" ref="S84" ca="1" si="28">SUM(Q80:Q83)</f>
        <v>4.6030610849781661</v>
      </c>
    </row>
  </sheetData>
  <hyperlinks>
    <hyperlink ref="B3" r:id="rId1" xr:uid="{3C2EDECD-046E-354C-B52C-504B99A0F62D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3F38A-23CE-F04D-A983-2C423CBA1ACE}">
  <sheetPr>
    <tabColor rgb="FF00B050"/>
  </sheetPr>
  <dimension ref="A2:R18"/>
  <sheetViews>
    <sheetView workbookViewId="0"/>
  </sheetViews>
  <sheetFormatPr baseColWidth="10" defaultRowHeight="26" x14ac:dyDescent="0.3"/>
  <cols>
    <col min="1" max="13" width="10.83203125" style="58"/>
    <col min="14" max="14" width="16.1640625" style="58" bestFit="1" customWidth="1"/>
    <col min="15" max="15" width="20.1640625" style="58" bestFit="1" customWidth="1"/>
    <col min="16" max="16" width="14.5" style="58" customWidth="1"/>
    <col min="17" max="17" width="25.1640625" style="58" bestFit="1" customWidth="1"/>
    <col min="18" max="18" width="23" style="58" bestFit="1" customWidth="1"/>
    <col min="19" max="16384" width="10.83203125" style="58"/>
  </cols>
  <sheetData>
    <row r="2" spans="1:18" ht="27" thickBot="1" x14ac:dyDescent="0.35">
      <c r="B2" s="58" t="s">
        <v>151</v>
      </c>
      <c r="P2" s="60" t="s">
        <v>154</v>
      </c>
      <c r="Q2" s="60" t="s">
        <v>162</v>
      </c>
      <c r="R2" s="60" t="s">
        <v>161</v>
      </c>
    </row>
    <row r="3" spans="1:18" x14ac:dyDescent="0.3">
      <c r="N3" s="58" t="s">
        <v>158</v>
      </c>
      <c r="O3" s="58" t="s">
        <v>155</v>
      </c>
      <c r="P3" s="61" t="s">
        <v>163</v>
      </c>
      <c r="Q3" s="61" t="s">
        <v>164</v>
      </c>
      <c r="R3" s="61" t="s">
        <v>163</v>
      </c>
    </row>
    <row r="4" spans="1:18" x14ac:dyDescent="0.3">
      <c r="A4" s="58">
        <v>1</v>
      </c>
      <c r="B4" s="58" t="s">
        <v>143</v>
      </c>
      <c r="O4" s="58" t="s">
        <v>156</v>
      </c>
      <c r="P4" s="62" t="s">
        <v>164</v>
      </c>
      <c r="Q4" s="62" t="s">
        <v>165</v>
      </c>
      <c r="R4" s="62" t="s">
        <v>164</v>
      </c>
    </row>
    <row r="5" spans="1:18" ht="27" thickBot="1" x14ac:dyDescent="0.35">
      <c r="A5" s="58">
        <v>2</v>
      </c>
      <c r="B5" s="58" t="s">
        <v>144</v>
      </c>
      <c r="G5" s="59" t="s">
        <v>153</v>
      </c>
      <c r="O5" s="58" t="s">
        <v>157</v>
      </c>
      <c r="P5" s="63" t="s">
        <v>165</v>
      </c>
      <c r="Q5" s="63" t="s">
        <v>166</v>
      </c>
      <c r="R5" s="63" t="s">
        <v>165</v>
      </c>
    </row>
    <row r="6" spans="1:18" x14ac:dyDescent="0.3">
      <c r="B6" s="58" t="s">
        <v>152</v>
      </c>
      <c r="N6" s="58" t="s">
        <v>159</v>
      </c>
      <c r="O6" s="58" t="s">
        <v>155</v>
      </c>
      <c r="P6" s="61" t="s">
        <v>163</v>
      </c>
      <c r="Q6" s="61" t="s">
        <v>163</v>
      </c>
      <c r="R6" s="61" t="s">
        <v>164</v>
      </c>
    </row>
    <row r="7" spans="1:18" x14ac:dyDescent="0.3">
      <c r="A7" s="58">
        <v>3</v>
      </c>
      <c r="B7" s="58" t="s">
        <v>145</v>
      </c>
      <c r="O7" s="58" t="s">
        <v>156</v>
      </c>
      <c r="P7" s="62" t="s">
        <v>164</v>
      </c>
      <c r="Q7" s="62" t="s">
        <v>164</v>
      </c>
      <c r="R7" s="62" t="s">
        <v>165</v>
      </c>
    </row>
    <row r="8" spans="1:18" ht="27" thickBot="1" x14ac:dyDescent="0.35">
      <c r="A8" s="58">
        <v>4</v>
      </c>
      <c r="B8" s="58" t="s">
        <v>146</v>
      </c>
      <c r="O8" s="58" t="s">
        <v>157</v>
      </c>
      <c r="P8" s="63" t="s">
        <v>165</v>
      </c>
      <c r="Q8" s="63" t="s">
        <v>165</v>
      </c>
      <c r="R8" s="63" t="s">
        <v>166</v>
      </c>
    </row>
    <row r="9" spans="1:18" x14ac:dyDescent="0.3">
      <c r="A9" s="58">
        <v>5</v>
      </c>
      <c r="B9" s="58" t="s">
        <v>147</v>
      </c>
      <c r="N9" s="58" t="s">
        <v>160</v>
      </c>
      <c r="O9" s="58" t="s">
        <v>155</v>
      </c>
      <c r="P9" s="61" t="s">
        <v>164</v>
      </c>
      <c r="Q9" s="61" t="s">
        <v>163</v>
      </c>
      <c r="R9" s="61" t="s">
        <v>163</v>
      </c>
    </row>
    <row r="10" spans="1:18" x14ac:dyDescent="0.3">
      <c r="A10" s="58">
        <v>6</v>
      </c>
      <c r="B10" s="58" t="s">
        <v>148</v>
      </c>
      <c r="O10" s="58" t="s">
        <v>156</v>
      </c>
      <c r="P10" s="62" t="s">
        <v>165</v>
      </c>
      <c r="Q10" s="62" t="s">
        <v>164</v>
      </c>
      <c r="R10" s="62" t="s">
        <v>164</v>
      </c>
    </row>
    <row r="11" spans="1:18" ht="27" thickBot="1" x14ac:dyDescent="0.35">
      <c r="A11" s="58">
        <v>7</v>
      </c>
      <c r="B11" s="58" t="s">
        <v>149</v>
      </c>
      <c r="O11" s="58" t="s">
        <v>157</v>
      </c>
      <c r="P11" s="63" t="s">
        <v>166</v>
      </c>
      <c r="Q11" s="63" t="s">
        <v>165</v>
      </c>
      <c r="R11" s="63" t="s">
        <v>165</v>
      </c>
    </row>
    <row r="12" spans="1:18" x14ac:dyDescent="0.3">
      <c r="A12" s="58">
        <v>8</v>
      </c>
      <c r="B12" s="58" t="s">
        <v>150</v>
      </c>
    </row>
    <row r="14" spans="1:18" x14ac:dyDescent="0.3">
      <c r="B14" s="58" t="s">
        <v>167</v>
      </c>
    </row>
    <row r="15" spans="1:18" x14ac:dyDescent="0.3">
      <c r="B15" s="58" t="s">
        <v>168</v>
      </c>
    </row>
    <row r="16" spans="1:18" x14ac:dyDescent="0.3">
      <c r="C16" s="58" t="s">
        <v>170</v>
      </c>
    </row>
    <row r="17" spans="2:3" x14ac:dyDescent="0.3">
      <c r="B17" s="58" t="s">
        <v>169</v>
      </c>
    </row>
    <row r="18" spans="2:3" x14ac:dyDescent="0.3">
      <c r="C18" s="58" t="s">
        <v>171</v>
      </c>
    </row>
  </sheetData>
  <phoneticPr fontId="2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3857-43C2-3D4F-8F51-5CFC5262821C}">
  <sheetPr>
    <tabColor rgb="FF00B050"/>
  </sheetPr>
  <dimension ref="A2:G18"/>
  <sheetViews>
    <sheetView workbookViewId="0">
      <selection activeCell="K27" sqref="K27"/>
    </sheetView>
  </sheetViews>
  <sheetFormatPr baseColWidth="10" defaultRowHeight="26" x14ac:dyDescent="0.3"/>
  <cols>
    <col min="1" max="16384" width="10.83203125" style="58"/>
  </cols>
  <sheetData>
    <row r="2" spans="1:7" x14ac:dyDescent="0.3">
      <c r="B2" s="58" t="s">
        <v>151</v>
      </c>
    </row>
    <row r="4" spans="1:7" x14ac:dyDescent="0.3">
      <c r="A4" s="58">
        <v>1</v>
      </c>
      <c r="B4" s="58" t="s">
        <v>143</v>
      </c>
    </row>
    <row r="5" spans="1:7" x14ac:dyDescent="0.3">
      <c r="A5" s="58">
        <v>2</v>
      </c>
      <c r="B5" s="58" t="s">
        <v>144</v>
      </c>
      <c r="G5" s="59" t="s">
        <v>153</v>
      </c>
    </row>
    <row r="6" spans="1:7" x14ac:dyDescent="0.3">
      <c r="B6" s="58" t="s">
        <v>152</v>
      </c>
    </row>
    <row r="7" spans="1:7" x14ac:dyDescent="0.3">
      <c r="A7" s="58">
        <v>3</v>
      </c>
      <c r="B7" s="58" t="s">
        <v>145</v>
      </c>
    </row>
    <row r="8" spans="1:7" x14ac:dyDescent="0.3">
      <c r="A8" s="58">
        <v>4</v>
      </c>
      <c r="B8" s="58" t="s">
        <v>146</v>
      </c>
    </row>
    <row r="9" spans="1:7" x14ac:dyDescent="0.3">
      <c r="A9" s="58">
        <v>5</v>
      </c>
      <c r="B9" s="58" t="s">
        <v>147</v>
      </c>
    </row>
    <row r="10" spans="1:7" x14ac:dyDescent="0.3">
      <c r="A10" s="58">
        <v>6</v>
      </c>
      <c r="B10" s="58" t="s">
        <v>148</v>
      </c>
    </row>
    <row r="11" spans="1:7" x14ac:dyDescent="0.3">
      <c r="A11" s="58">
        <v>7</v>
      </c>
      <c r="B11" s="58" t="s">
        <v>149</v>
      </c>
    </row>
    <row r="12" spans="1:7" x14ac:dyDescent="0.3">
      <c r="A12" s="58">
        <v>8</v>
      </c>
      <c r="B12" s="58" t="s">
        <v>150</v>
      </c>
    </row>
    <row r="14" spans="1:7" x14ac:dyDescent="0.3">
      <c r="B14" s="58" t="s">
        <v>167</v>
      </c>
    </row>
    <row r="15" spans="1:7" x14ac:dyDescent="0.3">
      <c r="B15" s="58" t="s">
        <v>168</v>
      </c>
    </row>
    <row r="16" spans="1:7" x14ac:dyDescent="0.3">
      <c r="C16" s="58" t="s">
        <v>170</v>
      </c>
    </row>
    <row r="17" spans="2:3" x14ac:dyDescent="0.3">
      <c r="B17" s="58" t="s">
        <v>169</v>
      </c>
    </row>
    <row r="18" spans="2:3" x14ac:dyDescent="0.3">
      <c r="C18" s="58" t="s">
        <v>171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C38CE-6AE3-1448-BCD2-E290C49D4385}">
  <sheetPr>
    <tabColor rgb="FFFFFF00"/>
  </sheetPr>
  <dimension ref="B2:C6"/>
  <sheetViews>
    <sheetView workbookViewId="0"/>
  </sheetViews>
  <sheetFormatPr baseColWidth="10" defaultRowHeight="26" x14ac:dyDescent="0.3"/>
  <cols>
    <col min="1" max="16384" width="10.83203125" style="145"/>
  </cols>
  <sheetData>
    <row r="2" spans="2:3" x14ac:dyDescent="0.3">
      <c r="B2" s="145" t="s">
        <v>12</v>
      </c>
      <c r="C2" s="145">
        <v>3</v>
      </c>
    </row>
    <row r="3" spans="2:3" x14ac:dyDescent="0.3">
      <c r="B3" s="145" t="s">
        <v>317</v>
      </c>
      <c r="C3" s="145">
        <v>2</v>
      </c>
    </row>
    <row r="4" spans="2:3" x14ac:dyDescent="0.3">
      <c r="B4" s="145" t="s">
        <v>289</v>
      </c>
      <c r="C4" s="145">
        <v>1</v>
      </c>
    </row>
    <row r="5" spans="2:3" x14ac:dyDescent="0.3">
      <c r="B5" s="145" t="s">
        <v>275</v>
      </c>
      <c r="C5" s="145">
        <v>2</v>
      </c>
    </row>
    <row r="6" spans="2:3" x14ac:dyDescent="0.3">
      <c r="B6" s="145" t="s">
        <v>280</v>
      </c>
      <c r="C6" s="145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C22"/>
  <sheetViews>
    <sheetView workbookViewId="0"/>
  </sheetViews>
  <sheetFormatPr baseColWidth="10" defaultColWidth="7.6640625" defaultRowHeight="21" x14ac:dyDescent="0.25"/>
  <cols>
    <col min="1" max="1" width="3.1640625" style="46" customWidth="1"/>
    <col min="2" max="2" width="22.33203125" style="45" bestFit="1" customWidth="1"/>
    <col min="3" max="3" width="173.5" style="46" customWidth="1"/>
    <col min="4" max="16384" width="7.6640625" style="46"/>
  </cols>
  <sheetData>
    <row r="1" spans="2:3" ht="22" thickBot="1" x14ac:dyDescent="0.3"/>
    <row r="2" spans="2:3" ht="23" thickBot="1" x14ac:dyDescent="0.3">
      <c r="B2" s="47" t="s">
        <v>0</v>
      </c>
      <c r="C2" s="48" t="s">
        <v>1</v>
      </c>
    </row>
    <row r="3" spans="2:3" ht="66" x14ac:dyDescent="0.25">
      <c r="B3" s="139" t="s">
        <v>2</v>
      </c>
      <c r="C3" s="49" t="s">
        <v>130</v>
      </c>
    </row>
    <row r="4" spans="2:3" x14ac:dyDescent="0.25">
      <c r="B4" s="140"/>
      <c r="C4" s="49"/>
    </row>
    <row r="5" spans="2:3" ht="22" x14ac:dyDescent="0.25">
      <c r="B5" s="140"/>
      <c r="C5" s="49" t="s">
        <v>3</v>
      </c>
    </row>
    <row r="6" spans="2:3" ht="22" x14ac:dyDescent="0.25">
      <c r="B6" s="140"/>
      <c r="C6" s="49" t="s">
        <v>4</v>
      </c>
    </row>
    <row r="7" spans="2:3" ht="22" x14ac:dyDescent="0.25">
      <c r="B7" s="140"/>
      <c r="C7" s="49" t="s">
        <v>5</v>
      </c>
    </row>
    <row r="8" spans="2:3" ht="22" x14ac:dyDescent="0.25">
      <c r="B8" s="140"/>
      <c r="C8" s="49" t="s">
        <v>6</v>
      </c>
    </row>
    <row r="9" spans="2:3" ht="22" x14ac:dyDescent="0.25">
      <c r="B9" s="140"/>
      <c r="C9" s="49" t="s">
        <v>7</v>
      </c>
    </row>
    <row r="10" spans="2:3" x14ac:dyDescent="0.25">
      <c r="B10" s="140"/>
      <c r="C10" s="49"/>
    </row>
    <row r="11" spans="2:3" ht="89" thickBot="1" x14ac:dyDescent="0.3">
      <c r="B11" s="140"/>
      <c r="C11" s="50" t="s">
        <v>316</v>
      </c>
    </row>
    <row r="12" spans="2:3" ht="66" x14ac:dyDescent="0.25">
      <c r="B12" s="139" t="s">
        <v>125</v>
      </c>
      <c r="C12" s="49" t="s">
        <v>308</v>
      </c>
    </row>
    <row r="13" spans="2:3" ht="22" x14ac:dyDescent="0.25">
      <c r="B13" s="140"/>
      <c r="C13" s="51" t="s">
        <v>126</v>
      </c>
    </row>
    <row r="14" spans="2:3" ht="22" x14ac:dyDescent="0.25">
      <c r="B14" s="140"/>
      <c r="C14" s="51" t="s">
        <v>127</v>
      </c>
    </row>
    <row r="15" spans="2:3" ht="23" thickBot="1" x14ac:dyDescent="0.3">
      <c r="B15" s="141"/>
      <c r="C15" s="52" t="s">
        <v>128</v>
      </c>
    </row>
    <row r="17" spans="2:3" x14ac:dyDescent="0.25">
      <c r="B17" s="120">
        <v>1</v>
      </c>
      <c r="C17" s="46" t="s">
        <v>307</v>
      </c>
    </row>
    <row r="18" spans="2:3" x14ac:dyDescent="0.25">
      <c r="B18" s="120">
        <v>2</v>
      </c>
      <c r="C18" s="46" t="s">
        <v>307</v>
      </c>
    </row>
    <row r="19" spans="2:3" x14ac:dyDescent="0.25">
      <c r="B19" s="120">
        <v>3.1</v>
      </c>
      <c r="C19" s="121"/>
    </row>
    <row r="20" spans="2:3" x14ac:dyDescent="0.25">
      <c r="B20" s="120">
        <v>3.2</v>
      </c>
      <c r="C20" s="121"/>
    </row>
    <row r="21" spans="2:3" x14ac:dyDescent="0.25">
      <c r="B21" s="120">
        <v>3.3</v>
      </c>
      <c r="C21" s="121"/>
    </row>
    <row r="22" spans="2:3" x14ac:dyDescent="0.25">
      <c r="B22" s="120"/>
    </row>
  </sheetData>
  <mergeCells count="2">
    <mergeCell ref="B3:B11"/>
    <mergeCell ref="B12:B15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T32"/>
  <sheetViews>
    <sheetView workbookViewId="0"/>
  </sheetViews>
  <sheetFormatPr baseColWidth="10" defaultColWidth="8.83203125" defaultRowHeight="15" x14ac:dyDescent="0.2"/>
  <cols>
    <col min="1" max="1" width="5" customWidth="1"/>
    <col min="2" max="2" width="27.6640625" customWidth="1"/>
    <col min="3" max="3" width="9.6640625" style="2" bestFit="1" customWidth="1"/>
    <col min="4" max="4" width="4.6640625" customWidth="1"/>
    <col min="5" max="5" width="4.5" customWidth="1"/>
    <col min="6" max="6" width="29.5" customWidth="1"/>
    <col min="13" max="13" width="6.33203125" customWidth="1"/>
    <col min="14" max="14" width="21.5" customWidth="1"/>
    <col min="15" max="15" width="10.83203125" style="2" customWidth="1"/>
    <col min="16" max="16" width="9.6640625" bestFit="1" customWidth="1"/>
    <col min="17" max="17" width="9.83203125" bestFit="1" customWidth="1"/>
    <col min="18" max="20" width="9.6640625" bestFit="1" customWidth="1"/>
  </cols>
  <sheetData>
    <row r="1" spans="1:20" x14ac:dyDescent="0.2">
      <c r="A1" s="1" t="s">
        <v>8</v>
      </c>
      <c r="E1" s="1" t="s">
        <v>129</v>
      </c>
      <c r="M1" s="1" t="s">
        <v>9</v>
      </c>
      <c r="P1" s="3"/>
      <c r="Q1" s="3"/>
      <c r="R1" s="3"/>
      <c r="S1" s="3"/>
      <c r="T1" s="3"/>
    </row>
    <row r="2" spans="1:20" x14ac:dyDescent="0.2">
      <c r="C2" s="4" t="s">
        <v>10</v>
      </c>
      <c r="G2" s="142">
        <v>2022</v>
      </c>
      <c r="H2" s="142"/>
      <c r="I2" s="142"/>
      <c r="J2" s="142"/>
      <c r="K2" s="5">
        <v>2023</v>
      </c>
      <c r="P2" s="6">
        <v>44651</v>
      </c>
      <c r="Q2" s="6">
        <v>44742</v>
      </c>
      <c r="R2" s="6">
        <v>44834</v>
      </c>
      <c r="S2" s="6">
        <v>44926</v>
      </c>
      <c r="T2" s="6">
        <v>45016</v>
      </c>
    </row>
    <row r="3" spans="1:20" x14ac:dyDescent="0.2">
      <c r="B3" s="1" t="s">
        <v>11</v>
      </c>
      <c r="C3" s="7">
        <v>44561</v>
      </c>
      <c r="E3" s="8" t="s">
        <v>10</v>
      </c>
      <c r="G3" s="5" t="s">
        <v>12</v>
      </c>
      <c r="H3" s="5" t="s">
        <v>13</v>
      </c>
      <c r="I3" s="5" t="s">
        <v>14</v>
      </c>
      <c r="J3" s="5" t="s">
        <v>15</v>
      </c>
      <c r="K3" s="5" t="s">
        <v>12</v>
      </c>
      <c r="O3" s="2" t="s">
        <v>16</v>
      </c>
      <c r="P3" t="s">
        <v>133</v>
      </c>
      <c r="Q3" t="s">
        <v>17</v>
      </c>
      <c r="R3" t="s">
        <v>17</v>
      </c>
      <c r="S3" t="s">
        <v>17</v>
      </c>
      <c r="T3" t="s">
        <v>17</v>
      </c>
    </row>
    <row r="4" spans="1:20" x14ac:dyDescent="0.2">
      <c r="A4" t="s">
        <v>18</v>
      </c>
      <c r="C4" s="9">
        <f>SUM(C5:C8)</f>
        <v>470</v>
      </c>
      <c r="E4" s="1" t="s">
        <v>19</v>
      </c>
      <c r="G4" s="10">
        <f>SUM(G5:G10)</f>
        <v>499.5</v>
      </c>
      <c r="H4" s="10">
        <f>SUM(H5:H10)</f>
        <v>691</v>
      </c>
      <c r="I4" s="10">
        <f>SUM(I5:I10)</f>
        <v>832.5</v>
      </c>
      <c r="J4" s="10">
        <f>SUM(J5:J10)</f>
        <v>830</v>
      </c>
      <c r="K4" s="10">
        <f>SUM(K5:K10)</f>
        <v>515</v>
      </c>
      <c r="M4" s="11" t="s">
        <v>20</v>
      </c>
      <c r="O4" s="9"/>
      <c r="P4" s="12">
        <f>-C6-C7+C16+G6+G7+G8+G16+G17+G18</f>
        <v>-460.125</v>
      </c>
      <c r="Q4" s="12">
        <f>P4+H6+H7+H8+H16+H17+H18</f>
        <v>-653.625</v>
      </c>
      <c r="R4" s="12">
        <f>Q4+I6+I7+I8+I16+I17+I18</f>
        <v>-799.875</v>
      </c>
      <c r="S4" s="12">
        <f>R4+J6+J7+J8+J16+J17+J18</f>
        <v>-639.875</v>
      </c>
      <c r="T4" s="12">
        <f>S4+K6+K7+K8+K16+K17+K18</f>
        <v>-544.875</v>
      </c>
    </row>
    <row r="5" spans="1:20" x14ac:dyDescent="0.2">
      <c r="B5" s="13" t="s">
        <v>21</v>
      </c>
      <c r="C5" s="14">
        <v>50</v>
      </c>
      <c r="F5" s="13" t="s">
        <v>22</v>
      </c>
      <c r="G5" s="15">
        <v>450</v>
      </c>
      <c r="H5" s="15">
        <v>600</v>
      </c>
      <c r="I5" s="15">
        <v>750</v>
      </c>
      <c r="J5" s="15">
        <v>650</v>
      </c>
      <c r="K5" s="15">
        <v>400</v>
      </c>
      <c r="M5" s="143"/>
      <c r="N5" s="13" t="s">
        <v>23</v>
      </c>
      <c r="O5" s="14" t="s">
        <v>24</v>
      </c>
      <c r="P5" s="16">
        <f>P4*60%</f>
        <v>-276.07499999999999</v>
      </c>
      <c r="Q5" s="16">
        <f t="shared" ref="Q5:T5" si="0">Q4*60%</f>
        <v>-392.17500000000001</v>
      </c>
      <c r="R5" s="16">
        <f t="shared" si="0"/>
        <v>-479.92499999999995</v>
      </c>
      <c r="S5" s="16">
        <f t="shared" si="0"/>
        <v>-383.92500000000001</v>
      </c>
      <c r="T5" s="16">
        <f t="shared" si="0"/>
        <v>-326.92500000000001</v>
      </c>
    </row>
    <row r="6" spans="1:20" x14ac:dyDescent="0.2">
      <c r="B6" s="13" t="s">
        <v>25</v>
      </c>
      <c r="C6" s="14">
        <v>300</v>
      </c>
      <c r="F6" s="13" t="s">
        <v>26</v>
      </c>
      <c r="G6" s="15">
        <v>0</v>
      </c>
      <c r="H6" s="15">
        <v>0</v>
      </c>
      <c r="I6" s="15">
        <v>0</v>
      </c>
      <c r="J6" s="15">
        <v>150</v>
      </c>
      <c r="K6" s="15">
        <v>100</v>
      </c>
      <c r="M6" s="143"/>
      <c r="N6" s="13" t="s">
        <v>27</v>
      </c>
      <c r="O6" s="14" t="s">
        <v>24</v>
      </c>
      <c r="P6" s="16">
        <f>P4*10%</f>
        <v>-46.012500000000003</v>
      </c>
      <c r="Q6" s="16">
        <f t="shared" ref="Q6:T6" si="1">Q4*10%</f>
        <v>-65.362499999999997</v>
      </c>
      <c r="R6" s="16">
        <f t="shared" si="1"/>
        <v>-79.987500000000011</v>
      </c>
      <c r="S6" s="16">
        <f t="shared" si="1"/>
        <v>-63.987500000000004</v>
      </c>
      <c r="T6" s="16">
        <f t="shared" si="1"/>
        <v>-54.487500000000004</v>
      </c>
    </row>
    <row r="7" spans="1:20" x14ac:dyDescent="0.2">
      <c r="B7" s="13" t="s">
        <v>26</v>
      </c>
      <c r="C7" s="14">
        <v>100</v>
      </c>
      <c r="F7" s="13" t="s">
        <v>25</v>
      </c>
      <c r="G7" s="15">
        <v>0</v>
      </c>
      <c r="H7" s="15">
        <v>0</v>
      </c>
      <c r="I7" s="15">
        <v>0</v>
      </c>
      <c r="J7" s="15">
        <v>25</v>
      </c>
      <c r="K7" s="15">
        <v>15</v>
      </c>
      <c r="M7" s="143"/>
      <c r="N7" s="13" t="s">
        <v>28</v>
      </c>
      <c r="O7" s="14" t="s">
        <v>24</v>
      </c>
      <c r="P7" s="16">
        <f>P4*15%</f>
        <v>-69.018749999999997</v>
      </c>
      <c r="Q7" s="16">
        <f t="shared" ref="Q7:T7" si="2">Q4*15%</f>
        <v>-98.043750000000003</v>
      </c>
      <c r="R7" s="16">
        <f t="shared" si="2"/>
        <v>-119.98124999999999</v>
      </c>
      <c r="S7" s="16">
        <f t="shared" si="2"/>
        <v>-95.981250000000003</v>
      </c>
      <c r="T7" s="16">
        <f t="shared" si="2"/>
        <v>-81.731250000000003</v>
      </c>
    </row>
    <row r="8" spans="1:20" x14ac:dyDescent="0.2">
      <c r="B8" s="13" t="s">
        <v>29</v>
      </c>
      <c r="C8" s="14">
        <v>20</v>
      </c>
      <c r="F8" s="13" t="s">
        <v>30</v>
      </c>
      <c r="G8" s="15">
        <f>-G12*20%</f>
        <v>49.500000000000007</v>
      </c>
      <c r="H8" s="15">
        <f>-H12*20%</f>
        <v>66</v>
      </c>
      <c r="I8" s="15">
        <f>-I12*20%</f>
        <v>82.500000000000014</v>
      </c>
      <c r="J8" s="15">
        <v>0</v>
      </c>
      <c r="K8" s="15">
        <v>0</v>
      </c>
      <c r="M8" s="143"/>
      <c r="N8" s="13" t="s">
        <v>31</v>
      </c>
      <c r="O8" s="14" t="s">
        <v>24</v>
      </c>
      <c r="P8" s="16">
        <f>P4*15%</f>
        <v>-69.018749999999997</v>
      </c>
      <c r="Q8" s="16">
        <f t="shared" ref="Q8:T8" si="3">Q4*15%</f>
        <v>-98.043750000000003</v>
      </c>
      <c r="R8" s="16">
        <f t="shared" si="3"/>
        <v>-119.98124999999999</v>
      </c>
      <c r="S8" s="16">
        <f t="shared" si="3"/>
        <v>-95.981250000000003</v>
      </c>
      <c r="T8" s="16">
        <f t="shared" si="3"/>
        <v>-81.731250000000003</v>
      </c>
    </row>
    <row r="9" spans="1:20" x14ac:dyDescent="0.2">
      <c r="A9" t="s">
        <v>32</v>
      </c>
      <c r="C9" s="17">
        <f>SUM(C10:C11)</f>
        <v>750</v>
      </c>
      <c r="F9" s="13" t="s">
        <v>33</v>
      </c>
      <c r="G9" s="15">
        <v>0</v>
      </c>
      <c r="H9" s="15">
        <v>25</v>
      </c>
      <c r="I9" s="15">
        <v>0</v>
      </c>
      <c r="J9" s="15">
        <v>5</v>
      </c>
      <c r="K9" s="15">
        <v>0</v>
      </c>
      <c r="M9" s="1" t="s">
        <v>34</v>
      </c>
      <c r="O9" s="17"/>
      <c r="P9" s="18">
        <f>G28</f>
        <v>380</v>
      </c>
      <c r="Q9" s="18">
        <f>H28</f>
        <v>380</v>
      </c>
      <c r="R9" s="18">
        <f>I28</f>
        <v>380</v>
      </c>
      <c r="S9" s="18">
        <f>J28</f>
        <v>380</v>
      </c>
      <c r="T9" s="18">
        <f>K28</f>
        <v>380</v>
      </c>
    </row>
    <row r="10" spans="1:20" x14ac:dyDescent="0.2">
      <c r="B10" s="13" t="s">
        <v>35</v>
      </c>
      <c r="C10" s="14">
        <v>750</v>
      </c>
      <c r="F10" s="13" t="s">
        <v>36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M10" s="143" t="s">
        <v>37</v>
      </c>
      <c r="N10" s="13" t="s">
        <v>38</v>
      </c>
      <c r="O10" s="130">
        <v>2.5000000000000001E-2</v>
      </c>
      <c r="P10" s="129"/>
      <c r="Q10" s="129"/>
      <c r="R10" s="129"/>
      <c r="S10" s="129"/>
      <c r="T10" s="129"/>
    </row>
    <row r="11" spans="1:20" x14ac:dyDescent="0.2">
      <c r="B11" s="13" t="s">
        <v>39</v>
      </c>
      <c r="C11" s="19">
        <v>0</v>
      </c>
      <c r="E11" s="1" t="s">
        <v>40</v>
      </c>
      <c r="G11" s="10">
        <f>SUM(G12:G20)</f>
        <v>-696.89166666666665</v>
      </c>
      <c r="H11" s="10">
        <f>SUM(H12:H20)</f>
        <v>-861.53020833333335</v>
      </c>
      <c r="I11" s="10">
        <f>SUM(I12:I20)</f>
        <v>-895.33936674917504</v>
      </c>
      <c r="J11" s="10">
        <f>SUM(J12:J20)</f>
        <v>-639.89759114583342</v>
      </c>
      <c r="K11" s="10">
        <f>SUM(K12:K20)</f>
        <v>-488.06321614583339</v>
      </c>
      <c r="M11" s="143"/>
      <c r="N11" s="13" t="s">
        <v>41</v>
      </c>
      <c r="O11" s="130">
        <v>0.03</v>
      </c>
      <c r="P11" s="129"/>
      <c r="Q11" s="129"/>
      <c r="R11" s="129"/>
      <c r="S11" s="129"/>
      <c r="T11" s="129"/>
    </row>
    <row r="12" spans="1:20" x14ac:dyDescent="0.2">
      <c r="B12" s="1" t="s">
        <v>42</v>
      </c>
      <c r="C12" s="20">
        <f>SUM(C4,C9)</f>
        <v>1220</v>
      </c>
      <c r="F12" s="13" t="s">
        <v>43</v>
      </c>
      <c r="G12" s="15">
        <f>-G5*55%</f>
        <v>-247.50000000000003</v>
      </c>
      <c r="H12" s="15">
        <f>-H5*55%</f>
        <v>-330</v>
      </c>
      <c r="I12" s="15">
        <f>-I5*55%</f>
        <v>-412.50000000000006</v>
      </c>
      <c r="J12" s="15">
        <f>-J5*55%</f>
        <v>-357.50000000000006</v>
      </c>
      <c r="K12" s="15">
        <f>-K5*55%</f>
        <v>-220.00000000000003</v>
      </c>
      <c r="M12" s="143"/>
      <c r="N12" s="13" t="s">
        <v>44</v>
      </c>
      <c r="O12" s="130">
        <v>0.02</v>
      </c>
      <c r="P12" s="129"/>
      <c r="Q12" s="129"/>
      <c r="R12" s="129"/>
      <c r="S12" s="129"/>
      <c r="T12" s="129"/>
    </row>
    <row r="13" spans="1:20" x14ac:dyDescent="0.2">
      <c r="B13" s="1"/>
      <c r="C13" s="20"/>
      <c r="F13" s="13" t="s">
        <v>45</v>
      </c>
      <c r="G13" s="15">
        <v>-160</v>
      </c>
      <c r="H13" s="15">
        <f>-160*1.02</f>
        <v>-163.19999999999999</v>
      </c>
      <c r="I13" s="15">
        <f>H13/1.01</f>
        <v>-161.58415841584159</v>
      </c>
      <c r="J13" s="15">
        <f>G13*0.98</f>
        <v>-156.80000000000001</v>
      </c>
      <c r="K13" s="15">
        <f>G13*1.02</f>
        <v>-163.19999999999999</v>
      </c>
      <c r="M13" s="143"/>
      <c r="N13" s="13" t="s">
        <v>46</v>
      </c>
      <c r="O13" s="130">
        <v>7.0000000000000007E-2</v>
      </c>
      <c r="P13" s="129"/>
      <c r="Q13" s="129"/>
      <c r="R13" s="129"/>
      <c r="S13" s="129"/>
      <c r="T13" s="129"/>
    </row>
    <row r="14" spans="1:20" x14ac:dyDescent="0.2">
      <c r="B14" s="1" t="s">
        <v>47</v>
      </c>
      <c r="F14" s="13" t="s">
        <v>48</v>
      </c>
      <c r="G14" s="15">
        <v>-60</v>
      </c>
      <c r="H14" s="15">
        <f>G14*0.98</f>
        <v>-58.8</v>
      </c>
      <c r="I14" s="15">
        <f>G14*1.02</f>
        <v>-61.2</v>
      </c>
      <c r="J14" s="15">
        <f>I14</f>
        <v>-61.2</v>
      </c>
      <c r="K14" s="15">
        <f>G14*1.02</f>
        <v>-61.2</v>
      </c>
      <c r="M14" s="1" t="s">
        <v>49</v>
      </c>
      <c r="O14" s="17"/>
      <c r="P14" s="18">
        <f>G29</f>
        <v>260</v>
      </c>
      <c r="Q14" s="18">
        <f>H29</f>
        <v>243.75</v>
      </c>
      <c r="R14" s="18">
        <f>I29</f>
        <v>243.75</v>
      </c>
      <c r="S14" s="18">
        <f>J29</f>
        <v>228.515625</v>
      </c>
      <c r="T14" s="18">
        <f>K29</f>
        <v>228.515625</v>
      </c>
    </row>
    <row r="15" spans="1:20" x14ac:dyDescent="0.2">
      <c r="A15" t="s">
        <v>50</v>
      </c>
      <c r="C15" s="9">
        <f>SUM(C16:C18)</f>
        <v>270</v>
      </c>
      <c r="F15" s="13" t="s">
        <v>51</v>
      </c>
      <c r="G15" s="15">
        <f>-SUM(G28:G29)*AVERAGE($O$15:$O$17)/2</f>
        <v>-12.266666666666667</v>
      </c>
      <c r="H15" s="15">
        <f t="shared" ref="H15:K15" si="4">-SUM(H28:H29)*AVERAGE($O$15:$O$17)/2</f>
        <v>-11.955208333333335</v>
      </c>
      <c r="I15" s="15">
        <f t="shared" si="4"/>
        <v>-11.955208333333335</v>
      </c>
      <c r="J15" s="15">
        <f t="shared" si="4"/>
        <v>-11.663216145833335</v>
      </c>
      <c r="K15" s="15">
        <f t="shared" si="4"/>
        <v>-11.663216145833335</v>
      </c>
      <c r="M15" s="143" t="s">
        <v>37</v>
      </c>
      <c r="N15" s="13" t="s">
        <v>38</v>
      </c>
      <c r="O15" s="130">
        <v>3.5000000000000003E-2</v>
      </c>
      <c r="P15" s="128"/>
      <c r="Q15" s="129"/>
      <c r="R15" s="129"/>
      <c r="S15" s="129"/>
      <c r="T15" s="129"/>
    </row>
    <row r="16" spans="1:20" x14ac:dyDescent="0.2">
      <c r="B16" s="13" t="s">
        <v>30</v>
      </c>
      <c r="C16" s="14">
        <v>85</v>
      </c>
      <c r="F16" s="13" t="s">
        <v>26</v>
      </c>
      <c r="G16" s="15">
        <f>-G5*35%</f>
        <v>-157.5</v>
      </c>
      <c r="H16" s="15">
        <f>-H5*35%</f>
        <v>-210</v>
      </c>
      <c r="I16" s="15">
        <f>-I5*25%</f>
        <v>-187.5</v>
      </c>
      <c r="J16" s="15">
        <v>0</v>
      </c>
      <c r="K16" s="15">
        <v>0</v>
      </c>
      <c r="M16" s="143"/>
      <c r="N16" s="13" t="s">
        <v>41</v>
      </c>
      <c r="O16" s="130">
        <v>0.04</v>
      </c>
      <c r="P16" s="128"/>
      <c r="Q16" s="129"/>
      <c r="R16" s="129"/>
      <c r="S16" s="129"/>
      <c r="T16" s="129"/>
    </row>
    <row r="17" spans="1:20" x14ac:dyDescent="0.2">
      <c r="B17" s="13" t="s">
        <v>52</v>
      </c>
      <c r="C17" s="14">
        <v>180</v>
      </c>
      <c r="F17" s="13" t="s">
        <v>25</v>
      </c>
      <c r="G17" s="15">
        <f>G12*15%</f>
        <v>-37.125</v>
      </c>
      <c r="H17" s="15">
        <f>H12*15%</f>
        <v>-49.5</v>
      </c>
      <c r="I17" s="15">
        <f>I12*10%</f>
        <v>-41.250000000000007</v>
      </c>
      <c r="J17" s="15">
        <v>0</v>
      </c>
      <c r="K17" s="15">
        <v>0</v>
      </c>
      <c r="M17" s="143"/>
      <c r="N17" s="13" t="s">
        <v>44</v>
      </c>
      <c r="O17" s="130">
        <v>0.04</v>
      </c>
      <c r="P17" s="128"/>
      <c r="Q17" s="129"/>
      <c r="R17" s="129"/>
      <c r="S17" s="129"/>
      <c r="T17" s="129"/>
    </row>
    <row r="18" spans="1:20" x14ac:dyDescent="0.2">
      <c r="B18" s="13" t="s">
        <v>53</v>
      </c>
      <c r="C18" s="14">
        <v>5</v>
      </c>
      <c r="F18" s="13" t="s">
        <v>30</v>
      </c>
      <c r="G18" s="15">
        <v>0</v>
      </c>
      <c r="H18" s="15">
        <v>0</v>
      </c>
      <c r="I18" s="15">
        <v>0</v>
      </c>
      <c r="J18" s="15">
        <v>-15</v>
      </c>
      <c r="K18" s="15">
        <v>-20</v>
      </c>
      <c r="M18" s="143"/>
      <c r="N18" s="13" t="s">
        <v>46</v>
      </c>
      <c r="O18" s="21" t="s">
        <v>54</v>
      </c>
      <c r="P18" s="128"/>
      <c r="Q18" s="128"/>
      <c r="R18" s="129"/>
      <c r="S18" s="129"/>
      <c r="T18" s="129"/>
    </row>
    <row r="19" spans="1:20" x14ac:dyDescent="0.2">
      <c r="B19" t="s">
        <v>55</v>
      </c>
      <c r="C19" s="17">
        <v>260</v>
      </c>
      <c r="F19" s="13" t="s">
        <v>56</v>
      </c>
      <c r="G19" s="15">
        <v>0</v>
      </c>
      <c r="H19" s="15">
        <f>-G29/16</f>
        <v>-16.25</v>
      </c>
      <c r="I19" s="15">
        <v>0</v>
      </c>
      <c r="J19" s="15">
        <f>-I29/16</f>
        <v>-15.234375</v>
      </c>
      <c r="K19" s="15">
        <v>0</v>
      </c>
      <c r="M19" s="1" t="s">
        <v>57</v>
      </c>
      <c r="N19" s="13"/>
      <c r="O19" s="14"/>
      <c r="P19" s="18">
        <f>P24-P14-P9</f>
        <v>360</v>
      </c>
      <c r="Q19" s="18">
        <f>Q24-Q14-Q9</f>
        <v>376.25</v>
      </c>
      <c r="R19" s="18">
        <f>R24-R14-R9</f>
        <v>376.25</v>
      </c>
      <c r="S19" s="18">
        <f>S24-S14-S9</f>
        <v>391.484375</v>
      </c>
      <c r="T19" s="18">
        <f>T24-T14-T9</f>
        <v>391.484375</v>
      </c>
    </row>
    <row r="20" spans="1:20" x14ac:dyDescent="0.2">
      <c r="B20" t="s">
        <v>58</v>
      </c>
      <c r="C20" s="17">
        <v>15</v>
      </c>
      <c r="F20" s="13" t="s">
        <v>59</v>
      </c>
      <c r="G20" s="15">
        <f>-C10*3%</f>
        <v>-22.5</v>
      </c>
      <c r="H20" s="15">
        <f>G20*0.97</f>
        <v>-21.824999999999999</v>
      </c>
      <c r="I20" s="15">
        <f>G20*86%</f>
        <v>-19.350000000000001</v>
      </c>
      <c r="J20" s="15">
        <f>G20</f>
        <v>-22.5</v>
      </c>
      <c r="K20" s="15">
        <v>-12</v>
      </c>
      <c r="M20" s="143" t="s">
        <v>37</v>
      </c>
      <c r="N20" s="13" t="s">
        <v>38</v>
      </c>
      <c r="O20" s="130">
        <v>0.01</v>
      </c>
      <c r="P20" s="124">
        <f t="array" ref="P20:T23">0</f>
        <v>0</v>
      </c>
      <c r="Q20" s="124">
        <v>0</v>
      </c>
      <c r="R20" s="124">
        <v>0</v>
      </c>
      <c r="S20" s="124">
        <v>0</v>
      </c>
      <c r="T20" s="124">
        <v>0</v>
      </c>
    </row>
    <row r="21" spans="1:20" x14ac:dyDescent="0.2">
      <c r="A21" t="s">
        <v>60</v>
      </c>
      <c r="C21" s="22">
        <v>675</v>
      </c>
      <c r="F21" s="13" t="s">
        <v>36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M21" s="143"/>
      <c r="N21" s="13" t="s">
        <v>41</v>
      </c>
      <c r="O21" s="130">
        <v>1.4999999999999999E-2</v>
      </c>
      <c r="P21" s="124">
        <v>0</v>
      </c>
      <c r="Q21" s="124">
        <v>0</v>
      </c>
      <c r="R21" s="124">
        <v>0</v>
      </c>
      <c r="S21" s="124">
        <v>0</v>
      </c>
      <c r="T21" s="124">
        <v>0</v>
      </c>
    </row>
    <row r="22" spans="1:20" x14ac:dyDescent="0.2">
      <c r="B22" s="1" t="s">
        <v>61</v>
      </c>
      <c r="C22" s="20">
        <f>SUM(C15,C19,C20,C21)</f>
        <v>1220</v>
      </c>
      <c r="E22" s="1" t="s">
        <v>62</v>
      </c>
      <c r="G22" s="10">
        <f>SUM(G4,G11)</f>
        <v>-197.39166666666665</v>
      </c>
      <c r="H22" s="10">
        <f>SUM(H4,H11)</f>
        <v>-170.53020833333335</v>
      </c>
      <c r="I22" s="10">
        <f>SUM(I4,I11)</f>
        <v>-62.839366749175042</v>
      </c>
      <c r="J22" s="10">
        <f>SUM(J4,J11)</f>
        <v>190.10240885416658</v>
      </c>
      <c r="K22" s="10">
        <f>SUM(K4,K11)</f>
        <v>26.936783854166606</v>
      </c>
      <c r="M22" s="143"/>
      <c r="N22" s="13" t="s">
        <v>44</v>
      </c>
      <c r="O22" s="130">
        <v>1.4999999999999999E-2</v>
      </c>
      <c r="P22" s="125">
        <v>0</v>
      </c>
      <c r="Q22" s="124">
        <v>0</v>
      </c>
      <c r="R22" s="124">
        <v>0</v>
      </c>
      <c r="S22" s="124">
        <v>0</v>
      </c>
      <c r="T22" s="124">
        <v>0</v>
      </c>
    </row>
    <row r="23" spans="1:20" x14ac:dyDescent="0.2">
      <c r="F23" s="13" t="s">
        <v>63</v>
      </c>
      <c r="G23" s="15">
        <f>C5</f>
        <v>50</v>
      </c>
      <c r="H23" s="15">
        <f>G27</f>
        <v>52.598333333333358</v>
      </c>
      <c r="I23" s="15">
        <f>H27</f>
        <v>-117.93187499999999</v>
      </c>
      <c r="J23" s="15">
        <f>I27</f>
        <v>-180.77124174917503</v>
      </c>
      <c r="K23" s="15">
        <f>J27</f>
        <v>9.3311671049915503</v>
      </c>
      <c r="M23" s="143"/>
      <c r="N23" s="13" t="s">
        <v>46</v>
      </c>
      <c r="O23" s="23" t="s">
        <v>54</v>
      </c>
      <c r="P23" s="126">
        <v>0</v>
      </c>
      <c r="Q23" s="127">
        <v>0</v>
      </c>
      <c r="R23" s="127">
        <v>0</v>
      </c>
      <c r="S23" s="127">
        <v>0</v>
      </c>
      <c r="T23" s="127">
        <v>0</v>
      </c>
    </row>
    <row r="24" spans="1:20" x14ac:dyDescent="0.2">
      <c r="B24" t="s">
        <v>64</v>
      </c>
      <c r="C24" s="24"/>
      <c r="F24" s="13" t="s">
        <v>65</v>
      </c>
      <c r="G24" s="15">
        <v>0</v>
      </c>
      <c r="H24" s="44"/>
      <c r="I24" s="44"/>
      <c r="J24" s="44"/>
      <c r="K24" s="44"/>
      <c r="M24" s="1" t="s">
        <v>66</v>
      </c>
      <c r="N24" s="13"/>
      <c r="P24" s="25">
        <v>1000</v>
      </c>
      <c r="Q24" s="25">
        <v>1000</v>
      </c>
      <c r="R24" s="25">
        <v>1000</v>
      </c>
      <c r="S24" s="25">
        <v>1000</v>
      </c>
      <c r="T24" s="25">
        <v>1000</v>
      </c>
    </row>
    <row r="25" spans="1:20" x14ac:dyDescent="0.2">
      <c r="B25" t="s">
        <v>67</v>
      </c>
      <c r="C25" s="24">
        <f>C4/C15</f>
        <v>1.7407407407407407</v>
      </c>
      <c r="F25" s="13" t="s">
        <v>68</v>
      </c>
      <c r="G25" s="15">
        <v>200</v>
      </c>
      <c r="H25" s="44"/>
      <c r="I25" s="44"/>
      <c r="J25" s="44"/>
      <c r="K25" s="44"/>
      <c r="O25" s="53"/>
      <c r="T25" s="26"/>
    </row>
    <row r="26" spans="1:20" x14ac:dyDescent="0.2">
      <c r="B26" t="s">
        <v>69</v>
      </c>
      <c r="C26" s="24">
        <f>SUM(C17,C19)/C21</f>
        <v>0.6518518518518519</v>
      </c>
      <c r="F26" s="13" t="s">
        <v>70</v>
      </c>
      <c r="G26" s="15">
        <v>-0.01</v>
      </c>
      <c r="H26" s="44"/>
      <c r="I26" s="44"/>
      <c r="J26" s="44"/>
      <c r="K26" s="44"/>
      <c r="M26" s="13"/>
      <c r="N26" s="13"/>
      <c r="O26" s="54" t="s">
        <v>131</v>
      </c>
      <c r="P26" s="27"/>
      <c r="Q26" s="27"/>
      <c r="R26" s="27"/>
      <c r="S26" s="27"/>
      <c r="T26" s="27"/>
    </row>
    <row r="27" spans="1:20" x14ac:dyDescent="0.2">
      <c r="B27" t="s">
        <v>71</v>
      </c>
      <c r="C27" s="24">
        <f>C21/C10</f>
        <v>0.9</v>
      </c>
      <c r="E27" s="1" t="s">
        <v>72</v>
      </c>
      <c r="G27" s="10">
        <f>G23+G24+G25+G26+G22</f>
        <v>52.598333333333358</v>
      </c>
      <c r="H27" s="10">
        <f>H23+H24+H25+H26+H22</f>
        <v>-117.93187499999999</v>
      </c>
      <c r="I27" s="10">
        <f>I23+I24+I25+I26+I22</f>
        <v>-180.77124174917503</v>
      </c>
      <c r="J27" s="10">
        <f>J23+J24+J25+J26+J22</f>
        <v>9.3311671049915503</v>
      </c>
      <c r="K27" s="10">
        <f>K23+K24+K25+K26+K22</f>
        <v>36.267950959158156</v>
      </c>
      <c r="M27" s="13"/>
      <c r="N27" s="13"/>
      <c r="O27" s="54" t="s">
        <v>132</v>
      </c>
      <c r="P27" s="27"/>
      <c r="Q27" s="27"/>
      <c r="R27" s="27"/>
      <c r="S27" s="27"/>
      <c r="T27" s="27"/>
    </row>
    <row r="28" spans="1:20" x14ac:dyDescent="0.2">
      <c r="F28" s="13" t="s">
        <v>73</v>
      </c>
      <c r="G28" s="15">
        <f>C17+G25</f>
        <v>380</v>
      </c>
      <c r="H28" s="15">
        <f>G28+H25+H26</f>
        <v>380</v>
      </c>
      <c r="I28" s="15">
        <f>H28+I25+I26</f>
        <v>380</v>
      </c>
      <c r="J28" s="15">
        <f>I28+J25+J26</f>
        <v>380</v>
      </c>
      <c r="K28" s="15">
        <f>J28+K26</f>
        <v>380</v>
      </c>
      <c r="M28" s="30"/>
      <c r="N28" s="28"/>
      <c r="O28" s="54" t="s">
        <v>134</v>
      </c>
      <c r="P28" s="27"/>
      <c r="Q28" s="27"/>
      <c r="R28" s="27"/>
      <c r="S28" s="27"/>
      <c r="T28" s="27"/>
    </row>
    <row r="29" spans="1:20" x14ac:dyDescent="0.2">
      <c r="B29" t="s">
        <v>22</v>
      </c>
      <c r="C29" s="29">
        <v>1800</v>
      </c>
      <c r="F29" s="13" t="s">
        <v>74</v>
      </c>
      <c r="G29" s="15">
        <f>C19+G19</f>
        <v>260</v>
      </c>
      <c r="H29" s="15">
        <f t="shared" ref="H29:J29" si="5">G29+H24+H19</f>
        <v>243.75</v>
      </c>
      <c r="I29" s="15">
        <f t="shared" si="5"/>
        <v>243.75</v>
      </c>
      <c r="J29" s="15">
        <f t="shared" si="5"/>
        <v>228.515625</v>
      </c>
      <c r="K29" s="15">
        <f>J29+K24+K19</f>
        <v>228.515625</v>
      </c>
      <c r="M29" s="30"/>
      <c r="N29" s="28"/>
      <c r="O29" s="30"/>
      <c r="P29" s="43"/>
      <c r="Q29" s="43"/>
      <c r="R29" s="43"/>
      <c r="S29" s="43"/>
      <c r="T29" s="43"/>
    </row>
    <row r="30" spans="1:20" x14ac:dyDescent="0.2">
      <c r="B30" t="s">
        <v>75</v>
      </c>
      <c r="C30" s="24">
        <f>C29/C6</f>
        <v>6</v>
      </c>
      <c r="M30" s="30"/>
      <c r="N30" s="28"/>
      <c r="O30" s="30"/>
      <c r="P30" s="43"/>
      <c r="Q30" s="43"/>
      <c r="R30" s="43"/>
      <c r="S30" s="43"/>
      <c r="T30" s="43"/>
    </row>
    <row r="31" spans="1:20" x14ac:dyDescent="0.2">
      <c r="M31" s="30"/>
      <c r="N31" s="28"/>
      <c r="O31" s="31"/>
      <c r="P31" s="43"/>
      <c r="Q31" s="43"/>
      <c r="R31" s="43"/>
      <c r="S31" s="43"/>
      <c r="T31" s="32"/>
    </row>
    <row r="32" spans="1:20" x14ac:dyDescent="0.2">
      <c r="M32" s="30"/>
      <c r="N32" s="28"/>
      <c r="O32" s="31"/>
      <c r="P32" s="43"/>
      <c r="Q32" s="43"/>
      <c r="R32" s="43"/>
      <c r="S32" s="8"/>
      <c r="T32" s="8"/>
    </row>
  </sheetData>
  <mergeCells count="5">
    <mergeCell ref="G2:J2"/>
    <mergeCell ref="M5:M8"/>
    <mergeCell ref="M10:M13"/>
    <mergeCell ref="M15:M18"/>
    <mergeCell ref="M20:M23"/>
  </mergeCell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1638D-5BAF-5346-9F2B-3D5C6C5AB364}">
  <sheetPr>
    <tabColor rgb="FFFFFF00"/>
  </sheetPr>
  <dimension ref="B7:S36"/>
  <sheetViews>
    <sheetView workbookViewId="0"/>
  </sheetViews>
  <sheetFormatPr baseColWidth="10" defaultRowHeight="19" x14ac:dyDescent="0.25"/>
  <cols>
    <col min="1" max="1" width="10.83203125" style="74" customWidth="1"/>
    <col min="2" max="2" width="13.83203125" style="74" bestFit="1" customWidth="1"/>
    <col min="3" max="4" width="10.83203125" style="74"/>
    <col min="5" max="5" width="17.83203125" style="74" customWidth="1"/>
    <col min="6" max="6" width="18.1640625" style="74" customWidth="1"/>
    <col min="7" max="16384" width="10.83203125" style="74"/>
  </cols>
  <sheetData>
    <row r="7" spans="2:19" x14ac:dyDescent="0.25">
      <c r="B7" s="74" t="s">
        <v>306</v>
      </c>
      <c r="D7" s="82" t="s">
        <v>241</v>
      </c>
    </row>
    <row r="9" spans="2:19" x14ac:dyDescent="0.25">
      <c r="B9" s="74" t="s">
        <v>180</v>
      </c>
      <c r="C9" s="74" t="s">
        <v>222</v>
      </c>
    </row>
    <row r="10" spans="2:19" x14ac:dyDescent="0.25">
      <c r="B10" s="74" t="s">
        <v>219</v>
      </c>
      <c r="C10" s="81">
        <v>0</v>
      </c>
      <c r="E10" s="74" t="s">
        <v>223</v>
      </c>
    </row>
    <row r="11" spans="2:19" x14ac:dyDescent="0.25">
      <c r="B11" s="74" t="s">
        <v>240</v>
      </c>
      <c r="C11" s="81">
        <v>0.15</v>
      </c>
      <c r="E11" s="74" t="s">
        <v>224</v>
      </c>
    </row>
    <row r="12" spans="2:19" x14ac:dyDescent="0.25">
      <c r="B12" s="74" t="s">
        <v>221</v>
      </c>
      <c r="C12" s="81">
        <v>0.5</v>
      </c>
      <c r="E12" s="74" t="s">
        <v>225</v>
      </c>
    </row>
    <row r="15" spans="2:19" x14ac:dyDescent="0.25">
      <c r="B15" s="74" t="s">
        <v>310</v>
      </c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</row>
    <row r="16" spans="2:19" x14ac:dyDescent="0.25">
      <c r="B16" s="80"/>
      <c r="E16" s="79"/>
      <c r="F16" s="76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</row>
    <row r="17" spans="5:19" x14ac:dyDescent="0.25">
      <c r="E17" s="77"/>
      <c r="F17" s="76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</row>
    <row r="18" spans="5:19" x14ac:dyDescent="0.25">
      <c r="E18" s="77"/>
      <c r="F18" s="76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</row>
    <row r="19" spans="5:19" x14ac:dyDescent="0.25">
      <c r="E19" s="77"/>
      <c r="F19" s="76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</row>
    <row r="20" spans="5:19" x14ac:dyDescent="0.25">
      <c r="E20" s="77"/>
      <c r="F20" s="76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</row>
    <row r="21" spans="5:19" x14ac:dyDescent="0.25">
      <c r="E21" s="77"/>
      <c r="F21" s="76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</row>
    <row r="22" spans="5:19" x14ac:dyDescent="0.25">
      <c r="E22" s="77"/>
      <c r="F22" s="76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</row>
    <row r="23" spans="5:19" x14ac:dyDescent="0.25">
      <c r="E23" s="77"/>
      <c r="F23" s="76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</row>
    <row r="24" spans="5:19" x14ac:dyDescent="0.25">
      <c r="E24" s="77"/>
      <c r="F24" s="76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5" spans="5:19" x14ac:dyDescent="0.25">
      <c r="E25" s="77"/>
      <c r="F25" s="76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</row>
    <row r="26" spans="5:19" x14ac:dyDescent="0.25">
      <c r="E26" s="77"/>
      <c r="F26" s="76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</row>
    <row r="27" spans="5:19" x14ac:dyDescent="0.25">
      <c r="E27" s="77"/>
      <c r="F27" s="76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</row>
    <row r="28" spans="5:19" x14ac:dyDescent="0.25">
      <c r="E28" s="77"/>
      <c r="F28" s="76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</row>
    <row r="29" spans="5:19" x14ac:dyDescent="0.25">
      <c r="E29" s="77"/>
      <c r="F29" s="76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</row>
    <row r="30" spans="5:19" x14ac:dyDescent="0.25">
      <c r="E30" s="77"/>
      <c r="F30" s="76"/>
    </row>
    <row r="31" spans="5:19" x14ac:dyDescent="0.25">
      <c r="E31" s="75"/>
    </row>
    <row r="32" spans="5:19" x14ac:dyDescent="0.25">
      <c r="E32" s="75"/>
    </row>
    <row r="33" spans="5:5" x14ac:dyDescent="0.25">
      <c r="E33" s="75"/>
    </row>
    <row r="34" spans="5:5" x14ac:dyDescent="0.25">
      <c r="E34" s="75"/>
    </row>
    <row r="35" spans="5:5" x14ac:dyDescent="0.25">
      <c r="E35" s="75"/>
    </row>
    <row r="36" spans="5:5" x14ac:dyDescent="0.25">
      <c r="E36" s="75"/>
    </row>
  </sheetData>
  <hyperlinks>
    <hyperlink ref="D7" r:id="rId1" xr:uid="{FE272163-EB74-DC47-803D-BA9B9198BE26}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A4F44-6900-5547-94D7-5308ABED19CC}">
  <sheetPr>
    <tabColor rgb="FFFFFF00"/>
  </sheetPr>
  <dimension ref="A1:L39"/>
  <sheetViews>
    <sheetView workbookViewId="0">
      <selection activeCell="L4" sqref="L4"/>
    </sheetView>
  </sheetViews>
  <sheetFormatPr baseColWidth="10" defaultColWidth="8.83203125" defaultRowHeight="15" x14ac:dyDescent="0.2"/>
  <cols>
    <col min="1" max="1" width="5" customWidth="1"/>
    <col min="2" max="2" width="36.83203125" customWidth="1"/>
    <col min="3" max="3" width="9.6640625" style="2" bestFit="1" customWidth="1"/>
    <col min="4" max="4" width="4.6640625" customWidth="1"/>
    <col min="5" max="5" width="4.5" customWidth="1"/>
    <col min="6" max="6" width="41.6640625" customWidth="1"/>
  </cols>
  <sheetData>
    <row r="1" spans="1:12" x14ac:dyDescent="0.2">
      <c r="A1" s="1" t="s">
        <v>76</v>
      </c>
      <c r="E1" s="1" t="s">
        <v>77</v>
      </c>
    </row>
    <row r="2" spans="1:12" x14ac:dyDescent="0.2">
      <c r="C2" s="4" t="s">
        <v>78</v>
      </c>
    </row>
    <row r="3" spans="1:12" x14ac:dyDescent="0.2">
      <c r="B3" s="1" t="s">
        <v>11</v>
      </c>
      <c r="C3" s="7">
        <v>44561</v>
      </c>
      <c r="E3" s="8" t="s">
        <v>78</v>
      </c>
      <c r="G3" s="85">
        <v>44409</v>
      </c>
      <c r="H3" s="85">
        <v>44440</v>
      </c>
      <c r="I3" s="85">
        <v>44470</v>
      </c>
      <c r="J3" s="85">
        <v>44501</v>
      </c>
      <c r="K3" s="85">
        <v>44531</v>
      </c>
      <c r="L3" s="85">
        <v>44197</v>
      </c>
    </row>
    <row r="4" spans="1:12" x14ac:dyDescent="0.2">
      <c r="B4" s="13" t="s">
        <v>79</v>
      </c>
      <c r="C4" s="33">
        <v>3</v>
      </c>
      <c r="E4" s="1" t="s">
        <v>19</v>
      </c>
      <c r="G4" s="34">
        <f t="shared" ref="G4:L4" si="0">SUM(G5:G18)</f>
        <v>2.9435785575057807</v>
      </c>
      <c r="H4" s="34">
        <f t="shared" si="0"/>
        <v>2.8565242368992396</v>
      </c>
      <c r="I4" s="34">
        <f t="shared" si="0"/>
        <v>3.1388913332198989</v>
      </c>
      <c r="J4" s="34">
        <f t="shared" si="0"/>
        <v>3.5078720623541888</v>
      </c>
      <c r="K4" s="34">
        <f t="shared" si="0"/>
        <v>3.2681883145751276</v>
      </c>
      <c r="L4" s="34">
        <f t="shared" si="0"/>
        <v>3.1592579703113515</v>
      </c>
    </row>
    <row r="5" spans="1:12" x14ac:dyDescent="0.2">
      <c r="B5" s="13" t="s">
        <v>80</v>
      </c>
      <c r="C5" s="35">
        <f>SUM(C6:C8)</f>
        <v>17</v>
      </c>
      <c r="F5" s="13" t="s">
        <v>81</v>
      </c>
      <c r="G5" s="84">
        <v>0.19343993798664169</v>
      </c>
      <c r="H5" s="84">
        <v>0.17977810799712021</v>
      </c>
      <c r="I5" s="84">
        <v>0.16677826412400665</v>
      </c>
      <c r="J5" s="84">
        <v>0.31469616319961541</v>
      </c>
      <c r="K5" s="84">
        <v>0.29407285367462632</v>
      </c>
      <c r="L5" s="84">
        <v>0.28150274895184402</v>
      </c>
    </row>
    <row r="6" spans="1:12" x14ac:dyDescent="0.2">
      <c r="B6" s="36" t="s">
        <v>245</v>
      </c>
      <c r="C6" s="35">
        <v>12</v>
      </c>
      <c r="F6" s="13" t="s">
        <v>83</v>
      </c>
      <c r="G6" s="84">
        <v>7.9976927533420589E-2</v>
      </c>
      <c r="H6" s="84">
        <v>8.5255852489023828E-2</v>
      </c>
      <c r="I6" s="84">
        <v>9.1078522145888338E-2</v>
      </c>
      <c r="J6" s="84">
        <v>9.0710304571171615E-2</v>
      </c>
      <c r="K6" s="84">
        <v>9.5340218597522008E-2</v>
      </c>
      <c r="L6" s="84">
        <v>8.6965336706598395E-2</v>
      </c>
    </row>
    <row r="7" spans="1:12" x14ac:dyDescent="0.2">
      <c r="B7" s="36" t="s">
        <v>244</v>
      </c>
      <c r="C7" s="35">
        <v>4</v>
      </c>
      <c r="F7" s="13" t="s">
        <v>85</v>
      </c>
      <c r="G7" s="84">
        <v>0.19757033303403523</v>
      </c>
      <c r="H7" s="84">
        <v>0.25241172027469372</v>
      </c>
      <c r="I7" s="84">
        <v>0.24622289443152243</v>
      </c>
      <c r="J7" s="84">
        <v>0.178675055295198</v>
      </c>
      <c r="K7" s="84">
        <v>0.18284057113542107</v>
      </c>
      <c r="L7" s="84">
        <v>0.16254660032429105</v>
      </c>
    </row>
    <row r="8" spans="1:12" x14ac:dyDescent="0.2">
      <c r="B8" s="36" t="s">
        <v>243</v>
      </c>
      <c r="C8" s="35">
        <v>1</v>
      </c>
      <c r="F8" s="13" t="s">
        <v>87</v>
      </c>
      <c r="G8" s="84">
        <v>4.8922604313618584E-2</v>
      </c>
      <c r="H8" s="84">
        <v>4.9652844084225427E-2</v>
      </c>
      <c r="I8" s="84">
        <v>4.8472015340362072E-2</v>
      </c>
      <c r="J8" s="84">
        <v>4.8117349650197115E-2</v>
      </c>
      <c r="K8" s="84">
        <v>5.1960968207799538E-2</v>
      </c>
      <c r="L8" s="84">
        <v>6.3689665501785397E-2</v>
      </c>
    </row>
    <row r="9" spans="1:12" x14ac:dyDescent="0.2">
      <c r="B9" s="13" t="s">
        <v>82</v>
      </c>
      <c r="C9" s="35">
        <f>SUM(C10:C16)</f>
        <v>80</v>
      </c>
      <c r="F9" s="13" t="s">
        <v>89</v>
      </c>
      <c r="G9" s="84">
        <v>0.27349152703473645</v>
      </c>
      <c r="H9" s="84">
        <v>0.33723644624862087</v>
      </c>
      <c r="I9" s="84">
        <v>0.34283990579790746</v>
      </c>
      <c r="J9" s="84">
        <v>0.28921390231944522</v>
      </c>
      <c r="K9" s="84">
        <v>0.23534808637539645</v>
      </c>
      <c r="L9" s="84">
        <v>0.25691851722115377</v>
      </c>
    </row>
    <row r="10" spans="1:12" x14ac:dyDescent="0.2">
      <c r="B10" s="36" t="s">
        <v>84</v>
      </c>
      <c r="C10" s="37">
        <v>17</v>
      </c>
      <c r="F10" s="13" t="s">
        <v>91</v>
      </c>
      <c r="G10" s="84">
        <v>0.87689045062186655</v>
      </c>
      <c r="H10" s="84">
        <v>0.66980307543700268</v>
      </c>
      <c r="I10" s="84">
        <v>0.97991627415795768</v>
      </c>
      <c r="J10" s="84">
        <v>1.1730455601872316</v>
      </c>
      <c r="K10" s="84">
        <v>1.0196775653986354</v>
      </c>
      <c r="L10" s="84">
        <v>0.91624695665381228</v>
      </c>
    </row>
    <row r="11" spans="1:12" x14ac:dyDescent="0.2">
      <c r="B11" s="36" t="s">
        <v>86</v>
      </c>
      <c r="C11" s="37">
        <v>6</v>
      </c>
      <c r="F11" s="13" t="s">
        <v>93</v>
      </c>
      <c r="G11" s="84">
        <v>0.16983581643500795</v>
      </c>
      <c r="H11" s="84">
        <v>0.19177329107224617</v>
      </c>
      <c r="I11" s="84">
        <v>0.15186646372970061</v>
      </c>
      <c r="J11" s="84">
        <v>0.15682825975878545</v>
      </c>
      <c r="K11" s="84">
        <v>0.17687887387820933</v>
      </c>
      <c r="L11" s="84">
        <v>0.16808139543860356</v>
      </c>
    </row>
    <row r="12" spans="1:12" x14ac:dyDescent="0.2">
      <c r="B12" s="36" t="s">
        <v>88</v>
      </c>
      <c r="C12" s="37">
        <v>7</v>
      </c>
      <c r="F12" s="13" t="s">
        <v>95</v>
      </c>
      <c r="G12" s="84">
        <v>5.8555070247364741E-2</v>
      </c>
      <c r="H12" s="84">
        <v>6.3125716017790962E-2</v>
      </c>
      <c r="I12" s="84">
        <v>5.7630315800658055E-2</v>
      </c>
      <c r="J12" s="84">
        <v>9.7818061376090115E-2</v>
      </c>
      <c r="K12" s="84">
        <v>8.8622870366795739E-2</v>
      </c>
      <c r="L12" s="84">
        <v>0.10879762091484337</v>
      </c>
    </row>
    <row r="13" spans="1:12" x14ac:dyDescent="0.2">
      <c r="B13" s="36" t="s">
        <v>90</v>
      </c>
      <c r="C13" s="37">
        <v>12</v>
      </c>
      <c r="F13" s="13" t="s">
        <v>97</v>
      </c>
      <c r="G13" s="84">
        <v>0.15892326001290422</v>
      </c>
      <c r="H13" s="84">
        <v>0.19238886793507745</v>
      </c>
      <c r="I13" s="84">
        <v>0.18694126230935088</v>
      </c>
      <c r="J13" s="84">
        <v>0.18204218158114505</v>
      </c>
      <c r="K13" s="84">
        <v>0.16921437968928468</v>
      </c>
      <c r="L13" s="84">
        <v>0.14100603200792411</v>
      </c>
    </row>
    <row r="14" spans="1:12" x14ac:dyDescent="0.2">
      <c r="B14" s="36" t="s">
        <v>92</v>
      </c>
      <c r="C14" s="37">
        <v>5</v>
      </c>
      <c r="F14" s="13" t="s">
        <v>99</v>
      </c>
      <c r="G14" s="84">
        <v>0.37630659668568406</v>
      </c>
      <c r="H14" s="84">
        <v>0.36833071274010065</v>
      </c>
      <c r="I14" s="84">
        <v>0.35301859374369948</v>
      </c>
      <c r="J14" s="84">
        <v>0.4252418206249608</v>
      </c>
      <c r="K14" s="84">
        <v>0.37487151783761508</v>
      </c>
      <c r="L14" s="84">
        <v>0.41958534091195043</v>
      </c>
    </row>
    <row r="15" spans="1:12" x14ac:dyDescent="0.2">
      <c r="B15" s="36" t="s">
        <v>94</v>
      </c>
      <c r="C15" s="37">
        <v>22</v>
      </c>
      <c r="F15" s="13" t="s">
        <v>101</v>
      </c>
      <c r="G15" s="84">
        <v>3.2984563948453297E-2</v>
      </c>
      <c r="H15" s="84">
        <v>3.1207946994861943E-2</v>
      </c>
      <c r="I15" s="84">
        <v>3.2448465478160091E-2</v>
      </c>
      <c r="J15" s="84">
        <v>3.2594442565829211E-2</v>
      </c>
      <c r="K15" s="84">
        <v>3.2677300467060535E-2</v>
      </c>
      <c r="L15" s="84">
        <v>3.2385841542207208E-2</v>
      </c>
    </row>
    <row r="16" spans="1:12" x14ac:dyDescent="0.2">
      <c r="B16" s="36" t="s">
        <v>96</v>
      </c>
      <c r="C16" s="37">
        <v>11</v>
      </c>
      <c r="F16" s="13" t="s">
        <v>103</v>
      </c>
      <c r="G16" s="84">
        <v>0.41106473814202732</v>
      </c>
      <c r="H16" s="84">
        <v>0.37013303711819356</v>
      </c>
      <c r="I16" s="84">
        <v>0.39799819122170715</v>
      </c>
      <c r="J16" s="84">
        <v>0.44287755696652237</v>
      </c>
      <c r="K16" s="84">
        <v>0.47187789994043794</v>
      </c>
      <c r="L16" s="84">
        <v>0.44773085382100086</v>
      </c>
    </row>
    <row r="17" spans="2:12" x14ac:dyDescent="0.2">
      <c r="B17" s="38" t="s">
        <v>98</v>
      </c>
      <c r="C17" s="35">
        <v>6</v>
      </c>
      <c r="F17" s="13" t="s">
        <v>104</v>
      </c>
      <c r="G17" s="84">
        <v>6.2353621406100922E-2</v>
      </c>
      <c r="H17" s="84">
        <v>6.225882679930432E-2</v>
      </c>
      <c r="I17" s="84">
        <v>8.0283996302895441E-2</v>
      </c>
      <c r="J17" s="84">
        <v>7.2818701005882849E-2</v>
      </c>
      <c r="K17" s="84">
        <v>7.1589441723693706E-2</v>
      </c>
      <c r="L17" s="84">
        <v>7.0392664846316566E-2</v>
      </c>
    </row>
    <row r="18" spans="2:12" x14ac:dyDescent="0.2">
      <c r="B18" s="38" t="s">
        <v>100</v>
      </c>
      <c r="C18" s="35">
        <v>9</v>
      </c>
      <c r="F18" s="13" t="s">
        <v>105</v>
      </c>
      <c r="G18" s="84">
        <v>3.2631101039192938E-3</v>
      </c>
      <c r="H18" s="84">
        <v>3.1677916909777686E-3</v>
      </c>
      <c r="I18" s="84">
        <v>3.3961686360828949E-3</v>
      </c>
      <c r="J18" s="84">
        <v>3.192703252113958E-3</v>
      </c>
      <c r="K18" s="84">
        <v>3.2157672826299464E-3</v>
      </c>
      <c r="L18" s="84">
        <v>3.4083954690198818E-3</v>
      </c>
    </row>
    <row r="19" spans="2:12" x14ac:dyDescent="0.2">
      <c r="B19" s="13" t="s">
        <v>102</v>
      </c>
      <c r="C19" s="39">
        <v>3</v>
      </c>
      <c r="E19" s="1" t="s">
        <v>40</v>
      </c>
      <c r="G19" s="34">
        <f t="shared" ref="G19:L19" si="1">SUM(G20:G33)</f>
        <v>-3.5851089449905742</v>
      </c>
      <c r="H19" s="34">
        <f t="shared" si="1"/>
        <v>-3.7146095146888141</v>
      </c>
      <c r="I19" s="34">
        <f t="shared" si="1"/>
        <v>-3.8149306324833212</v>
      </c>
      <c r="J19" s="34">
        <f t="shared" si="1"/>
        <v>-3.9074684482269029</v>
      </c>
      <c r="K19" s="34">
        <f t="shared" si="1"/>
        <v>-4.2371506546479125</v>
      </c>
      <c r="L19" s="34">
        <f t="shared" si="1"/>
        <v>-4.0326829248158145</v>
      </c>
    </row>
    <row r="20" spans="2:12" x14ac:dyDescent="0.2">
      <c r="B20" s="1" t="s">
        <v>42</v>
      </c>
      <c r="C20" s="40">
        <f>SUM(C4:C5,C17:C19)</f>
        <v>38</v>
      </c>
      <c r="F20" s="13" t="s">
        <v>81</v>
      </c>
      <c r="G20" s="83">
        <v>-4.5787983454266545E-2</v>
      </c>
      <c r="H20" s="83">
        <v>-4.4176474919806301E-2</v>
      </c>
      <c r="I20" s="83">
        <v>-4.9962046390560677E-2</v>
      </c>
      <c r="J20" s="83">
        <v>-8.89958295167943E-2</v>
      </c>
      <c r="K20" s="83">
        <v>-6.6389189920628713E-2</v>
      </c>
      <c r="L20" s="83">
        <v>-7.8020361581889866E-2</v>
      </c>
    </row>
    <row r="21" spans="2:12" x14ac:dyDescent="0.2">
      <c r="B21" s="1"/>
      <c r="C21" s="40"/>
      <c r="F21" s="13" t="s">
        <v>83</v>
      </c>
      <c r="G21" s="83">
        <v>-2.2716940738792577E-2</v>
      </c>
      <c r="H21" s="83">
        <v>-2.0485070490061551E-2</v>
      </c>
      <c r="I21" s="83">
        <v>-2.3605854030182394E-2</v>
      </c>
      <c r="J21" s="83">
        <v>-2.2451627846690705E-2</v>
      </c>
      <c r="K21" s="83">
        <v>-1.2158379011746427E-2</v>
      </c>
      <c r="L21" s="83">
        <v>-2.1466225593883545E-2</v>
      </c>
    </row>
    <row r="22" spans="2:12" x14ac:dyDescent="0.2">
      <c r="B22" s="1" t="s">
        <v>47</v>
      </c>
      <c r="C22" s="24"/>
      <c r="F22" s="13" t="s">
        <v>85</v>
      </c>
      <c r="G22" s="83">
        <v>-6.2491936569687427E-2</v>
      </c>
      <c r="H22" s="83">
        <v>-5.7882373679772683E-2</v>
      </c>
      <c r="I22" s="83">
        <v>-6.033397932265893E-2</v>
      </c>
      <c r="J22" s="83">
        <v>-4.027129775209682E-2</v>
      </c>
      <c r="K22" s="83">
        <v>-3.3216546667232845E-2</v>
      </c>
      <c r="L22" s="83">
        <v>-4.2085950854980819E-2</v>
      </c>
    </row>
    <row r="23" spans="2:12" x14ac:dyDescent="0.2">
      <c r="B23" s="13" t="s">
        <v>106</v>
      </c>
      <c r="C23" s="33">
        <f>SUM(C24:C27)</f>
        <v>95</v>
      </c>
      <c r="F23" s="13" t="s">
        <v>87</v>
      </c>
      <c r="G23" s="83">
        <v>-1.284051631348922E-2</v>
      </c>
      <c r="H23" s="83">
        <v>-1.2866513324740517E-2</v>
      </c>
      <c r="I23" s="83">
        <v>-1.264107809014193E-2</v>
      </c>
      <c r="J23" s="83">
        <v>-1.0787870571361541E-2</v>
      </c>
      <c r="K23" s="83">
        <v>-1.1265374235316157E-2</v>
      </c>
      <c r="L23" s="83">
        <v>-1.1419326680246008E-2</v>
      </c>
    </row>
    <row r="24" spans="2:12" x14ac:dyDescent="0.2">
      <c r="B24" s="36" t="s">
        <v>107</v>
      </c>
      <c r="C24" s="41">
        <v>31</v>
      </c>
      <c r="F24" s="13" t="s">
        <v>111</v>
      </c>
      <c r="G24" s="83">
        <v>-0.60851447427197725</v>
      </c>
      <c r="H24" s="83">
        <v>-0.68890552555404327</v>
      </c>
      <c r="I24" s="83">
        <v>-0.61067282678826063</v>
      </c>
      <c r="J24" s="83">
        <v>-0.60469670090608363</v>
      </c>
      <c r="K24" s="83">
        <v>-0.88629551530754069</v>
      </c>
      <c r="L24" s="83">
        <v>-0.76730116477218546</v>
      </c>
    </row>
    <row r="25" spans="2:12" x14ac:dyDescent="0.2">
      <c r="B25" s="36" t="s">
        <v>108</v>
      </c>
      <c r="C25" s="41">
        <v>26</v>
      </c>
      <c r="F25" s="13" t="s">
        <v>113</v>
      </c>
      <c r="G25" s="83">
        <v>-0.83185201484858007</v>
      </c>
      <c r="H25" s="83">
        <v>-0.95729902262501843</v>
      </c>
      <c r="I25" s="83">
        <v>-0.90157788244181203</v>
      </c>
      <c r="J25" s="83">
        <v>-0.85810685788907759</v>
      </c>
      <c r="K25" s="83">
        <v>-1.0478074361433196</v>
      </c>
      <c r="L25" s="83">
        <v>-1.0862937261073975</v>
      </c>
    </row>
    <row r="26" spans="2:12" x14ac:dyDescent="0.2">
      <c r="B26" s="36" t="s">
        <v>109</v>
      </c>
      <c r="C26" s="41">
        <v>23</v>
      </c>
      <c r="F26" s="13" t="s">
        <v>115</v>
      </c>
      <c r="G26" s="83">
        <v>-8.2994263359306333E-2</v>
      </c>
      <c r="H26" s="83">
        <v>-8.3960821923664164E-2</v>
      </c>
      <c r="I26" s="83">
        <v>-7.7411586789076975E-2</v>
      </c>
      <c r="J26" s="83">
        <v>-7.4653116985785473E-2</v>
      </c>
      <c r="K26" s="83">
        <v>-9.7646325827953448E-2</v>
      </c>
      <c r="L26" s="83">
        <v>-0.10302367666862026</v>
      </c>
    </row>
    <row r="27" spans="2:12" x14ac:dyDescent="0.2">
      <c r="B27" s="36" t="s">
        <v>110</v>
      </c>
      <c r="C27" s="41">
        <v>15</v>
      </c>
      <c r="F27" s="13" t="s">
        <v>117</v>
      </c>
      <c r="G27" s="83">
        <v>-0.32362928328272428</v>
      </c>
      <c r="H27" s="83">
        <v>-0.24877178867460742</v>
      </c>
      <c r="I27" s="83">
        <v>-0.34946731875885378</v>
      </c>
      <c r="J27" s="83">
        <v>-0.34356119102463772</v>
      </c>
      <c r="K27" s="83">
        <v>-0.37538641359667968</v>
      </c>
      <c r="L27" s="83">
        <v>-0.347983297079002</v>
      </c>
    </row>
    <row r="28" spans="2:12" x14ac:dyDescent="0.2">
      <c r="B28" s="13" t="s">
        <v>112</v>
      </c>
      <c r="C28" s="35">
        <v>2</v>
      </c>
      <c r="F28" s="13" t="s">
        <v>119</v>
      </c>
      <c r="G28" s="83">
        <v>-0.49580422859420425</v>
      </c>
      <c r="H28" s="83">
        <v>-0.46743481979495155</v>
      </c>
      <c r="I28" s="83">
        <v>-0.43467960562609426</v>
      </c>
      <c r="J28" s="83">
        <v>-0.6237915450158269</v>
      </c>
      <c r="K28" s="83">
        <v>-0.54694973907805755</v>
      </c>
      <c r="L28" s="83">
        <v>-0.57081552406270719</v>
      </c>
    </row>
    <row r="29" spans="2:12" x14ac:dyDescent="0.2">
      <c r="B29" s="13" t="s">
        <v>114</v>
      </c>
      <c r="C29" s="35">
        <v>0</v>
      </c>
      <c r="F29" s="13" t="s">
        <v>120</v>
      </c>
      <c r="G29" s="83">
        <v>-1.7568035595994676E-2</v>
      </c>
      <c r="H29" s="83">
        <v>-1.7344676617802139E-2</v>
      </c>
      <c r="I29" s="83">
        <v>-1.9442713909478236E-2</v>
      </c>
      <c r="J29" s="83">
        <v>-1.5460604237671241E-2</v>
      </c>
      <c r="K29" s="83">
        <v>-1.9948981776526865E-2</v>
      </c>
      <c r="L29" s="83">
        <v>-1.6935154675900576E-2</v>
      </c>
    </row>
    <row r="30" spans="2:12" x14ac:dyDescent="0.2">
      <c r="B30" s="13" t="s">
        <v>116</v>
      </c>
      <c r="C30" s="35">
        <v>5</v>
      </c>
      <c r="F30" s="13" t="s">
        <v>121</v>
      </c>
      <c r="G30" s="83">
        <v>-0.7758834509939343</v>
      </c>
      <c r="H30" s="83">
        <v>-0.83001723975579045</v>
      </c>
      <c r="I30" s="83">
        <v>-0.94468987220005596</v>
      </c>
      <c r="J30" s="83">
        <v>-1.002540458172922</v>
      </c>
      <c r="K30" s="83">
        <v>-0.91435476319933762</v>
      </c>
      <c r="L30" s="83">
        <v>-0.75011208574764154</v>
      </c>
    </row>
    <row r="31" spans="2:12" x14ac:dyDescent="0.2">
      <c r="B31" s="13" t="s">
        <v>118</v>
      </c>
      <c r="C31" s="39">
        <v>18</v>
      </c>
      <c r="F31" s="13" t="s">
        <v>122</v>
      </c>
      <c r="G31" s="83">
        <v>-3.8825215731052382E-2</v>
      </c>
      <c r="H31" s="83">
        <v>-3.8026902117616931E-2</v>
      </c>
      <c r="I31" s="83">
        <v>-3.3466918336614651E-2</v>
      </c>
      <c r="J31" s="83">
        <v>-4.0688412850548548E-2</v>
      </c>
      <c r="K31" s="83">
        <v>-3.5941759119071701E-2</v>
      </c>
      <c r="L31" s="83">
        <v>-3.5327220321554539E-2</v>
      </c>
    </row>
    <row r="32" spans="2:12" x14ac:dyDescent="0.2">
      <c r="B32" s="1" t="s">
        <v>61</v>
      </c>
      <c r="C32" s="40">
        <f>SUM(C23,C28:C31)</f>
        <v>120</v>
      </c>
      <c r="F32" s="13" t="s">
        <v>56</v>
      </c>
      <c r="G32" s="83">
        <v>-0.23111880966384274</v>
      </c>
      <c r="H32" s="83">
        <v>-0.22687395054375667</v>
      </c>
      <c r="I32" s="83">
        <v>-0.26770347396682392</v>
      </c>
      <c r="J32" s="83">
        <v>-0.14927390731308238</v>
      </c>
      <c r="K32" s="83">
        <v>-0.15861760809456385</v>
      </c>
      <c r="L32" s="83">
        <v>-0.17192482260144495</v>
      </c>
    </row>
    <row r="33" spans="3:12" x14ac:dyDescent="0.2">
      <c r="C33" s="42"/>
      <c r="F33" s="13" t="s">
        <v>123</v>
      </c>
      <c r="G33" s="83">
        <v>-3.5081791572722218E-2</v>
      </c>
      <c r="H33" s="83">
        <v>-2.0564334667182337E-2</v>
      </c>
      <c r="I33" s="83">
        <v>-2.9275475832706628E-2</v>
      </c>
      <c r="J33" s="83">
        <v>-3.2189028144323943E-2</v>
      </c>
      <c r="K33" s="83">
        <v>-3.1172622669937831E-2</v>
      </c>
      <c r="L33" s="83">
        <v>-2.9974388068359888E-2</v>
      </c>
    </row>
    <row r="34" spans="3:12" x14ac:dyDescent="0.2">
      <c r="C34" s="42"/>
      <c r="E34" s="1" t="s">
        <v>62</v>
      </c>
      <c r="G34" s="34">
        <f t="shared" ref="G34:L34" si="2">G4+G19</f>
        <v>-0.64153038748479352</v>
      </c>
      <c r="H34" s="34">
        <f t="shared" si="2"/>
        <v>-0.85808527778957444</v>
      </c>
      <c r="I34" s="34">
        <f t="shared" si="2"/>
        <v>-0.67603929926342232</v>
      </c>
      <c r="J34" s="34">
        <f t="shared" si="2"/>
        <v>-0.39959638587271407</v>
      </c>
      <c r="K34" s="34">
        <f t="shared" si="2"/>
        <v>-0.96896234007278492</v>
      </c>
      <c r="L34" s="34">
        <f t="shared" si="2"/>
        <v>-0.873424954504463</v>
      </c>
    </row>
    <row r="35" spans="3:12" x14ac:dyDescent="0.2">
      <c r="C35" s="42"/>
      <c r="F35" s="13" t="s">
        <v>242</v>
      </c>
      <c r="G35" s="83">
        <f>C4</f>
        <v>3</v>
      </c>
      <c r="H35" s="83">
        <f>G37</f>
        <v>2.6584696125152063</v>
      </c>
      <c r="I35" s="83">
        <f>H37</f>
        <v>2.1003843347256317</v>
      </c>
      <c r="J35" s="83">
        <f>I37</f>
        <v>1.7243450354622094</v>
      </c>
      <c r="K35" s="83">
        <f>J37</f>
        <v>1.6247486495894954</v>
      </c>
      <c r="L35" s="83">
        <f>K37</f>
        <v>0.95578630951671051</v>
      </c>
    </row>
    <row r="36" spans="3:12" ht="15" customHeight="1" x14ac:dyDescent="0.2">
      <c r="C36" s="42"/>
      <c r="F36" s="13" t="s">
        <v>65</v>
      </c>
      <c r="G36" s="83">
        <v>0.3</v>
      </c>
      <c r="H36" s="83">
        <v>0.3</v>
      </c>
      <c r="I36" s="83">
        <v>0.3</v>
      </c>
      <c r="J36" s="83">
        <v>0.3</v>
      </c>
      <c r="K36" s="83">
        <v>0.3</v>
      </c>
      <c r="L36" s="83">
        <v>0.3</v>
      </c>
    </row>
    <row r="37" spans="3:12" x14ac:dyDescent="0.2">
      <c r="C37" s="42"/>
      <c r="E37" s="1" t="s">
        <v>124</v>
      </c>
      <c r="G37" s="34">
        <f t="shared" ref="G37:L37" si="3">SUM(G34:G36)</f>
        <v>2.6584696125152063</v>
      </c>
      <c r="H37" s="34">
        <f t="shared" si="3"/>
        <v>2.1003843347256317</v>
      </c>
      <c r="I37" s="34">
        <f t="shared" si="3"/>
        <v>1.7243450354622094</v>
      </c>
      <c r="J37" s="34">
        <f t="shared" si="3"/>
        <v>1.6247486495894954</v>
      </c>
      <c r="K37" s="34">
        <f t="shared" si="3"/>
        <v>0.95578630951671051</v>
      </c>
      <c r="L37" s="34">
        <f t="shared" si="3"/>
        <v>0.38236135501224749</v>
      </c>
    </row>
    <row r="38" spans="3:12" x14ac:dyDescent="0.2">
      <c r="C38" s="42"/>
    </row>
    <row r="39" spans="3:12" x14ac:dyDescent="0.2">
      <c r="C39" s="42"/>
    </row>
  </sheetData>
  <pageMargins left="0.7" right="0.7" top="0.75" bottom="0.75" header="0.3" footer="0.3"/>
  <pageSetup orientation="portrait" horizontalDpi="4294967294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63FEC-9557-5E40-821E-5D33D480C296}">
  <sheetPr>
    <tabColor rgb="FFFFFF00"/>
  </sheetPr>
  <dimension ref="B2:H9"/>
  <sheetViews>
    <sheetView workbookViewId="0"/>
  </sheetViews>
  <sheetFormatPr baseColWidth="10" defaultRowHeight="26" x14ac:dyDescent="0.3"/>
  <cols>
    <col min="1" max="16384" width="10.83203125" style="86"/>
  </cols>
  <sheetData>
    <row r="2" spans="2:8" x14ac:dyDescent="0.3">
      <c r="B2" s="89" t="s">
        <v>248</v>
      </c>
      <c r="C2" s="88"/>
      <c r="D2" s="88"/>
      <c r="E2" s="88"/>
      <c r="F2" s="88"/>
      <c r="G2" s="88"/>
      <c r="H2" s="88"/>
    </row>
    <row r="3" spans="2:8" x14ac:dyDescent="0.3">
      <c r="B3" s="56" t="s">
        <v>247</v>
      </c>
      <c r="C3" s="88"/>
      <c r="D3" s="88"/>
      <c r="E3" s="88"/>
      <c r="F3" s="88"/>
      <c r="G3" s="88"/>
      <c r="H3" s="88"/>
    </row>
    <row r="4" spans="2:8" x14ac:dyDescent="0.3">
      <c r="B4" s="88"/>
      <c r="C4" s="88"/>
      <c r="D4" s="88"/>
      <c r="E4" s="88"/>
      <c r="F4" s="88"/>
      <c r="G4" s="88"/>
      <c r="H4" s="88"/>
    </row>
    <row r="5" spans="2:8" x14ac:dyDescent="0.3">
      <c r="B5" s="88"/>
      <c r="C5" s="88"/>
      <c r="D5" s="88"/>
      <c r="E5" s="88"/>
      <c r="F5" s="88"/>
      <c r="G5" s="88"/>
      <c r="H5" s="88"/>
    </row>
    <row r="6" spans="2:8" x14ac:dyDescent="0.3">
      <c r="B6" s="88"/>
      <c r="C6" s="88"/>
      <c r="D6" s="88"/>
      <c r="E6" s="88"/>
      <c r="F6" s="88"/>
      <c r="G6" s="88"/>
      <c r="H6" s="88"/>
    </row>
    <row r="7" spans="2:8" x14ac:dyDescent="0.3">
      <c r="B7" s="88"/>
      <c r="C7" s="88"/>
      <c r="D7" s="88"/>
      <c r="E7" s="88"/>
      <c r="F7" s="88"/>
      <c r="G7" s="88"/>
      <c r="H7" s="88"/>
    </row>
    <row r="8" spans="2:8" x14ac:dyDescent="0.3">
      <c r="B8" s="86" t="s">
        <v>246</v>
      </c>
    </row>
    <row r="9" spans="2:8" x14ac:dyDescent="0.3">
      <c r="B9" s="87"/>
    </row>
  </sheetData>
  <hyperlinks>
    <hyperlink ref="B3" r:id="rId1" xr:uid="{595ADF1D-2881-C24A-A57A-0A6C4ECB82A1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18037-EFA1-A447-85FD-674E2E2F077C}">
  <sheetPr>
    <tabColor rgb="FFFFFF00"/>
  </sheetPr>
  <dimension ref="B2:AE36"/>
  <sheetViews>
    <sheetView zoomScale="70" zoomScaleNormal="70" workbookViewId="0"/>
  </sheetViews>
  <sheetFormatPr baseColWidth="10" defaultColWidth="8.83203125" defaultRowHeight="26" x14ac:dyDescent="0.3"/>
  <cols>
    <col min="1" max="1" width="8.83203125" style="88"/>
    <col min="2" max="2" width="8.83203125" style="88" customWidth="1"/>
    <col min="3" max="3" width="10.83203125" style="88" customWidth="1"/>
    <col min="4" max="4" width="16" style="88" bestFit="1" customWidth="1"/>
    <col min="5" max="6" width="8.83203125" style="88"/>
    <col min="7" max="7" width="12.6640625" style="88" customWidth="1"/>
    <col min="8" max="12" width="8.83203125" style="88"/>
    <col min="13" max="13" width="11.1640625" style="88" bestFit="1" customWidth="1"/>
    <col min="14" max="14" width="14.33203125" style="88" customWidth="1"/>
    <col min="15" max="15" width="17.33203125" style="88" customWidth="1"/>
    <col min="16" max="16" width="16.33203125" style="88" customWidth="1"/>
    <col min="17" max="26" width="8.83203125" style="88"/>
    <col min="27" max="27" width="13.33203125" style="88" customWidth="1"/>
    <col min="28" max="16384" width="8.83203125" style="88"/>
  </cols>
  <sheetData>
    <row r="2" spans="2:31" x14ac:dyDescent="0.3">
      <c r="B2" s="76" t="str">
        <f t="shared" ref="B2:K6" ca="1" si="0">VLOOKUP(RANDBETWEEN(1,4),table_asf,2,0)</f>
        <v>Amount</v>
      </c>
      <c r="C2" s="76" t="str">
        <f t="shared" ca="1" si="0"/>
        <v>Amount</v>
      </c>
      <c r="D2" s="76" t="str">
        <f t="shared" ca="1" si="0"/>
        <v>Amount</v>
      </c>
      <c r="E2" s="76" t="str">
        <f t="shared" ca="1" si="0"/>
        <v>of</v>
      </c>
      <c r="F2" s="76" t="str">
        <f t="shared" ca="1" si="0"/>
        <v>Funding</v>
      </c>
      <c r="G2" s="76" t="str">
        <f t="shared" ca="1" si="0"/>
        <v>Stable</v>
      </c>
      <c r="H2" s="76" t="str">
        <f t="shared" ca="1" si="0"/>
        <v>Stable</v>
      </c>
      <c r="I2" s="76" t="str">
        <f t="shared" ca="1" si="0"/>
        <v>Amount</v>
      </c>
      <c r="J2" s="76" t="str">
        <f t="shared" ca="1" si="0"/>
        <v>of</v>
      </c>
      <c r="K2" s="76" t="str">
        <f t="shared" ca="1" si="0"/>
        <v>Funding</v>
      </c>
      <c r="L2" s="76" t="str">
        <f t="shared" ref="L2:U6" ca="1" si="1">VLOOKUP(RANDBETWEEN(1,4),table_asf,2,0)</f>
        <v>Amount</v>
      </c>
      <c r="M2" s="76" t="str">
        <f t="shared" ca="1" si="1"/>
        <v>of</v>
      </c>
      <c r="N2" s="76" t="str">
        <f t="shared" ca="1" si="1"/>
        <v>Stable</v>
      </c>
      <c r="O2" s="76" t="str">
        <f t="shared" ca="1" si="1"/>
        <v>Stable</v>
      </c>
      <c r="P2" s="76" t="str">
        <f t="shared" ca="1" si="1"/>
        <v>of</v>
      </c>
      <c r="Q2" s="76" t="str">
        <f t="shared" ca="1" si="1"/>
        <v>Amount</v>
      </c>
      <c r="R2" s="76" t="str">
        <f t="shared" ca="1" si="1"/>
        <v>Stable</v>
      </c>
      <c r="S2" s="76" t="str">
        <f t="shared" ca="1" si="1"/>
        <v>Stable</v>
      </c>
      <c r="T2" s="76" t="str">
        <f t="shared" ca="1" si="1"/>
        <v>Stable</v>
      </c>
      <c r="U2" s="76" t="str">
        <f t="shared" ca="1" si="1"/>
        <v>Funding</v>
      </c>
      <c r="V2" s="76" t="str">
        <f t="shared" ref="V2:AE6" ca="1" si="2">VLOOKUP(RANDBETWEEN(1,4),table_asf,2,0)</f>
        <v>of</v>
      </c>
      <c r="W2" s="76" t="str">
        <f t="shared" ca="1" si="2"/>
        <v>of</v>
      </c>
      <c r="X2" s="76" t="str">
        <f t="shared" ca="1" si="2"/>
        <v>of</v>
      </c>
      <c r="Y2" s="76" t="str">
        <f t="shared" ca="1" si="2"/>
        <v>Funding</v>
      </c>
      <c r="Z2" s="76" t="str">
        <f t="shared" ca="1" si="2"/>
        <v>Amount</v>
      </c>
      <c r="AA2" s="76" t="str">
        <f t="shared" ca="1" si="2"/>
        <v>Stable</v>
      </c>
      <c r="AB2" s="76" t="str">
        <f t="shared" ca="1" si="2"/>
        <v>Amount</v>
      </c>
      <c r="AC2" s="76" t="str">
        <f t="shared" ca="1" si="2"/>
        <v>of</v>
      </c>
      <c r="AD2" s="76" t="str">
        <f t="shared" ca="1" si="2"/>
        <v>Funding</v>
      </c>
      <c r="AE2" s="76" t="str">
        <f t="shared" ca="1" si="2"/>
        <v>Funding</v>
      </c>
    </row>
    <row r="3" spans="2:31" x14ac:dyDescent="0.3">
      <c r="B3" s="76" t="str">
        <f t="shared" ca="1" si="0"/>
        <v>Amount</v>
      </c>
      <c r="C3" s="76" t="str">
        <f t="shared" ca="1" si="0"/>
        <v>Amount</v>
      </c>
      <c r="D3" s="76" t="str">
        <f t="shared" ca="1" si="0"/>
        <v>of</v>
      </c>
      <c r="E3" s="76" t="str">
        <f t="shared" ca="1" si="0"/>
        <v>Amount</v>
      </c>
      <c r="F3" s="76" t="str">
        <f t="shared" ca="1" si="0"/>
        <v>of</v>
      </c>
      <c r="G3" s="76" t="str">
        <f t="shared" ca="1" si="0"/>
        <v>Funding</v>
      </c>
      <c r="H3" s="76" t="str">
        <f t="shared" ca="1" si="0"/>
        <v>Amount</v>
      </c>
      <c r="I3" s="76" t="str">
        <f t="shared" ca="1" si="0"/>
        <v>Amount</v>
      </c>
      <c r="J3" s="76" t="str">
        <f t="shared" ca="1" si="0"/>
        <v>of</v>
      </c>
      <c r="K3" s="76" t="str">
        <f t="shared" ca="1" si="0"/>
        <v>Amount</v>
      </c>
      <c r="L3" s="76" t="str">
        <f t="shared" ca="1" si="1"/>
        <v>Funding</v>
      </c>
      <c r="M3" s="76" t="str">
        <f t="shared" ca="1" si="1"/>
        <v>Funding</v>
      </c>
      <c r="N3" s="76" t="str">
        <f t="shared" ca="1" si="1"/>
        <v>of</v>
      </c>
      <c r="O3" s="76" t="str">
        <f t="shared" ca="1" si="1"/>
        <v>of</v>
      </c>
      <c r="P3" s="76" t="str">
        <f t="shared" ca="1" si="1"/>
        <v>of</v>
      </c>
      <c r="Q3" s="76" t="str">
        <f t="shared" ca="1" si="1"/>
        <v>Stable</v>
      </c>
      <c r="R3" s="76" t="str">
        <f t="shared" ca="1" si="1"/>
        <v>Amount</v>
      </c>
      <c r="S3" s="76" t="str">
        <f t="shared" ca="1" si="1"/>
        <v>Stable</v>
      </c>
      <c r="T3" s="76" t="str">
        <f t="shared" ca="1" si="1"/>
        <v>Stable</v>
      </c>
      <c r="U3" s="76" t="str">
        <f t="shared" ca="1" si="1"/>
        <v>Stable</v>
      </c>
      <c r="V3" s="76" t="str">
        <f t="shared" ca="1" si="2"/>
        <v>Stable</v>
      </c>
      <c r="W3" s="76" t="str">
        <f t="shared" ca="1" si="2"/>
        <v>of</v>
      </c>
      <c r="X3" s="76" t="str">
        <f t="shared" ca="1" si="2"/>
        <v>Funding</v>
      </c>
      <c r="Y3" s="76" t="str">
        <f t="shared" ca="1" si="2"/>
        <v>Funding</v>
      </c>
      <c r="Z3" s="76" t="str">
        <f t="shared" ca="1" si="2"/>
        <v>Amount</v>
      </c>
      <c r="AA3" s="76" t="str">
        <f t="shared" ca="1" si="2"/>
        <v>Amount</v>
      </c>
      <c r="AB3" s="76" t="str">
        <f t="shared" ca="1" si="2"/>
        <v>of</v>
      </c>
      <c r="AC3" s="76" t="str">
        <f t="shared" ca="1" si="2"/>
        <v>Funding</v>
      </c>
      <c r="AD3" s="76" t="str">
        <f t="shared" ca="1" si="2"/>
        <v>of</v>
      </c>
      <c r="AE3" s="76" t="str">
        <f t="shared" ca="1" si="2"/>
        <v>Stable</v>
      </c>
    </row>
    <row r="4" spans="2:31" x14ac:dyDescent="0.3">
      <c r="B4" s="76" t="str">
        <f t="shared" ca="1" si="0"/>
        <v>of</v>
      </c>
      <c r="C4" s="76" t="str">
        <f t="shared" ca="1" si="0"/>
        <v>Funding</v>
      </c>
      <c r="D4" s="76" t="str">
        <f t="shared" ca="1" si="0"/>
        <v>of</v>
      </c>
      <c r="E4" s="76" t="str">
        <f t="shared" ca="1" si="0"/>
        <v>Funding</v>
      </c>
      <c r="F4" s="76" t="str">
        <f t="shared" ca="1" si="0"/>
        <v>of</v>
      </c>
      <c r="G4" s="76" t="str">
        <f t="shared" ca="1" si="0"/>
        <v>Amount</v>
      </c>
      <c r="H4" s="76" t="str">
        <f t="shared" ca="1" si="0"/>
        <v>Funding</v>
      </c>
      <c r="I4" s="76" t="str">
        <f t="shared" ca="1" si="0"/>
        <v>of</v>
      </c>
      <c r="J4" s="76" t="str">
        <f t="shared" ca="1" si="0"/>
        <v>Amount</v>
      </c>
      <c r="K4" s="76" t="str">
        <f t="shared" ca="1" si="0"/>
        <v>Stable</v>
      </c>
      <c r="L4" s="76" t="str">
        <f t="shared" ca="1" si="1"/>
        <v>Funding</v>
      </c>
      <c r="M4" s="76" t="str">
        <f t="shared" ca="1" si="1"/>
        <v>Amount</v>
      </c>
      <c r="N4" s="76" t="str">
        <f t="shared" ca="1" si="1"/>
        <v>Funding</v>
      </c>
      <c r="O4" s="76" t="str">
        <f t="shared" ca="1" si="1"/>
        <v>Amount</v>
      </c>
      <c r="P4" s="76" t="str">
        <f t="shared" ca="1" si="1"/>
        <v>of</v>
      </c>
      <c r="Q4" s="76" t="str">
        <f t="shared" ca="1" si="1"/>
        <v>Amount</v>
      </c>
      <c r="R4" s="76" t="str">
        <f t="shared" ca="1" si="1"/>
        <v>Stable</v>
      </c>
      <c r="S4" s="76" t="str">
        <f t="shared" ca="1" si="1"/>
        <v>Funding</v>
      </c>
      <c r="T4" s="76" t="str">
        <f t="shared" ca="1" si="1"/>
        <v>of</v>
      </c>
      <c r="U4" s="76" t="str">
        <f t="shared" ca="1" si="1"/>
        <v>of</v>
      </c>
      <c r="V4" s="76" t="str">
        <f t="shared" ca="1" si="2"/>
        <v>Stable</v>
      </c>
      <c r="W4" s="76" t="str">
        <f t="shared" ca="1" si="2"/>
        <v>Amount</v>
      </c>
      <c r="X4" s="76" t="str">
        <f t="shared" ca="1" si="2"/>
        <v>Stable</v>
      </c>
      <c r="Y4" s="76" t="str">
        <f t="shared" ca="1" si="2"/>
        <v>of</v>
      </c>
      <c r="Z4" s="76" t="str">
        <f t="shared" ca="1" si="2"/>
        <v>Funding</v>
      </c>
      <c r="AA4" s="76" t="str">
        <f t="shared" ca="1" si="2"/>
        <v>Stable</v>
      </c>
      <c r="AB4" s="76" t="str">
        <f t="shared" ca="1" si="2"/>
        <v>Amount</v>
      </c>
      <c r="AC4" s="76" t="str">
        <f t="shared" ca="1" si="2"/>
        <v>of</v>
      </c>
      <c r="AD4" s="76" t="str">
        <f t="shared" ca="1" si="2"/>
        <v>Stable</v>
      </c>
      <c r="AE4" s="76" t="str">
        <f t="shared" ca="1" si="2"/>
        <v>Stable</v>
      </c>
    </row>
    <row r="5" spans="2:31" x14ac:dyDescent="0.3">
      <c r="B5" s="76" t="str">
        <f t="shared" ca="1" si="0"/>
        <v>Stable</v>
      </c>
      <c r="C5" s="76" t="str">
        <f t="shared" ca="1" si="0"/>
        <v>of</v>
      </c>
      <c r="D5" s="76" t="str">
        <f t="shared" ca="1" si="0"/>
        <v>Funding</v>
      </c>
      <c r="E5" s="76" t="str">
        <f t="shared" ca="1" si="0"/>
        <v>Amount</v>
      </c>
      <c r="F5" s="76" t="str">
        <f t="shared" ca="1" si="0"/>
        <v>of</v>
      </c>
      <c r="G5" s="76" t="str">
        <f t="shared" ca="1" si="0"/>
        <v>Amount</v>
      </c>
      <c r="H5" s="76" t="str">
        <f t="shared" ca="1" si="0"/>
        <v>Amount</v>
      </c>
      <c r="I5" s="76" t="str">
        <f t="shared" ca="1" si="0"/>
        <v>Amount</v>
      </c>
      <c r="J5" s="76" t="str">
        <f t="shared" ca="1" si="0"/>
        <v>of</v>
      </c>
      <c r="K5" s="76" t="str">
        <f t="shared" ca="1" si="0"/>
        <v>Amount</v>
      </c>
      <c r="L5" s="76" t="str">
        <f t="shared" ca="1" si="1"/>
        <v>Stable</v>
      </c>
      <c r="M5" s="76" t="str">
        <f t="shared" ca="1" si="1"/>
        <v>of</v>
      </c>
      <c r="N5" s="76" t="str">
        <f t="shared" ca="1" si="1"/>
        <v>Stable</v>
      </c>
      <c r="O5" s="76" t="str">
        <f t="shared" ca="1" si="1"/>
        <v>of</v>
      </c>
      <c r="P5" s="76" t="str">
        <f t="shared" ca="1" si="1"/>
        <v>of</v>
      </c>
      <c r="Q5" s="76" t="str">
        <f t="shared" ca="1" si="1"/>
        <v>Amount</v>
      </c>
      <c r="R5" s="76" t="str">
        <f t="shared" ca="1" si="1"/>
        <v>Amount</v>
      </c>
      <c r="S5" s="76" t="str">
        <f t="shared" ca="1" si="1"/>
        <v>Stable</v>
      </c>
      <c r="T5" s="76" t="str">
        <f t="shared" ca="1" si="1"/>
        <v>Stable</v>
      </c>
      <c r="U5" s="76" t="str">
        <f t="shared" ca="1" si="1"/>
        <v>Stable</v>
      </c>
      <c r="V5" s="76" t="str">
        <f t="shared" ca="1" si="2"/>
        <v>Stable</v>
      </c>
      <c r="W5" s="76" t="str">
        <f t="shared" ca="1" si="2"/>
        <v>Funding</v>
      </c>
      <c r="X5" s="76" t="str">
        <f t="shared" ca="1" si="2"/>
        <v>Amount</v>
      </c>
      <c r="Y5" s="76" t="str">
        <f t="shared" ca="1" si="2"/>
        <v>Stable</v>
      </c>
      <c r="Z5" s="76" t="str">
        <f t="shared" ca="1" si="2"/>
        <v>Stable</v>
      </c>
      <c r="AA5" s="76" t="str">
        <f t="shared" ca="1" si="2"/>
        <v>Funding</v>
      </c>
      <c r="AB5" s="76" t="str">
        <f t="shared" ca="1" si="2"/>
        <v>of</v>
      </c>
      <c r="AC5" s="76" t="str">
        <f t="shared" ca="1" si="2"/>
        <v>Stable</v>
      </c>
      <c r="AD5" s="76" t="str">
        <f t="shared" ca="1" si="2"/>
        <v>of</v>
      </c>
      <c r="AE5" s="76" t="str">
        <f t="shared" ca="1" si="2"/>
        <v>Funding</v>
      </c>
    </row>
    <row r="6" spans="2:31" x14ac:dyDescent="0.3">
      <c r="B6" s="76" t="str">
        <f t="shared" ca="1" si="0"/>
        <v>Funding</v>
      </c>
      <c r="C6" s="76" t="str">
        <f t="shared" ca="1" si="0"/>
        <v>Funding</v>
      </c>
      <c r="D6" s="76" t="str">
        <f t="shared" ca="1" si="0"/>
        <v>of</v>
      </c>
      <c r="E6" s="76" t="str">
        <f t="shared" ca="1" si="0"/>
        <v>of</v>
      </c>
      <c r="F6" s="76" t="str">
        <f t="shared" ca="1" si="0"/>
        <v>Funding</v>
      </c>
      <c r="G6" s="76" t="str">
        <f t="shared" ca="1" si="0"/>
        <v>Funding</v>
      </c>
      <c r="H6" s="76" t="str">
        <f t="shared" ca="1" si="0"/>
        <v>Stable</v>
      </c>
      <c r="I6" s="76" t="str">
        <f t="shared" ca="1" si="0"/>
        <v>Funding</v>
      </c>
      <c r="J6" s="76" t="str">
        <f t="shared" ca="1" si="0"/>
        <v>of</v>
      </c>
      <c r="K6" s="76" t="str">
        <f t="shared" ca="1" si="0"/>
        <v>Amount</v>
      </c>
      <c r="L6" s="76" t="str">
        <f t="shared" ca="1" si="1"/>
        <v>of</v>
      </c>
      <c r="M6" s="76" t="str">
        <f t="shared" ca="1" si="1"/>
        <v>Stable</v>
      </c>
      <c r="N6" s="76" t="str">
        <f t="shared" ca="1" si="1"/>
        <v>Funding</v>
      </c>
      <c r="O6" s="76" t="str">
        <f t="shared" ca="1" si="1"/>
        <v>Amount</v>
      </c>
      <c r="P6" s="76" t="str">
        <f t="shared" ca="1" si="1"/>
        <v>Stable</v>
      </c>
      <c r="Q6" s="76" t="str">
        <f t="shared" ca="1" si="1"/>
        <v>of</v>
      </c>
      <c r="R6" s="76" t="str">
        <f t="shared" ca="1" si="1"/>
        <v>of</v>
      </c>
      <c r="S6" s="76" t="str">
        <f t="shared" ca="1" si="1"/>
        <v>Amount</v>
      </c>
      <c r="T6" s="76" t="str">
        <f t="shared" ca="1" si="1"/>
        <v>Stable</v>
      </c>
      <c r="U6" s="76" t="str">
        <f t="shared" ca="1" si="1"/>
        <v>of</v>
      </c>
      <c r="V6" s="76" t="str">
        <f t="shared" ca="1" si="2"/>
        <v>Funding</v>
      </c>
      <c r="W6" s="76" t="str">
        <f t="shared" ca="1" si="2"/>
        <v>Stable</v>
      </c>
      <c r="X6" s="76" t="str">
        <f t="shared" ca="1" si="2"/>
        <v>Stable</v>
      </c>
      <c r="Y6" s="76" t="str">
        <f t="shared" ca="1" si="2"/>
        <v>Funding</v>
      </c>
      <c r="Z6" s="76" t="str">
        <f t="shared" ca="1" si="2"/>
        <v>of</v>
      </c>
      <c r="AA6" s="76" t="str">
        <f t="shared" ca="1" si="2"/>
        <v>Funding</v>
      </c>
      <c r="AB6" s="76" t="str">
        <f t="shared" ca="1" si="2"/>
        <v>Funding</v>
      </c>
      <c r="AC6" s="76" t="str">
        <f t="shared" ca="1" si="2"/>
        <v>of</v>
      </c>
      <c r="AD6" s="76" t="str">
        <f t="shared" ca="1" si="2"/>
        <v>Amount</v>
      </c>
      <c r="AE6" s="76" t="str">
        <f t="shared" ca="1" si="2"/>
        <v>Stable</v>
      </c>
    </row>
    <row r="7" spans="2:31" ht="26" customHeight="1" x14ac:dyDescent="0.3">
      <c r="B7" s="76" t="str">
        <f t="shared" ref="B7:M13" ca="1" si="3">VLOOKUP(RANDBETWEEN(1,4),table_asf,2,0)</f>
        <v>Amount</v>
      </c>
      <c r="C7" s="76" t="str">
        <f t="shared" ca="1" si="3"/>
        <v>Amount</v>
      </c>
      <c r="D7" s="76" t="str">
        <f t="shared" ca="1" si="3"/>
        <v>Stable</v>
      </c>
      <c r="E7" s="76" t="str">
        <f t="shared" ca="1" si="3"/>
        <v>of</v>
      </c>
      <c r="F7" s="76" t="str">
        <f t="shared" ca="1" si="3"/>
        <v>Funding</v>
      </c>
      <c r="G7" s="76" t="str">
        <f t="shared" ca="1" si="3"/>
        <v>Stable</v>
      </c>
      <c r="H7" s="76" t="str">
        <f t="shared" ca="1" si="3"/>
        <v>Amount</v>
      </c>
      <c r="I7" s="76" t="str">
        <f t="shared" ca="1" si="3"/>
        <v>of</v>
      </c>
      <c r="J7" s="76" t="str">
        <f t="shared" ca="1" si="3"/>
        <v>of</v>
      </c>
      <c r="K7" s="76" t="str">
        <f t="shared" ca="1" si="3"/>
        <v>Funding</v>
      </c>
      <c r="L7" s="76" t="str">
        <f t="shared" ca="1" si="3"/>
        <v>Amount</v>
      </c>
      <c r="M7" s="76" t="str">
        <f t="shared" ca="1" si="3"/>
        <v>Funding</v>
      </c>
      <c r="N7" s="144" t="s">
        <v>275</v>
      </c>
      <c r="O7" s="144"/>
      <c r="P7" s="144"/>
      <c r="Q7" s="76" t="str">
        <f t="shared" ref="Q7:AE13" ca="1" si="4">VLOOKUP(RANDBETWEEN(1,4),table_asf,2,0)</f>
        <v>of</v>
      </c>
      <c r="R7" s="76" t="str">
        <f t="shared" ca="1" si="4"/>
        <v>Funding</v>
      </c>
      <c r="S7" s="76" t="str">
        <f t="shared" ca="1" si="4"/>
        <v>of</v>
      </c>
      <c r="T7" s="76" t="str">
        <f t="shared" ca="1" si="4"/>
        <v>Funding</v>
      </c>
      <c r="U7" s="76" t="str">
        <f t="shared" ca="1" si="4"/>
        <v>of</v>
      </c>
      <c r="V7" s="76" t="str">
        <f t="shared" ca="1" si="4"/>
        <v>of</v>
      </c>
      <c r="W7" s="76" t="str">
        <f t="shared" ca="1" si="4"/>
        <v>Stable</v>
      </c>
      <c r="X7" s="76" t="str">
        <f t="shared" ca="1" si="4"/>
        <v>of</v>
      </c>
      <c r="Y7" s="76" t="str">
        <f t="shared" ca="1" si="4"/>
        <v>of</v>
      </c>
      <c r="Z7" s="76" t="str">
        <f t="shared" ca="1" si="4"/>
        <v>Funding</v>
      </c>
      <c r="AA7" s="76" t="str">
        <f t="shared" ca="1" si="4"/>
        <v>Amount</v>
      </c>
      <c r="AB7" s="76" t="str">
        <f t="shared" ca="1" si="4"/>
        <v>of</v>
      </c>
      <c r="AC7" s="76" t="str">
        <f t="shared" ca="1" si="4"/>
        <v>of</v>
      </c>
      <c r="AD7" s="76" t="str">
        <f t="shared" ca="1" si="4"/>
        <v>of</v>
      </c>
      <c r="AE7" s="76" t="str">
        <f t="shared" ca="1" si="4"/>
        <v>Funding</v>
      </c>
    </row>
    <row r="8" spans="2:31" ht="26" customHeight="1" x14ac:dyDescent="0.3">
      <c r="B8" s="76" t="str">
        <f t="shared" ca="1" si="3"/>
        <v>of</v>
      </c>
      <c r="C8" s="76" t="str">
        <f t="shared" ca="1" si="3"/>
        <v>Stable</v>
      </c>
      <c r="D8" s="76" t="str">
        <f t="shared" ca="1" si="3"/>
        <v>Funding</v>
      </c>
      <c r="E8" s="76" t="str">
        <f t="shared" ca="1" si="3"/>
        <v>Amount</v>
      </c>
      <c r="F8" s="76" t="str">
        <f t="shared" ca="1" si="3"/>
        <v>Amount</v>
      </c>
      <c r="G8" s="76" t="str">
        <f t="shared" ca="1" si="3"/>
        <v>Amount</v>
      </c>
      <c r="H8" s="76" t="str">
        <f t="shared" ca="1" si="3"/>
        <v>Funding</v>
      </c>
      <c r="I8" s="76" t="str">
        <f t="shared" ca="1" si="3"/>
        <v>of</v>
      </c>
      <c r="J8" s="76" t="str">
        <f t="shared" ca="1" si="3"/>
        <v>Stable</v>
      </c>
      <c r="K8" s="76" t="str">
        <f t="shared" ca="1" si="3"/>
        <v>Amount</v>
      </c>
      <c r="L8" s="76" t="str">
        <f t="shared" ca="1" si="3"/>
        <v>of</v>
      </c>
      <c r="M8" s="76" t="str">
        <f t="shared" ca="1" si="3"/>
        <v>of</v>
      </c>
      <c r="N8" s="144"/>
      <c r="O8" s="144"/>
      <c r="P8" s="144"/>
      <c r="Q8" s="76" t="str">
        <f t="shared" ca="1" si="4"/>
        <v>Funding</v>
      </c>
      <c r="R8" s="76" t="str">
        <f t="shared" ca="1" si="4"/>
        <v>Stable</v>
      </c>
      <c r="S8" s="76" t="str">
        <f t="shared" ca="1" si="4"/>
        <v>Amount</v>
      </c>
      <c r="T8" s="76" t="str">
        <f t="shared" ca="1" si="4"/>
        <v>Stable</v>
      </c>
      <c r="U8" s="76" t="str">
        <f t="shared" ca="1" si="4"/>
        <v>Funding</v>
      </c>
      <c r="V8" s="76" t="str">
        <f t="shared" ca="1" si="4"/>
        <v>Stable</v>
      </c>
      <c r="W8" s="76" t="str">
        <f t="shared" ca="1" si="4"/>
        <v>Stable</v>
      </c>
      <c r="X8" s="76" t="str">
        <f t="shared" ca="1" si="4"/>
        <v>Stable</v>
      </c>
      <c r="Y8" s="76" t="str">
        <f t="shared" ca="1" si="4"/>
        <v>Amount</v>
      </c>
      <c r="Z8" s="76" t="str">
        <f t="shared" ca="1" si="4"/>
        <v>Funding</v>
      </c>
      <c r="AA8" s="76" t="str">
        <f t="shared" ca="1" si="4"/>
        <v>of</v>
      </c>
      <c r="AB8" s="76" t="str">
        <f t="shared" ca="1" si="4"/>
        <v>of</v>
      </c>
      <c r="AC8" s="76" t="str">
        <f t="shared" ca="1" si="4"/>
        <v>Funding</v>
      </c>
      <c r="AD8" s="76" t="str">
        <f t="shared" ca="1" si="4"/>
        <v>Funding</v>
      </c>
      <c r="AE8" s="76" t="str">
        <f t="shared" ca="1" si="4"/>
        <v>Funding</v>
      </c>
    </row>
    <row r="9" spans="2:31" ht="26" customHeight="1" x14ac:dyDescent="0.3">
      <c r="B9" s="76" t="str">
        <f t="shared" ca="1" si="3"/>
        <v>of</v>
      </c>
      <c r="C9" s="76" t="str">
        <f t="shared" ca="1" si="3"/>
        <v>Stable</v>
      </c>
      <c r="D9" s="76" t="str">
        <f t="shared" ca="1" si="3"/>
        <v>Funding</v>
      </c>
      <c r="E9" s="76" t="str">
        <f t="shared" ca="1" si="3"/>
        <v>Funding</v>
      </c>
      <c r="F9" s="76" t="str">
        <f t="shared" ca="1" si="3"/>
        <v>Stable</v>
      </c>
      <c r="G9" s="76" t="str">
        <f t="shared" ca="1" si="3"/>
        <v>Stable</v>
      </c>
      <c r="H9" s="76" t="str">
        <f t="shared" ca="1" si="3"/>
        <v>Stable</v>
      </c>
      <c r="I9" s="76" t="str">
        <f t="shared" ca="1" si="3"/>
        <v>of</v>
      </c>
      <c r="J9" s="76" t="str">
        <f t="shared" ca="1" si="3"/>
        <v>Funding</v>
      </c>
      <c r="K9" s="76" t="str">
        <f t="shared" ca="1" si="3"/>
        <v>Stable</v>
      </c>
      <c r="L9" s="76" t="str">
        <f t="shared" ca="1" si="3"/>
        <v>Amount</v>
      </c>
      <c r="M9" s="76" t="str">
        <f t="shared" ca="1" si="3"/>
        <v>of</v>
      </c>
      <c r="N9" s="144"/>
      <c r="O9" s="144"/>
      <c r="P9" s="144"/>
      <c r="Q9" s="76" t="str">
        <f t="shared" ca="1" si="4"/>
        <v>Amount</v>
      </c>
      <c r="R9" s="76" t="str">
        <f t="shared" ca="1" si="4"/>
        <v>Amount</v>
      </c>
      <c r="S9" s="76" t="str">
        <f t="shared" ca="1" si="4"/>
        <v>of</v>
      </c>
      <c r="T9" s="76" t="str">
        <f t="shared" ca="1" si="4"/>
        <v>of</v>
      </c>
      <c r="U9" s="76" t="str">
        <f t="shared" ca="1" si="4"/>
        <v>of</v>
      </c>
      <c r="V9" s="76" t="str">
        <f t="shared" ca="1" si="4"/>
        <v>of</v>
      </c>
      <c r="W9" s="76" t="str">
        <f t="shared" ca="1" si="4"/>
        <v>of</v>
      </c>
      <c r="X9" s="76" t="str">
        <f t="shared" ca="1" si="4"/>
        <v>Amount</v>
      </c>
      <c r="Y9" s="76" t="str">
        <f t="shared" ca="1" si="4"/>
        <v>Stable</v>
      </c>
      <c r="Z9" s="76" t="str">
        <f t="shared" ca="1" si="4"/>
        <v>of</v>
      </c>
      <c r="AA9" s="76" t="str">
        <f t="shared" ca="1" si="4"/>
        <v>Funding</v>
      </c>
      <c r="AB9" s="76" t="str">
        <f t="shared" ca="1" si="4"/>
        <v>Funding</v>
      </c>
      <c r="AC9" s="76" t="str">
        <f t="shared" ca="1" si="4"/>
        <v>of</v>
      </c>
      <c r="AD9" s="76" t="str">
        <f t="shared" ca="1" si="4"/>
        <v>Stable</v>
      </c>
      <c r="AE9" s="76" t="str">
        <f t="shared" ca="1" si="4"/>
        <v>Amount</v>
      </c>
    </row>
    <row r="10" spans="2:31" ht="26" customHeight="1" x14ac:dyDescent="0.3">
      <c r="B10" s="76" t="str">
        <f t="shared" ca="1" si="3"/>
        <v>Funding</v>
      </c>
      <c r="C10" s="76" t="str">
        <f t="shared" ca="1" si="3"/>
        <v>Amount</v>
      </c>
      <c r="D10" s="76" t="str">
        <f t="shared" ca="1" si="3"/>
        <v>Funding</v>
      </c>
      <c r="E10" s="76" t="str">
        <f t="shared" ca="1" si="3"/>
        <v>of</v>
      </c>
      <c r="F10" s="76" t="str">
        <f t="shared" ca="1" si="3"/>
        <v>Funding</v>
      </c>
      <c r="G10" s="76" t="str">
        <f t="shared" ca="1" si="3"/>
        <v>of</v>
      </c>
      <c r="H10" s="76" t="str">
        <f t="shared" ca="1" si="3"/>
        <v>Funding</v>
      </c>
      <c r="I10" s="76" t="str">
        <f t="shared" ca="1" si="3"/>
        <v>of</v>
      </c>
      <c r="J10" s="76" t="str">
        <f t="shared" ca="1" si="3"/>
        <v>Amount</v>
      </c>
      <c r="K10" s="76" t="str">
        <f t="shared" ca="1" si="3"/>
        <v>of</v>
      </c>
      <c r="L10" s="76" t="str">
        <f t="shared" ca="1" si="3"/>
        <v>of</v>
      </c>
      <c r="M10" s="76" t="str">
        <f t="shared" ca="1" si="3"/>
        <v>Funding</v>
      </c>
      <c r="N10" s="76" t="str">
        <f t="shared" ref="N10:P13" ca="1" si="5">VLOOKUP(RANDBETWEEN(1,4),table_asf,2,0)</f>
        <v>Stable</v>
      </c>
      <c r="O10" s="76" t="str">
        <f t="shared" ca="1" si="5"/>
        <v>Amount</v>
      </c>
      <c r="P10" s="76" t="str">
        <f t="shared" ca="1" si="5"/>
        <v>Funding</v>
      </c>
      <c r="Q10" s="76" t="str">
        <f t="shared" ca="1" si="4"/>
        <v>Stable</v>
      </c>
      <c r="R10" s="76" t="str">
        <f t="shared" ca="1" si="4"/>
        <v>Amount</v>
      </c>
      <c r="S10" s="76" t="str">
        <f t="shared" ca="1" si="4"/>
        <v>Funding</v>
      </c>
      <c r="T10" s="76" t="str">
        <f t="shared" ca="1" si="4"/>
        <v>Funding</v>
      </c>
      <c r="U10" s="76" t="str">
        <f t="shared" ca="1" si="4"/>
        <v>Funding</v>
      </c>
      <c r="V10" s="76" t="str">
        <f t="shared" ca="1" si="4"/>
        <v>Amount</v>
      </c>
      <c r="W10" s="76" t="str">
        <f t="shared" ca="1" si="4"/>
        <v>Amount</v>
      </c>
      <c r="X10" s="76" t="str">
        <f t="shared" ca="1" si="4"/>
        <v>of</v>
      </c>
      <c r="Y10" s="76" t="str">
        <f t="shared" ca="1" si="4"/>
        <v>Stable</v>
      </c>
      <c r="Z10" s="76" t="str">
        <f t="shared" ca="1" si="4"/>
        <v>of</v>
      </c>
      <c r="AA10" s="76" t="str">
        <f t="shared" ca="1" si="4"/>
        <v>Funding</v>
      </c>
      <c r="AB10" s="76" t="str">
        <f t="shared" ca="1" si="4"/>
        <v>of</v>
      </c>
      <c r="AC10" s="76" t="str">
        <f t="shared" ca="1" si="4"/>
        <v>of</v>
      </c>
      <c r="AD10" s="76" t="str">
        <f t="shared" ca="1" si="4"/>
        <v>Stable</v>
      </c>
      <c r="AE10" s="76" t="str">
        <f t="shared" ca="1" si="4"/>
        <v>Amount</v>
      </c>
    </row>
    <row r="11" spans="2:31" ht="26" customHeight="1" x14ac:dyDescent="0.3">
      <c r="B11" s="76" t="str">
        <f t="shared" ca="1" si="3"/>
        <v>Stable</v>
      </c>
      <c r="C11" s="76" t="str">
        <f t="shared" ca="1" si="3"/>
        <v>Amount</v>
      </c>
      <c r="D11" s="76" t="str">
        <f t="shared" ca="1" si="3"/>
        <v>Amount</v>
      </c>
      <c r="E11" s="76" t="str">
        <f t="shared" ca="1" si="3"/>
        <v>Amount</v>
      </c>
      <c r="F11" s="76" t="str">
        <f t="shared" ca="1" si="3"/>
        <v>Amount</v>
      </c>
      <c r="G11" s="76" t="str">
        <f t="shared" ca="1" si="3"/>
        <v>Funding</v>
      </c>
      <c r="H11" s="76" t="str">
        <f t="shared" ca="1" si="3"/>
        <v>Stable</v>
      </c>
      <c r="I11" s="76" t="str">
        <f t="shared" ca="1" si="3"/>
        <v>Funding</v>
      </c>
      <c r="J11" s="76" t="str">
        <f t="shared" ca="1" si="3"/>
        <v>of</v>
      </c>
      <c r="K11" s="76" t="str">
        <f t="shared" ca="1" si="3"/>
        <v>Amount</v>
      </c>
      <c r="L11" s="76" t="str">
        <f t="shared" ca="1" si="3"/>
        <v>Funding</v>
      </c>
      <c r="M11" s="76" t="str">
        <f t="shared" ca="1" si="3"/>
        <v>Stable</v>
      </c>
      <c r="N11" s="76" t="str">
        <f t="shared" ca="1" si="5"/>
        <v>Stable</v>
      </c>
      <c r="O11" s="76" t="str">
        <f t="shared" ca="1" si="5"/>
        <v>Funding</v>
      </c>
      <c r="P11" s="76" t="str">
        <f t="shared" ca="1" si="5"/>
        <v>Amount</v>
      </c>
      <c r="Q11" s="76" t="str">
        <f t="shared" ca="1" si="4"/>
        <v>of</v>
      </c>
      <c r="R11" s="76" t="str">
        <f t="shared" ca="1" si="4"/>
        <v>Amount</v>
      </c>
      <c r="S11" s="76" t="str">
        <f t="shared" ca="1" si="4"/>
        <v>Amount</v>
      </c>
      <c r="T11" s="76" t="str">
        <f t="shared" ca="1" si="4"/>
        <v>Funding</v>
      </c>
      <c r="U11" s="76" t="str">
        <f t="shared" ca="1" si="4"/>
        <v>Amount</v>
      </c>
      <c r="V11" s="76" t="str">
        <f t="shared" ca="1" si="4"/>
        <v>Amount</v>
      </c>
      <c r="W11" s="76" t="str">
        <f t="shared" ca="1" si="4"/>
        <v>of</v>
      </c>
      <c r="X11" s="76" t="str">
        <f t="shared" ca="1" si="4"/>
        <v>of</v>
      </c>
      <c r="Y11" s="76" t="str">
        <f t="shared" ca="1" si="4"/>
        <v>Funding</v>
      </c>
      <c r="Z11" s="76" t="str">
        <f t="shared" ca="1" si="4"/>
        <v>Funding</v>
      </c>
      <c r="AA11" s="76" t="str">
        <f t="shared" ca="1" si="4"/>
        <v>Funding</v>
      </c>
      <c r="AB11" s="76" t="str">
        <f t="shared" ca="1" si="4"/>
        <v>of</v>
      </c>
      <c r="AC11" s="76" t="str">
        <f t="shared" ca="1" si="4"/>
        <v>Funding</v>
      </c>
      <c r="AD11" s="76" t="str">
        <f t="shared" ca="1" si="4"/>
        <v>Stable</v>
      </c>
      <c r="AE11" s="76" t="str">
        <f t="shared" ca="1" si="4"/>
        <v>of</v>
      </c>
    </row>
    <row r="12" spans="2:31" ht="26" customHeight="1" x14ac:dyDescent="0.3">
      <c r="B12" s="76" t="str">
        <f t="shared" ca="1" si="3"/>
        <v>Funding</v>
      </c>
      <c r="C12" s="76" t="str">
        <f t="shared" ca="1" si="3"/>
        <v>Stable</v>
      </c>
      <c r="D12" s="76" t="str">
        <f t="shared" ca="1" si="3"/>
        <v>Stable</v>
      </c>
      <c r="E12" s="76" t="str">
        <f t="shared" ca="1" si="3"/>
        <v>Amount</v>
      </c>
      <c r="F12" s="76" t="str">
        <f t="shared" ca="1" si="3"/>
        <v>of</v>
      </c>
      <c r="G12" s="76" t="str">
        <f t="shared" ca="1" si="3"/>
        <v>of</v>
      </c>
      <c r="H12" s="76" t="str">
        <f t="shared" ca="1" si="3"/>
        <v>Amount</v>
      </c>
      <c r="I12" s="76" t="str">
        <f t="shared" ca="1" si="3"/>
        <v>of</v>
      </c>
      <c r="J12" s="76" t="str">
        <f t="shared" ca="1" si="3"/>
        <v>of</v>
      </c>
      <c r="K12" s="76" t="str">
        <f t="shared" ca="1" si="3"/>
        <v>Amount</v>
      </c>
      <c r="L12" s="76" t="str">
        <f t="shared" ca="1" si="3"/>
        <v>Funding</v>
      </c>
      <c r="M12" s="76" t="str">
        <f t="shared" ca="1" si="3"/>
        <v>Funding</v>
      </c>
      <c r="N12" s="76" t="str">
        <f t="shared" ca="1" si="5"/>
        <v>Funding</v>
      </c>
      <c r="O12" s="76" t="str">
        <f t="shared" ca="1" si="5"/>
        <v>of</v>
      </c>
      <c r="P12" s="76" t="str">
        <f t="shared" ca="1" si="5"/>
        <v>of</v>
      </c>
      <c r="Q12" s="76" t="str">
        <f t="shared" ca="1" si="4"/>
        <v>Amount</v>
      </c>
      <c r="R12" s="76" t="str">
        <f t="shared" ca="1" si="4"/>
        <v>of</v>
      </c>
      <c r="S12" s="76" t="str">
        <f t="shared" ca="1" si="4"/>
        <v>Amount</v>
      </c>
      <c r="T12" s="76" t="str">
        <f t="shared" ca="1" si="4"/>
        <v>Stable</v>
      </c>
      <c r="U12" s="76" t="str">
        <f t="shared" ca="1" si="4"/>
        <v>Amount</v>
      </c>
      <c r="V12" s="76" t="str">
        <f t="shared" ca="1" si="4"/>
        <v>Stable</v>
      </c>
      <c r="W12" s="76" t="str">
        <f t="shared" ca="1" si="4"/>
        <v>Amount</v>
      </c>
      <c r="X12" s="76" t="str">
        <f t="shared" ca="1" si="4"/>
        <v>Funding</v>
      </c>
      <c r="Y12" s="76" t="str">
        <f t="shared" ca="1" si="4"/>
        <v>Stable</v>
      </c>
      <c r="Z12" s="76" t="str">
        <f t="shared" ca="1" si="4"/>
        <v>Amount</v>
      </c>
      <c r="AA12" s="76" t="str">
        <f t="shared" ca="1" si="4"/>
        <v>Amount</v>
      </c>
      <c r="AB12" s="76" t="str">
        <f t="shared" ca="1" si="4"/>
        <v>of</v>
      </c>
      <c r="AC12" s="76" t="str">
        <f t="shared" ca="1" si="4"/>
        <v>Funding</v>
      </c>
      <c r="AD12" s="76" t="str">
        <f t="shared" ca="1" si="4"/>
        <v>Amount</v>
      </c>
      <c r="AE12" s="76" t="str">
        <f t="shared" ca="1" si="4"/>
        <v>Funding</v>
      </c>
    </row>
    <row r="13" spans="2:31" x14ac:dyDescent="0.3">
      <c r="B13" s="76" t="str">
        <f t="shared" ca="1" si="3"/>
        <v>Amount</v>
      </c>
      <c r="C13" s="76" t="str">
        <f t="shared" ca="1" si="3"/>
        <v>Amount</v>
      </c>
      <c r="D13" s="76" t="str">
        <f t="shared" ca="1" si="3"/>
        <v>Funding</v>
      </c>
      <c r="E13" s="76" t="str">
        <f t="shared" ca="1" si="3"/>
        <v>Amount</v>
      </c>
      <c r="F13" s="76" t="str">
        <f t="shared" ca="1" si="3"/>
        <v>Stable</v>
      </c>
      <c r="G13" s="76" t="str">
        <f t="shared" ca="1" si="3"/>
        <v>of</v>
      </c>
      <c r="H13" s="76" t="str">
        <f t="shared" ca="1" si="3"/>
        <v>Amount</v>
      </c>
      <c r="I13" s="76" t="str">
        <f t="shared" ca="1" si="3"/>
        <v>of</v>
      </c>
      <c r="J13" s="76" t="str">
        <f t="shared" ca="1" si="3"/>
        <v>Funding</v>
      </c>
      <c r="K13" s="76" t="str">
        <f t="shared" ca="1" si="3"/>
        <v>Stable</v>
      </c>
      <c r="L13" s="76" t="str">
        <f t="shared" ca="1" si="3"/>
        <v>Amount</v>
      </c>
      <c r="M13" s="76" t="str">
        <f t="shared" ca="1" si="3"/>
        <v>Funding</v>
      </c>
      <c r="N13" s="76" t="str">
        <f t="shared" ca="1" si="5"/>
        <v>Funding</v>
      </c>
      <c r="O13" s="76" t="str">
        <f t="shared" ca="1" si="5"/>
        <v>Funding</v>
      </c>
      <c r="P13" s="76" t="str">
        <f t="shared" ca="1" si="5"/>
        <v>Funding</v>
      </c>
      <c r="Q13" s="76" t="str">
        <f t="shared" ca="1" si="4"/>
        <v>Funding</v>
      </c>
      <c r="R13" s="76" t="str">
        <f t="shared" ca="1" si="4"/>
        <v>Amount</v>
      </c>
      <c r="S13" s="76" t="str">
        <f t="shared" ca="1" si="4"/>
        <v>of</v>
      </c>
      <c r="T13" s="76" t="str">
        <f t="shared" ca="1" si="4"/>
        <v>of</v>
      </c>
      <c r="U13" s="76" t="str">
        <f t="shared" ca="1" si="4"/>
        <v>Stable</v>
      </c>
      <c r="V13" s="76" t="str">
        <f t="shared" ca="1" si="4"/>
        <v>Funding</v>
      </c>
      <c r="W13" s="76" t="str">
        <f t="shared" ca="1" si="4"/>
        <v>Stable</v>
      </c>
      <c r="X13" s="76" t="str">
        <f t="shared" ca="1" si="4"/>
        <v>of</v>
      </c>
      <c r="Y13" s="76" t="str">
        <f t="shared" ca="1" si="4"/>
        <v>Funding</v>
      </c>
      <c r="Z13" s="76" t="str">
        <f t="shared" ca="1" si="4"/>
        <v>Stable</v>
      </c>
      <c r="AA13" s="76" t="str">
        <f t="shared" ca="1" si="4"/>
        <v>Stable</v>
      </c>
      <c r="AB13" s="76" t="str">
        <f t="shared" ca="1" si="4"/>
        <v>of</v>
      </c>
      <c r="AC13" s="76" t="str">
        <f t="shared" ca="1" si="4"/>
        <v>Funding</v>
      </c>
      <c r="AD13" s="76" t="str">
        <f t="shared" ca="1" si="4"/>
        <v>Funding</v>
      </c>
      <c r="AE13" s="76" t="str">
        <f t="shared" ca="1" si="4"/>
        <v>Funding</v>
      </c>
    </row>
    <row r="15" spans="2:31" x14ac:dyDescent="0.3">
      <c r="D15" s="107" t="s">
        <v>180</v>
      </c>
      <c r="E15" s="106" t="s">
        <v>179</v>
      </c>
      <c r="K15" s="106" t="s">
        <v>276</v>
      </c>
      <c r="O15" s="88" t="s">
        <v>275</v>
      </c>
      <c r="T15" s="90"/>
    </row>
    <row r="16" spans="2:31" x14ac:dyDescent="0.3">
      <c r="D16" s="98" t="s">
        <v>218</v>
      </c>
      <c r="E16" s="100">
        <v>1</v>
      </c>
      <c r="K16" s="98" t="s">
        <v>267</v>
      </c>
      <c r="L16" s="88">
        <v>18</v>
      </c>
      <c r="M16" s="122"/>
      <c r="N16" s="100"/>
      <c r="O16" s="105"/>
      <c r="T16" s="90"/>
      <c r="X16" s="91"/>
      <c r="AD16" s="91"/>
    </row>
    <row r="17" spans="3:27" x14ac:dyDescent="0.3">
      <c r="D17" s="98" t="s">
        <v>217</v>
      </c>
      <c r="E17" s="100">
        <v>1</v>
      </c>
      <c r="K17" s="98" t="s">
        <v>265</v>
      </c>
      <c r="L17" s="88">
        <v>12</v>
      </c>
      <c r="M17" s="122"/>
      <c r="N17" s="100"/>
      <c r="T17" s="90"/>
    </row>
    <row r="18" spans="3:27" x14ac:dyDescent="0.3">
      <c r="D18" s="98" t="s">
        <v>274</v>
      </c>
      <c r="E18" s="100">
        <v>1</v>
      </c>
      <c r="K18" s="98" t="s">
        <v>274</v>
      </c>
      <c r="L18" s="88">
        <v>2</v>
      </c>
      <c r="M18" s="122"/>
      <c r="N18" s="100"/>
      <c r="T18" s="104"/>
      <c r="U18" s="103"/>
      <c r="V18" s="103"/>
      <c r="W18" s="103"/>
      <c r="X18" s="103"/>
      <c r="Y18" s="103"/>
      <c r="Z18" s="103"/>
      <c r="AA18" s="102"/>
    </row>
    <row r="19" spans="3:27" x14ac:dyDescent="0.3">
      <c r="D19" s="98" t="s">
        <v>273</v>
      </c>
      <c r="E19" s="100">
        <v>0.9</v>
      </c>
      <c r="K19" s="98" t="s">
        <v>259</v>
      </c>
      <c r="L19" s="88">
        <v>8</v>
      </c>
      <c r="M19" s="122"/>
      <c r="N19" s="100"/>
      <c r="T19" s="101"/>
      <c r="U19" s="91" t="s">
        <v>272</v>
      </c>
      <c r="V19" s="91"/>
      <c r="W19" s="91"/>
      <c r="X19" s="91"/>
      <c r="Y19" s="91"/>
      <c r="Z19" s="91"/>
      <c r="AA19" s="96"/>
    </row>
    <row r="20" spans="3:27" x14ac:dyDescent="0.3">
      <c r="D20" s="98" t="s">
        <v>271</v>
      </c>
      <c r="E20" s="100">
        <v>0.8</v>
      </c>
      <c r="K20" s="98" t="s">
        <v>270</v>
      </c>
      <c r="L20" s="88">
        <v>20</v>
      </c>
      <c r="M20" s="122"/>
      <c r="N20" s="100"/>
      <c r="T20" s="101"/>
      <c r="U20" s="91"/>
      <c r="V20" s="99" t="s">
        <v>218</v>
      </c>
      <c r="W20" s="91"/>
      <c r="X20" s="91"/>
      <c r="Y20" s="91"/>
      <c r="Z20" s="91"/>
      <c r="AA20" s="96"/>
    </row>
    <row r="21" spans="3:27" x14ac:dyDescent="0.3">
      <c r="D21" s="98" t="s">
        <v>269</v>
      </c>
      <c r="E21" s="100">
        <v>0.5</v>
      </c>
      <c r="K21" s="98" t="s">
        <v>268</v>
      </c>
      <c r="L21" s="88">
        <v>8</v>
      </c>
      <c r="M21" s="122"/>
      <c r="N21" s="100"/>
      <c r="T21" s="97"/>
      <c r="U21" s="91"/>
      <c r="V21" s="91" t="s">
        <v>268</v>
      </c>
      <c r="W21" s="91"/>
      <c r="X21" s="91"/>
      <c r="Y21" s="91"/>
      <c r="Z21" s="91"/>
      <c r="AA21" s="96"/>
    </row>
    <row r="22" spans="3:27" x14ac:dyDescent="0.3">
      <c r="D22" s="98" t="s">
        <v>267</v>
      </c>
      <c r="E22" s="100">
        <v>0</v>
      </c>
      <c r="K22" s="98" t="s">
        <v>266</v>
      </c>
      <c r="L22" s="88">
        <v>80</v>
      </c>
      <c r="M22" s="123"/>
      <c r="N22" s="100"/>
      <c r="T22" s="97"/>
      <c r="U22" s="91"/>
      <c r="V22" s="91" t="s">
        <v>263</v>
      </c>
      <c r="W22" s="91"/>
      <c r="X22" s="91"/>
      <c r="Y22" s="91"/>
      <c r="Z22" s="91"/>
      <c r="AA22" s="96"/>
    </row>
    <row r="23" spans="3:27" x14ac:dyDescent="0.3">
      <c r="D23" s="98" t="s">
        <v>265</v>
      </c>
      <c r="E23" s="100">
        <v>0</v>
      </c>
      <c r="K23" s="98" t="s">
        <v>264</v>
      </c>
      <c r="L23" s="88">
        <v>24</v>
      </c>
      <c r="M23" s="122"/>
      <c r="N23" s="100"/>
      <c r="T23" s="97"/>
      <c r="U23" s="91"/>
      <c r="V23" s="91"/>
      <c r="W23" s="91"/>
      <c r="X23" s="91"/>
      <c r="Y23" s="91"/>
      <c r="Z23" s="91"/>
      <c r="AA23" s="96"/>
    </row>
    <row r="24" spans="3:27" x14ac:dyDescent="0.3">
      <c r="D24" s="98" t="s">
        <v>213</v>
      </c>
      <c r="E24" s="100">
        <v>0</v>
      </c>
      <c r="I24" s="98"/>
      <c r="K24" s="98" t="s">
        <v>263</v>
      </c>
      <c r="L24" s="88">
        <v>6</v>
      </c>
      <c r="M24" s="122"/>
      <c r="N24" s="100"/>
      <c r="Q24" s="91"/>
      <c r="R24" s="91"/>
      <c r="S24" s="90"/>
      <c r="T24" s="97"/>
      <c r="U24" s="91"/>
      <c r="V24" s="99" t="s">
        <v>217</v>
      </c>
      <c r="W24" s="91"/>
      <c r="X24" s="91"/>
      <c r="Y24" s="91"/>
      <c r="Z24" s="91"/>
      <c r="AA24" s="96"/>
    </row>
    <row r="25" spans="3:27" x14ac:dyDescent="0.3">
      <c r="D25" s="98" t="s">
        <v>258</v>
      </c>
      <c r="E25" s="100">
        <v>0</v>
      </c>
      <c r="F25" s="90"/>
      <c r="G25" s="91"/>
      <c r="I25" s="98"/>
      <c r="K25" s="98" t="s">
        <v>262</v>
      </c>
      <c r="L25" s="88">
        <v>22</v>
      </c>
      <c r="M25" s="122"/>
      <c r="N25" s="100"/>
      <c r="T25" s="97"/>
      <c r="U25" s="91"/>
      <c r="V25" s="91" t="s">
        <v>261</v>
      </c>
      <c r="W25" s="91"/>
      <c r="X25" s="91"/>
      <c r="Y25" s="91"/>
      <c r="Z25" s="91"/>
      <c r="AA25" s="96"/>
    </row>
    <row r="26" spans="3:27" x14ac:dyDescent="0.3">
      <c r="D26" s="98" t="s">
        <v>256</v>
      </c>
      <c r="E26" s="100">
        <v>0</v>
      </c>
      <c r="F26" s="91"/>
      <c r="H26" s="91"/>
      <c r="I26" s="91"/>
      <c r="K26" s="98" t="s">
        <v>260</v>
      </c>
      <c r="L26" s="88">
        <v>80</v>
      </c>
      <c r="M26" s="122"/>
      <c r="N26" s="100"/>
      <c r="T26" s="97"/>
      <c r="U26" s="91"/>
      <c r="V26" s="91" t="s">
        <v>259</v>
      </c>
      <c r="W26" s="91"/>
      <c r="X26" s="91"/>
      <c r="Y26" s="91"/>
      <c r="Z26" s="91"/>
      <c r="AA26" s="96"/>
    </row>
    <row r="27" spans="3:27" x14ac:dyDescent="0.3">
      <c r="K27" s="98" t="s">
        <v>213</v>
      </c>
      <c r="L27" s="88">
        <v>80</v>
      </c>
      <c r="M27" s="122"/>
      <c r="T27" s="97"/>
      <c r="U27" s="91"/>
      <c r="V27" s="91"/>
      <c r="W27" s="91"/>
      <c r="X27" s="91"/>
      <c r="Y27" s="91"/>
      <c r="Z27" s="91"/>
      <c r="AA27" s="96"/>
    </row>
    <row r="28" spans="3:27" x14ac:dyDescent="0.3">
      <c r="K28" s="98" t="s">
        <v>258</v>
      </c>
      <c r="L28" s="88">
        <v>4</v>
      </c>
      <c r="M28" s="122"/>
      <c r="T28" s="97"/>
      <c r="U28" s="91"/>
      <c r="V28" s="99" t="s">
        <v>257</v>
      </c>
      <c r="W28" s="91"/>
      <c r="X28" s="91"/>
      <c r="Y28" s="91"/>
      <c r="Z28" s="91"/>
      <c r="AA28" s="96"/>
    </row>
    <row r="29" spans="3:27" x14ac:dyDescent="0.3">
      <c r="D29" s="98"/>
      <c r="K29" s="98" t="s">
        <v>256</v>
      </c>
      <c r="L29" s="88">
        <v>22</v>
      </c>
      <c r="M29" s="122"/>
      <c r="T29" s="97"/>
      <c r="U29" s="91"/>
      <c r="V29" s="91"/>
      <c r="W29" s="91" t="s">
        <v>255</v>
      </c>
      <c r="X29" s="91"/>
      <c r="Y29" s="91"/>
      <c r="Z29" s="91"/>
      <c r="AA29" s="96"/>
    </row>
    <row r="30" spans="3:27" x14ac:dyDescent="0.3">
      <c r="T30" s="97"/>
      <c r="U30" s="91"/>
      <c r="V30" s="91"/>
      <c r="W30" s="91" t="s">
        <v>254</v>
      </c>
      <c r="X30" s="91"/>
      <c r="Y30" s="91"/>
      <c r="Z30" s="91"/>
      <c r="AA30" s="96"/>
    </row>
    <row r="31" spans="3:27" x14ac:dyDescent="0.3">
      <c r="C31" s="92">
        <v>1</v>
      </c>
      <c r="D31" s="92" t="s">
        <v>253</v>
      </c>
      <c r="T31" s="97"/>
      <c r="U31" s="91"/>
      <c r="V31" s="91"/>
      <c r="W31" s="91" t="s">
        <v>252</v>
      </c>
      <c r="X31" s="91"/>
      <c r="Y31" s="91"/>
      <c r="Z31" s="91"/>
      <c r="AA31" s="96"/>
    </row>
    <row r="32" spans="3:27" x14ac:dyDescent="0.3">
      <c r="C32" s="92">
        <v>2</v>
      </c>
      <c r="D32" s="92" t="s">
        <v>251</v>
      </c>
      <c r="T32" s="95"/>
      <c r="U32" s="94"/>
      <c r="V32" s="94"/>
      <c r="W32" s="94"/>
      <c r="X32" s="94"/>
      <c r="Y32" s="94"/>
      <c r="Z32" s="94"/>
      <c r="AA32" s="93"/>
    </row>
    <row r="33" spans="3:6" x14ac:dyDescent="0.3">
      <c r="C33" s="92">
        <v>3</v>
      </c>
      <c r="D33" s="92" t="s">
        <v>250</v>
      </c>
    </row>
    <row r="34" spans="3:6" x14ac:dyDescent="0.3">
      <c r="C34" s="92">
        <v>4</v>
      </c>
      <c r="D34" s="92" t="s">
        <v>249</v>
      </c>
    </row>
    <row r="35" spans="3:6" x14ac:dyDescent="0.3">
      <c r="E35" s="91"/>
      <c r="F35" s="90"/>
    </row>
    <row r="36" spans="3:6" x14ac:dyDescent="0.3">
      <c r="D36" s="91"/>
      <c r="E36" s="91"/>
      <c r="F36" s="90"/>
    </row>
  </sheetData>
  <mergeCells count="1">
    <mergeCell ref="N7:P9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15318-B243-BC45-880C-E92042EE4964}">
  <sheetPr>
    <tabColor rgb="FFFFFF00"/>
  </sheetPr>
  <dimension ref="B2:AE32"/>
  <sheetViews>
    <sheetView zoomScale="70" zoomScaleNormal="70" workbookViewId="0"/>
  </sheetViews>
  <sheetFormatPr baseColWidth="10" defaultColWidth="8.83203125" defaultRowHeight="26" x14ac:dyDescent="0.3"/>
  <cols>
    <col min="1" max="1" width="8.83203125" style="88"/>
    <col min="2" max="2" width="8.83203125" style="88" customWidth="1"/>
    <col min="3" max="3" width="10.83203125" style="88" customWidth="1"/>
    <col min="4" max="4" width="22.33203125" style="88" customWidth="1"/>
    <col min="5" max="6" width="8.83203125" style="88"/>
    <col min="7" max="7" width="12.6640625" style="88" customWidth="1"/>
    <col min="8" max="12" width="8.83203125" style="88"/>
    <col min="13" max="13" width="11.1640625" style="88" bestFit="1" customWidth="1"/>
    <col min="14" max="14" width="14.33203125" style="88" customWidth="1"/>
    <col min="15" max="15" width="17.33203125" style="88" customWidth="1"/>
    <col min="16" max="16" width="16.33203125" style="88" customWidth="1"/>
    <col min="17" max="26" width="8.83203125" style="88"/>
    <col min="27" max="27" width="13.33203125" style="88" customWidth="1"/>
    <col min="28" max="16384" width="8.83203125" style="88"/>
  </cols>
  <sheetData>
    <row r="2" spans="2:31" x14ac:dyDescent="0.3">
      <c r="B2" s="76" t="str">
        <f t="shared" ref="B2:K6" ca="1" si="0">VLOOKUP(RANDBETWEEN(1,4),table_asf,2,0)</f>
        <v>Stable</v>
      </c>
      <c r="C2" s="76" t="str">
        <f t="shared" ca="1" si="0"/>
        <v>Required</v>
      </c>
      <c r="D2" s="76" t="str">
        <f t="shared" ca="1" si="0"/>
        <v>of</v>
      </c>
      <c r="E2" s="76" t="str">
        <f t="shared" ca="1" si="0"/>
        <v>Stable</v>
      </c>
      <c r="F2" s="76" t="str">
        <f t="shared" ca="1" si="0"/>
        <v>Funding</v>
      </c>
      <c r="G2" s="76" t="str">
        <f t="shared" ca="1" si="0"/>
        <v>of</v>
      </c>
      <c r="H2" s="76" t="str">
        <f t="shared" ca="1" si="0"/>
        <v>of</v>
      </c>
      <c r="I2" s="76" t="str">
        <f t="shared" ca="1" si="0"/>
        <v>Funding</v>
      </c>
      <c r="J2" s="76" t="str">
        <f t="shared" ca="1" si="0"/>
        <v>Required</v>
      </c>
      <c r="K2" s="76" t="str">
        <f t="shared" ca="1" si="0"/>
        <v>Funding</v>
      </c>
      <c r="L2" s="76" t="str">
        <f t="shared" ref="L2:U6" ca="1" si="1">VLOOKUP(RANDBETWEEN(1,4),table_asf,2,0)</f>
        <v>Stable</v>
      </c>
      <c r="M2" s="76" t="str">
        <f t="shared" ca="1" si="1"/>
        <v>Funding</v>
      </c>
      <c r="N2" s="76" t="str">
        <f t="shared" ca="1" si="1"/>
        <v>Required</v>
      </c>
      <c r="O2" s="76" t="str">
        <f t="shared" ca="1" si="1"/>
        <v>Stable</v>
      </c>
      <c r="P2" s="76" t="str">
        <f t="shared" ca="1" si="1"/>
        <v>Stable</v>
      </c>
      <c r="Q2" s="76" t="str">
        <f t="shared" ca="1" si="1"/>
        <v>Stable</v>
      </c>
      <c r="R2" s="76" t="str">
        <f t="shared" ca="1" si="1"/>
        <v>Required</v>
      </c>
      <c r="S2" s="76" t="str">
        <f t="shared" ca="1" si="1"/>
        <v>Funding</v>
      </c>
      <c r="T2" s="76" t="str">
        <f t="shared" ca="1" si="1"/>
        <v>Stable</v>
      </c>
      <c r="U2" s="76" t="str">
        <f t="shared" ca="1" si="1"/>
        <v>of</v>
      </c>
      <c r="V2" s="76" t="str">
        <f t="shared" ref="V2:AE6" ca="1" si="2">VLOOKUP(RANDBETWEEN(1,4),table_asf,2,0)</f>
        <v>of</v>
      </c>
      <c r="W2" s="76" t="str">
        <f t="shared" ca="1" si="2"/>
        <v>of</v>
      </c>
      <c r="X2" s="76" t="str">
        <f t="shared" ca="1" si="2"/>
        <v>Required</v>
      </c>
      <c r="Y2" s="76" t="str">
        <f t="shared" ca="1" si="2"/>
        <v>Funding</v>
      </c>
      <c r="Z2" s="76" t="str">
        <f t="shared" ca="1" si="2"/>
        <v>Stable</v>
      </c>
      <c r="AA2" s="76" t="str">
        <f t="shared" ca="1" si="2"/>
        <v>Stable</v>
      </c>
      <c r="AB2" s="76" t="str">
        <f t="shared" ca="1" si="2"/>
        <v>Funding</v>
      </c>
      <c r="AC2" s="76" t="str">
        <f t="shared" ca="1" si="2"/>
        <v>Funding</v>
      </c>
      <c r="AD2" s="76" t="str">
        <f t="shared" ca="1" si="2"/>
        <v>of</v>
      </c>
      <c r="AE2" s="76" t="str">
        <f t="shared" ca="1" si="2"/>
        <v>of</v>
      </c>
    </row>
    <row r="3" spans="2:31" x14ac:dyDescent="0.3">
      <c r="B3" s="76" t="str">
        <f t="shared" ca="1" si="0"/>
        <v>of</v>
      </c>
      <c r="C3" s="76" t="str">
        <f t="shared" ca="1" si="0"/>
        <v>Required</v>
      </c>
      <c r="D3" s="76" t="str">
        <f t="shared" ca="1" si="0"/>
        <v>of</v>
      </c>
      <c r="E3" s="76" t="str">
        <f t="shared" ca="1" si="0"/>
        <v>Funding</v>
      </c>
      <c r="F3" s="76" t="str">
        <f t="shared" ca="1" si="0"/>
        <v>Stable</v>
      </c>
      <c r="G3" s="76" t="str">
        <f t="shared" ca="1" si="0"/>
        <v>Stable</v>
      </c>
      <c r="H3" s="76" t="str">
        <f t="shared" ca="1" si="0"/>
        <v>Required</v>
      </c>
      <c r="I3" s="76" t="str">
        <f t="shared" ca="1" si="0"/>
        <v>Required</v>
      </c>
      <c r="J3" s="76" t="str">
        <f t="shared" ca="1" si="0"/>
        <v>Required</v>
      </c>
      <c r="K3" s="76" t="str">
        <f t="shared" ca="1" si="0"/>
        <v>of</v>
      </c>
      <c r="L3" s="76" t="str">
        <f t="shared" ca="1" si="1"/>
        <v>Required</v>
      </c>
      <c r="M3" s="76" t="str">
        <f t="shared" ca="1" si="1"/>
        <v>Funding</v>
      </c>
      <c r="N3" s="76" t="str">
        <f t="shared" ca="1" si="1"/>
        <v>of</v>
      </c>
      <c r="O3" s="76" t="str">
        <f t="shared" ca="1" si="1"/>
        <v>Stable</v>
      </c>
      <c r="P3" s="76" t="str">
        <f t="shared" ca="1" si="1"/>
        <v>Required</v>
      </c>
      <c r="Q3" s="76" t="str">
        <f t="shared" ca="1" si="1"/>
        <v>Funding</v>
      </c>
      <c r="R3" s="76" t="str">
        <f t="shared" ca="1" si="1"/>
        <v>of</v>
      </c>
      <c r="S3" s="76" t="str">
        <f t="shared" ca="1" si="1"/>
        <v>of</v>
      </c>
      <c r="T3" s="76" t="str">
        <f t="shared" ca="1" si="1"/>
        <v>Funding</v>
      </c>
      <c r="U3" s="76" t="str">
        <f t="shared" ca="1" si="1"/>
        <v>of</v>
      </c>
      <c r="V3" s="76" t="str">
        <f t="shared" ca="1" si="2"/>
        <v>Funding</v>
      </c>
      <c r="W3" s="76" t="str">
        <f t="shared" ca="1" si="2"/>
        <v>Required</v>
      </c>
      <c r="X3" s="76" t="str">
        <f t="shared" ca="1" si="2"/>
        <v>Required</v>
      </c>
      <c r="Y3" s="76" t="str">
        <f t="shared" ca="1" si="2"/>
        <v>Stable</v>
      </c>
      <c r="Z3" s="76" t="str">
        <f t="shared" ca="1" si="2"/>
        <v>Stable</v>
      </c>
      <c r="AA3" s="76" t="str">
        <f t="shared" ca="1" si="2"/>
        <v>Required</v>
      </c>
      <c r="AB3" s="76" t="str">
        <f t="shared" ca="1" si="2"/>
        <v>Funding</v>
      </c>
      <c r="AC3" s="76" t="str">
        <f t="shared" ca="1" si="2"/>
        <v>Required</v>
      </c>
      <c r="AD3" s="76" t="str">
        <f t="shared" ca="1" si="2"/>
        <v>Required</v>
      </c>
      <c r="AE3" s="76" t="str">
        <f t="shared" ca="1" si="2"/>
        <v>of</v>
      </c>
    </row>
    <row r="4" spans="2:31" x14ac:dyDescent="0.3">
      <c r="B4" s="76" t="str">
        <f t="shared" ca="1" si="0"/>
        <v>of</v>
      </c>
      <c r="C4" s="76" t="str">
        <f t="shared" ca="1" si="0"/>
        <v>Funding</v>
      </c>
      <c r="D4" s="76" t="str">
        <f t="shared" ca="1" si="0"/>
        <v>Stable</v>
      </c>
      <c r="E4" s="76" t="str">
        <f t="shared" ca="1" si="0"/>
        <v>Funding</v>
      </c>
      <c r="F4" s="76" t="str">
        <f t="shared" ca="1" si="0"/>
        <v>Required</v>
      </c>
      <c r="G4" s="76" t="str">
        <f t="shared" ca="1" si="0"/>
        <v>Required</v>
      </c>
      <c r="H4" s="76" t="str">
        <f t="shared" ca="1" si="0"/>
        <v>Funding</v>
      </c>
      <c r="I4" s="76" t="str">
        <f t="shared" ca="1" si="0"/>
        <v>Required</v>
      </c>
      <c r="J4" s="76" t="str">
        <f t="shared" ca="1" si="0"/>
        <v>of</v>
      </c>
      <c r="K4" s="76" t="str">
        <f t="shared" ca="1" si="0"/>
        <v>Stable</v>
      </c>
      <c r="L4" s="76" t="str">
        <f t="shared" ca="1" si="1"/>
        <v>of</v>
      </c>
      <c r="M4" s="76" t="str">
        <f t="shared" ca="1" si="1"/>
        <v>Stable</v>
      </c>
      <c r="N4" s="76" t="str">
        <f t="shared" ca="1" si="1"/>
        <v>Stable</v>
      </c>
      <c r="O4" s="76" t="str">
        <f t="shared" ca="1" si="1"/>
        <v>Required</v>
      </c>
      <c r="P4" s="76" t="str">
        <f t="shared" ca="1" si="1"/>
        <v>Required</v>
      </c>
      <c r="Q4" s="76" t="str">
        <f t="shared" ca="1" si="1"/>
        <v>of</v>
      </c>
      <c r="R4" s="76" t="str">
        <f t="shared" ca="1" si="1"/>
        <v>Stable</v>
      </c>
      <c r="S4" s="76" t="str">
        <f t="shared" ca="1" si="1"/>
        <v>of</v>
      </c>
      <c r="T4" s="76" t="str">
        <f t="shared" ca="1" si="1"/>
        <v>of</v>
      </c>
      <c r="U4" s="76" t="str">
        <f t="shared" ca="1" si="1"/>
        <v>of</v>
      </c>
      <c r="V4" s="76" t="str">
        <f t="shared" ca="1" si="2"/>
        <v>of</v>
      </c>
      <c r="W4" s="76" t="str">
        <f t="shared" ca="1" si="2"/>
        <v>of</v>
      </c>
      <c r="X4" s="76" t="str">
        <f t="shared" ca="1" si="2"/>
        <v>Required</v>
      </c>
      <c r="Y4" s="76" t="str">
        <f t="shared" ca="1" si="2"/>
        <v>of</v>
      </c>
      <c r="Z4" s="76" t="str">
        <f t="shared" ca="1" si="2"/>
        <v>Required</v>
      </c>
      <c r="AA4" s="76" t="str">
        <f t="shared" ca="1" si="2"/>
        <v>Required</v>
      </c>
      <c r="AB4" s="76" t="str">
        <f t="shared" ca="1" si="2"/>
        <v>Required</v>
      </c>
      <c r="AC4" s="76" t="str">
        <f t="shared" ca="1" si="2"/>
        <v>Funding</v>
      </c>
      <c r="AD4" s="76" t="str">
        <f t="shared" ca="1" si="2"/>
        <v>Funding</v>
      </c>
      <c r="AE4" s="76" t="str">
        <f t="shared" ca="1" si="2"/>
        <v>of</v>
      </c>
    </row>
    <row r="5" spans="2:31" x14ac:dyDescent="0.3">
      <c r="B5" s="76" t="str">
        <f t="shared" ca="1" si="0"/>
        <v>of</v>
      </c>
      <c r="C5" s="76" t="str">
        <f t="shared" ca="1" si="0"/>
        <v>Required</v>
      </c>
      <c r="D5" s="76" t="str">
        <f t="shared" ca="1" si="0"/>
        <v>Funding</v>
      </c>
      <c r="E5" s="76" t="str">
        <f t="shared" ca="1" si="0"/>
        <v>of</v>
      </c>
      <c r="F5" s="76" t="str">
        <f t="shared" ca="1" si="0"/>
        <v>Stable</v>
      </c>
      <c r="G5" s="76" t="str">
        <f t="shared" ca="1" si="0"/>
        <v>Funding</v>
      </c>
      <c r="H5" s="76" t="str">
        <f t="shared" ca="1" si="0"/>
        <v>of</v>
      </c>
      <c r="I5" s="76" t="str">
        <f t="shared" ca="1" si="0"/>
        <v>of</v>
      </c>
      <c r="J5" s="76" t="str">
        <f t="shared" ca="1" si="0"/>
        <v>Stable</v>
      </c>
      <c r="K5" s="76" t="str">
        <f t="shared" ca="1" si="0"/>
        <v>Required</v>
      </c>
      <c r="L5" s="76" t="str">
        <f t="shared" ca="1" si="1"/>
        <v>of</v>
      </c>
      <c r="M5" s="76" t="str">
        <f t="shared" ca="1" si="1"/>
        <v>Required</v>
      </c>
      <c r="N5" s="76" t="str">
        <f t="shared" ca="1" si="1"/>
        <v>Required</v>
      </c>
      <c r="O5" s="76" t="str">
        <f t="shared" ca="1" si="1"/>
        <v>Funding</v>
      </c>
      <c r="P5" s="76" t="str">
        <f t="shared" ca="1" si="1"/>
        <v>Required</v>
      </c>
      <c r="Q5" s="76" t="str">
        <f t="shared" ca="1" si="1"/>
        <v>of</v>
      </c>
      <c r="R5" s="76" t="str">
        <f t="shared" ca="1" si="1"/>
        <v>Required</v>
      </c>
      <c r="S5" s="76" t="str">
        <f t="shared" ca="1" si="1"/>
        <v>Stable</v>
      </c>
      <c r="T5" s="76" t="str">
        <f t="shared" ca="1" si="1"/>
        <v>of</v>
      </c>
      <c r="U5" s="76" t="str">
        <f t="shared" ca="1" si="1"/>
        <v>Stable</v>
      </c>
      <c r="V5" s="76" t="str">
        <f t="shared" ca="1" si="2"/>
        <v>Stable</v>
      </c>
      <c r="W5" s="76" t="str">
        <f t="shared" ca="1" si="2"/>
        <v>of</v>
      </c>
      <c r="X5" s="76" t="str">
        <f t="shared" ca="1" si="2"/>
        <v>Funding</v>
      </c>
      <c r="Y5" s="76" t="str">
        <f t="shared" ca="1" si="2"/>
        <v>Required</v>
      </c>
      <c r="Z5" s="76" t="str">
        <f t="shared" ca="1" si="2"/>
        <v>Stable</v>
      </c>
      <c r="AA5" s="76" t="str">
        <f t="shared" ca="1" si="2"/>
        <v>Required</v>
      </c>
      <c r="AB5" s="76" t="str">
        <f t="shared" ca="1" si="2"/>
        <v>Stable</v>
      </c>
      <c r="AC5" s="76" t="str">
        <f t="shared" ca="1" si="2"/>
        <v>Stable</v>
      </c>
      <c r="AD5" s="76" t="str">
        <f t="shared" ca="1" si="2"/>
        <v>Required</v>
      </c>
      <c r="AE5" s="76" t="str">
        <f t="shared" ca="1" si="2"/>
        <v>of</v>
      </c>
    </row>
    <row r="6" spans="2:31" x14ac:dyDescent="0.3">
      <c r="B6" s="76" t="str">
        <f t="shared" ca="1" si="0"/>
        <v>of</v>
      </c>
      <c r="C6" s="76" t="str">
        <f t="shared" ca="1" si="0"/>
        <v>Stable</v>
      </c>
      <c r="D6" s="76" t="str">
        <f t="shared" ca="1" si="0"/>
        <v>Stable</v>
      </c>
      <c r="E6" s="76" t="str">
        <f t="shared" ca="1" si="0"/>
        <v>Funding</v>
      </c>
      <c r="F6" s="76" t="str">
        <f t="shared" ca="1" si="0"/>
        <v>Stable</v>
      </c>
      <c r="G6" s="76" t="str">
        <f t="shared" ca="1" si="0"/>
        <v>Funding</v>
      </c>
      <c r="H6" s="76" t="str">
        <f t="shared" ca="1" si="0"/>
        <v>Required</v>
      </c>
      <c r="I6" s="76" t="str">
        <f t="shared" ca="1" si="0"/>
        <v>Stable</v>
      </c>
      <c r="J6" s="76" t="str">
        <f t="shared" ca="1" si="0"/>
        <v>of</v>
      </c>
      <c r="K6" s="76" t="str">
        <f t="shared" ca="1" si="0"/>
        <v>Required</v>
      </c>
      <c r="L6" s="76" t="str">
        <f t="shared" ca="1" si="1"/>
        <v>Funding</v>
      </c>
      <c r="M6" s="76" t="str">
        <f t="shared" ca="1" si="1"/>
        <v>of</v>
      </c>
      <c r="N6" s="76" t="str">
        <f t="shared" ca="1" si="1"/>
        <v>Stable</v>
      </c>
      <c r="O6" s="76" t="str">
        <f t="shared" ca="1" si="1"/>
        <v>of</v>
      </c>
      <c r="P6" s="76" t="str">
        <f t="shared" ca="1" si="1"/>
        <v>Required</v>
      </c>
      <c r="Q6" s="76" t="str">
        <f t="shared" ca="1" si="1"/>
        <v>Required</v>
      </c>
      <c r="R6" s="76" t="str">
        <f t="shared" ca="1" si="1"/>
        <v>of</v>
      </c>
      <c r="S6" s="76" t="str">
        <f t="shared" ca="1" si="1"/>
        <v>of</v>
      </c>
      <c r="T6" s="76" t="str">
        <f t="shared" ca="1" si="1"/>
        <v>Funding</v>
      </c>
      <c r="U6" s="76" t="str">
        <f t="shared" ca="1" si="1"/>
        <v>Stable</v>
      </c>
      <c r="V6" s="76" t="str">
        <f t="shared" ca="1" si="2"/>
        <v>of</v>
      </c>
      <c r="W6" s="76" t="str">
        <f t="shared" ca="1" si="2"/>
        <v>of</v>
      </c>
      <c r="X6" s="76" t="str">
        <f t="shared" ca="1" si="2"/>
        <v>Required</v>
      </c>
      <c r="Y6" s="76" t="str">
        <f t="shared" ca="1" si="2"/>
        <v>of</v>
      </c>
      <c r="Z6" s="76" t="str">
        <f t="shared" ca="1" si="2"/>
        <v>Stable</v>
      </c>
      <c r="AA6" s="76" t="str">
        <f t="shared" ca="1" si="2"/>
        <v>Required</v>
      </c>
      <c r="AB6" s="76" t="str">
        <f t="shared" ca="1" si="2"/>
        <v>Funding</v>
      </c>
      <c r="AC6" s="76" t="str">
        <f t="shared" ca="1" si="2"/>
        <v>Funding</v>
      </c>
      <c r="AD6" s="76" t="str">
        <f t="shared" ca="1" si="2"/>
        <v>Stable</v>
      </c>
      <c r="AE6" s="76" t="str">
        <f t="shared" ca="1" si="2"/>
        <v>Required</v>
      </c>
    </row>
    <row r="7" spans="2:31" ht="26" customHeight="1" x14ac:dyDescent="0.3">
      <c r="B7" s="76" t="str">
        <f t="shared" ref="B7:M13" ca="1" si="3">VLOOKUP(RANDBETWEEN(1,4),table_asf,2,0)</f>
        <v>Required</v>
      </c>
      <c r="C7" s="76" t="str">
        <f t="shared" ca="1" si="3"/>
        <v>Required</v>
      </c>
      <c r="D7" s="76" t="str">
        <f t="shared" ca="1" si="3"/>
        <v>Required</v>
      </c>
      <c r="E7" s="76" t="str">
        <f t="shared" ca="1" si="3"/>
        <v>Required</v>
      </c>
      <c r="F7" s="76" t="str">
        <f t="shared" ca="1" si="3"/>
        <v>Funding</v>
      </c>
      <c r="G7" s="76" t="str">
        <f t="shared" ca="1" si="3"/>
        <v>Stable</v>
      </c>
      <c r="H7" s="76" t="str">
        <f t="shared" ca="1" si="3"/>
        <v>Funding</v>
      </c>
      <c r="I7" s="76" t="str">
        <f t="shared" ca="1" si="3"/>
        <v>Required</v>
      </c>
      <c r="J7" s="76" t="str">
        <f t="shared" ca="1" si="3"/>
        <v>Funding</v>
      </c>
      <c r="K7" s="76" t="str">
        <f t="shared" ca="1" si="3"/>
        <v>Stable</v>
      </c>
      <c r="L7" s="76" t="str">
        <f t="shared" ca="1" si="3"/>
        <v>Stable</v>
      </c>
      <c r="M7" s="76" t="str">
        <f t="shared" ca="1" si="3"/>
        <v>Required</v>
      </c>
      <c r="N7" s="144" t="s">
        <v>280</v>
      </c>
      <c r="O7" s="144"/>
      <c r="P7" s="144"/>
      <c r="Q7" s="76" t="str">
        <f t="shared" ref="Q7:AE13" ca="1" si="4">VLOOKUP(RANDBETWEEN(1,4),table_asf,2,0)</f>
        <v>of</v>
      </c>
      <c r="R7" s="76" t="str">
        <f t="shared" ca="1" si="4"/>
        <v>Stable</v>
      </c>
      <c r="S7" s="76" t="str">
        <f t="shared" ca="1" si="4"/>
        <v>Funding</v>
      </c>
      <c r="T7" s="76" t="str">
        <f t="shared" ca="1" si="4"/>
        <v>Stable</v>
      </c>
      <c r="U7" s="76" t="str">
        <f t="shared" ca="1" si="4"/>
        <v>of</v>
      </c>
      <c r="V7" s="76" t="str">
        <f t="shared" ca="1" si="4"/>
        <v>of</v>
      </c>
      <c r="W7" s="76" t="str">
        <f t="shared" ca="1" si="4"/>
        <v>Stable</v>
      </c>
      <c r="X7" s="76" t="str">
        <f t="shared" ca="1" si="4"/>
        <v>of</v>
      </c>
      <c r="Y7" s="76" t="str">
        <f t="shared" ca="1" si="4"/>
        <v>Required</v>
      </c>
      <c r="Z7" s="76" t="str">
        <f t="shared" ca="1" si="4"/>
        <v>Stable</v>
      </c>
      <c r="AA7" s="76" t="str">
        <f t="shared" ca="1" si="4"/>
        <v>of</v>
      </c>
      <c r="AB7" s="76" t="str">
        <f t="shared" ca="1" si="4"/>
        <v>Required</v>
      </c>
      <c r="AC7" s="76" t="str">
        <f t="shared" ca="1" si="4"/>
        <v>Required</v>
      </c>
      <c r="AD7" s="76" t="str">
        <f t="shared" ca="1" si="4"/>
        <v>Required</v>
      </c>
      <c r="AE7" s="76" t="str">
        <f t="shared" ca="1" si="4"/>
        <v>Stable</v>
      </c>
    </row>
    <row r="8" spans="2:31" ht="26" customHeight="1" x14ac:dyDescent="0.3">
      <c r="B8" s="76" t="str">
        <f t="shared" ca="1" si="3"/>
        <v>Funding</v>
      </c>
      <c r="C8" s="76" t="str">
        <f t="shared" ca="1" si="3"/>
        <v>Funding</v>
      </c>
      <c r="D8" s="76" t="str">
        <f t="shared" ca="1" si="3"/>
        <v>Funding</v>
      </c>
      <c r="E8" s="76" t="str">
        <f t="shared" ca="1" si="3"/>
        <v>Stable</v>
      </c>
      <c r="F8" s="76" t="str">
        <f t="shared" ca="1" si="3"/>
        <v>Stable</v>
      </c>
      <c r="G8" s="76" t="str">
        <f t="shared" ca="1" si="3"/>
        <v>of</v>
      </c>
      <c r="H8" s="76" t="str">
        <f t="shared" ca="1" si="3"/>
        <v>Stable</v>
      </c>
      <c r="I8" s="76" t="str">
        <f t="shared" ca="1" si="3"/>
        <v>Stable</v>
      </c>
      <c r="J8" s="76" t="str">
        <f t="shared" ca="1" si="3"/>
        <v>Stable</v>
      </c>
      <c r="K8" s="76" t="str">
        <f t="shared" ca="1" si="3"/>
        <v>Funding</v>
      </c>
      <c r="L8" s="76" t="str">
        <f t="shared" ca="1" si="3"/>
        <v>Funding</v>
      </c>
      <c r="M8" s="76" t="str">
        <f t="shared" ca="1" si="3"/>
        <v>Required</v>
      </c>
      <c r="N8" s="144"/>
      <c r="O8" s="144"/>
      <c r="P8" s="144"/>
      <c r="Q8" s="76" t="str">
        <f t="shared" ca="1" si="4"/>
        <v>Funding</v>
      </c>
      <c r="R8" s="76" t="str">
        <f t="shared" ca="1" si="4"/>
        <v>Required</v>
      </c>
      <c r="S8" s="76" t="str">
        <f t="shared" ca="1" si="4"/>
        <v>Stable</v>
      </c>
      <c r="T8" s="76" t="str">
        <f t="shared" ca="1" si="4"/>
        <v>Funding</v>
      </c>
      <c r="U8" s="76" t="str">
        <f t="shared" ca="1" si="4"/>
        <v>Stable</v>
      </c>
      <c r="V8" s="76" t="str">
        <f t="shared" ca="1" si="4"/>
        <v>Required</v>
      </c>
      <c r="W8" s="76" t="str">
        <f t="shared" ca="1" si="4"/>
        <v>Required</v>
      </c>
      <c r="X8" s="76" t="str">
        <f t="shared" ca="1" si="4"/>
        <v>Funding</v>
      </c>
      <c r="Y8" s="76" t="str">
        <f t="shared" ca="1" si="4"/>
        <v>Stable</v>
      </c>
      <c r="Z8" s="76" t="str">
        <f t="shared" ca="1" si="4"/>
        <v>Required</v>
      </c>
      <c r="AA8" s="76" t="str">
        <f t="shared" ca="1" si="4"/>
        <v>Stable</v>
      </c>
      <c r="AB8" s="76" t="str">
        <f t="shared" ca="1" si="4"/>
        <v>Required</v>
      </c>
      <c r="AC8" s="76" t="str">
        <f t="shared" ca="1" si="4"/>
        <v>Required</v>
      </c>
      <c r="AD8" s="76" t="str">
        <f t="shared" ca="1" si="4"/>
        <v>Funding</v>
      </c>
      <c r="AE8" s="76" t="str">
        <f t="shared" ca="1" si="4"/>
        <v>of</v>
      </c>
    </row>
    <row r="9" spans="2:31" ht="26" customHeight="1" x14ac:dyDescent="0.3">
      <c r="B9" s="76" t="str">
        <f t="shared" ca="1" si="3"/>
        <v>Funding</v>
      </c>
      <c r="C9" s="76" t="str">
        <f t="shared" ca="1" si="3"/>
        <v>of</v>
      </c>
      <c r="D9" s="76" t="str">
        <f t="shared" ca="1" si="3"/>
        <v>of</v>
      </c>
      <c r="E9" s="76" t="str">
        <f t="shared" ca="1" si="3"/>
        <v>of</v>
      </c>
      <c r="F9" s="76" t="str">
        <f t="shared" ca="1" si="3"/>
        <v>Funding</v>
      </c>
      <c r="G9" s="76" t="str">
        <f t="shared" ca="1" si="3"/>
        <v>Funding</v>
      </c>
      <c r="H9" s="76" t="str">
        <f t="shared" ca="1" si="3"/>
        <v>Required</v>
      </c>
      <c r="I9" s="76" t="str">
        <f t="shared" ca="1" si="3"/>
        <v>Funding</v>
      </c>
      <c r="J9" s="76" t="str">
        <f t="shared" ca="1" si="3"/>
        <v>Stable</v>
      </c>
      <c r="K9" s="76" t="str">
        <f t="shared" ca="1" si="3"/>
        <v>Stable</v>
      </c>
      <c r="L9" s="76" t="str">
        <f t="shared" ca="1" si="3"/>
        <v>Stable</v>
      </c>
      <c r="M9" s="76" t="str">
        <f t="shared" ca="1" si="3"/>
        <v>Stable</v>
      </c>
      <c r="N9" s="144"/>
      <c r="O9" s="144"/>
      <c r="P9" s="144"/>
      <c r="Q9" s="76" t="str">
        <f t="shared" ca="1" si="4"/>
        <v>Funding</v>
      </c>
      <c r="R9" s="76" t="str">
        <f t="shared" ca="1" si="4"/>
        <v>Stable</v>
      </c>
      <c r="S9" s="76" t="str">
        <f t="shared" ca="1" si="4"/>
        <v>Stable</v>
      </c>
      <c r="T9" s="76" t="str">
        <f t="shared" ca="1" si="4"/>
        <v>Stable</v>
      </c>
      <c r="U9" s="76" t="str">
        <f t="shared" ca="1" si="4"/>
        <v>Stable</v>
      </c>
      <c r="V9" s="76" t="str">
        <f t="shared" ca="1" si="4"/>
        <v>Funding</v>
      </c>
      <c r="W9" s="76" t="str">
        <f t="shared" ca="1" si="4"/>
        <v>Funding</v>
      </c>
      <c r="X9" s="76" t="str">
        <f t="shared" ca="1" si="4"/>
        <v>Stable</v>
      </c>
      <c r="Y9" s="76" t="str">
        <f t="shared" ca="1" si="4"/>
        <v>of</v>
      </c>
      <c r="Z9" s="76" t="str">
        <f t="shared" ca="1" si="4"/>
        <v>of</v>
      </c>
      <c r="AA9" s="76" t="str">
        <f t="shared" ca="1" si="4"/>
        <v>Required</v>
      </c>
      <c r="AB9" s="76" t="str">
        <f t="shared" ca="1" si="4"/>
        <v>Required</v>
      </c>
      <c r="AC9" s="76" t="str">
        <f t="shared" ca="1" si="4"/>
        <v>Required</v>
      </c>
      <c r="AD9" s="76" t="str">
        <f t="shared" ca="1" si="4"/>
        <v>of</v>
      </c>
      <c r="AE9" s="76" t="str">
        <f t="shared" ca="1" si="4"/>
        <v>Required</v>
      </c>
    </row>
    <row r="10" spans="2:31" ht="26" customHeight="1" x14ac:dyDescent="0.3">
      <c r="B10" s="76" t="str">
        <f t="shared" ca="1" si="3"/>
        <v>Stable</v>
      </c>
      <c r="C10" s="76" t="str">
        <f t="shared" ca="1" si="3"/>
        <v>Funding</v>
      </c>
      <c r="D10" s="76" t="str">
        <f t="shared" ca="1" si="3"/>
        <v>Required</v>
      </c>
      <c r="E10" s="76" t="str">
        <f t="shared" ca="1" si="3"/>
        <v>Funding</v>
      </c>
      <c r="F10" s="76" t="str">
        <f t="shared" ca="1" si="3"/>
        <v>Stable</v>
      </c>
      <c r="G10" s="76" t="str">
        <f t="shared" ca="1" si="3"/>
        <v>of</v>
      </c>
      <c r="H10" s="76" t="str">
        <f t="shared" ca="1" si="3"/>
        <v>Required</v>
      </c>
      <c r="I10" s="76" t="str">
        <f t="shared" ca="1" si="3"/>
        <v>of</v>
      </c>
      <c r="J10" s="76" t="str">
        <f t="shared" ca="1" si="3"/>
        <v>of</v>
      </c>
      <c r="K10" s="76" t="str">
        <f t="shared" ca="1" si="3"/>
        <v>Required</v>
      </c>
      <c r="L10" s="76" t="str">
        <f t="shared" ca="1" si="3"/>
        <v>of</v>
      </c>
      <c r="M10" s="76" t="str">
        <f t="shared" ca="1" si="3"/>
        <v>Required</v>
      </c>
      <c r="N10" s="76" t="str">
        <f t="shared" ref="N10:P13" ca="1" si="5">VLOOKUP(RANDBETWEEN(1,4),table_asf,2,0)</f>
        <v>of</v>
      </c>
      <c r="O10" s="76" t="str">
        <f t="shared" ca="1" si="5"/>
        <v>Stable</v>
      </c>
      <c r="P10" s="76" t="str">
        <f t="shared" ca="1" si="5"/>
        <v>Stable</v>
      </c>
      <c r="Q10" s="76" t="str">
        <f t="shared" ca="1" si="4"/>
        <v>of</v>
      </c>
      <c r="R10" s="76" t="str">
        <f t="shared" ca="1" si="4"/>
        <v>of</v>
      </c>
      <c r="S10" s="76" t="str">
        <f t="shared" ca="1" si="4"/>
        <v>Stable</v>
      </c>
      <c r="T10" s="76" t="str">
        <f t="shared" ca="1" si="4"/>
        <v>Stable</v>
      </c>
      <c r="U10" s="76" t="str">
        <f t="shared" ca="1" si="4"/>
        <v>Funding</v>
      </c>
      <c r="V10" s="76" t="str">
        <f t="shared" ca="1" si="4"/>
        <v>Required</v>
      </c>
      <c r="W10" s="76" t="str">
        <f t="shared" ca="1" si="4"/>
        <v>Stable</v>
      </c>
      <c r="X10" s="76" t="str">
        <f t="shared" ca="1" si="4"/>
        <v>Funding</v>
      </c>
      <c r="Y10" s="76" t="str">
        <f t="shared" ca="1" si="4"/>
        <v>Stable</v>
      </c>
      <c r="Z10" s="76" t="str">
        <f t="shared" ca="1" si="4"/>
        <v>Required</v>
      </c>
      <c r="AA10" s="76" t="str">
        <f t="shared" ca="1" si="4"/>
        <v>of</v>
      </c>
      <c r="AB10" s="76" t="str">
        <f t="shared" ca="1" si="4"/>
        <v>Stable</v>
      </c>
      <c r="AC10" s="76" t="str">
        <f t="shared" ca="1" si="4"/>
        <v>Funding</v>
      </c>
      <c r="AD10" s="76" t="str">
        <f t="shared" ca="1" si="4"/>
        <v>Funding</v>
      </c>
      <c r="AE10" s="76" t="str">
        <f t="shared" ca="1" si="4"/>
        <v>Funding</v>
      </c>
    </row>
    <row r="11" spans="2:31" ht="26" customHeight="1" x14ac:dyDescent="0.3">
      <c r="B11" s="76" t="str">
        <f t="shared" ca="1" si="3"/>
        <v>Stable</v>
      </c>
      <c r="C11" s="76" t="str">
        <f t="shared" ca="1" si="3"/>
        <v>of</v>
      </c>
      <c r="D11" s="76" t="str">
        <f t="shared" ca="1" si="3"/>
        <v>Funding</v>
      </c>
      <c r="E11" s="76" t="str">
        <f t="shared" ca="1" si="3"/>
        <v>Funding</v>
      </c>
      <c r="F11" s="76" t="str">
        <f t="shared" ca="1" si="3"/>
        <v>Stable</v>
      </c>
      <c r="G11" s="76" t="str">
        <f t="shared" ca="1" si="3"/>
        <v>Required</v>
      </c>
      <c r="H11" s="76" t="str">
        <f t="shared" ca="1" si="3"/>
        <v>Funding</v>
      </c>
      <c r="I11" s="76" t="str">
        <f t="shared" ca="1" si="3"/>
        <v>Funding</v>
      </c>
      <c r="J11" s="76" t="str">
        <f t="shared" ca="1" si="3"/>
        <v>Required</v>
      </c>
      <c r="K11" s="76" t="str">
        <f t="shared" ca="1" si="3"/>
        <v>Funding</v>
      </c>
      <c r="L11" s="76" t="str">
        <f t="shared" ca="1" si="3"/>
        <v>Stable</v>
      </c>
      <c r="M11" s="76" t="str">
        <f t="shared" ca="1" si="3"/>
        <v>Stable</v>
      </c>
      <c r="N11" s="76" t="str">
        <f t="shared" ca="1" si="5"/>
        <v>Funding</v>
      </c>
      <c r="O11" s="76" t="str">
        <f t="shared" ca="1" si="5"/>
        <v>Stable</v>
      </c>
      <c r="P11" s="76" t="str">
        <f t="shared" ca="1" si="5"/>
        <v>Funding</v>
      </c>
      <c r="Q11" s="76" t="str">
        <f t="shared" ca="1" si="4"/>
        <v>Stable</v>
      </c>
      <c r="R11" s="76" t="str">
        <f t="shared" ca="1" si="4"/>
        <v>of</v>
      </c>
      <c r="S11" s="76" t="str">
        <f t="shared" ca="1" si="4"/>
        <v>Required</v>
      </c>
      <c r="T11" s="76" t="str">
        <f t="shared" ca="1" si="4"/>
        <v>Required</v>
      </c>
      <c r="U11" s="76" t="str">
        <f t="shared" ca="1" si="4"/>
        <v>Required</v>
      </c>
      <c r="V11" s="76" t="str">
        <f t="shared" ca="1" si="4"/>
        <v>of</v>
      </c>
      <c r="W11" s="76" t="str">
        <f t="shared" ca="1" si="4"/>
        <v>of</v>
      </c>
      <c r="X11" s="76" t="str">
        <f t="shared" ca="1" si="4"/>
        <v>Stable</v>
      </c>
      <c r="Y11" s="76" t="str">
        <f t="shared" ca="1" si="4"/>
        <v>Funding</v>
      </c>
      <c r="Z11" s="76" t="str">
        <f t="shared" ca="1" si="4"/>
        <v>Required</v>
      </c>
      <c r="AA11" s="76" t="str">
        <f t="shared" ca="1" si="4"/>
        <v>Funding</v>
      </c>
      <c r="AB11" s="76" t="str">
        <f t="shared" ca="1" si="4"/>
        <v>of</v>
      </c>
      <c r="AC11" s="76" t="str">
        <f t="shared" ca="1" si="4"/>
        <v>Stable</v>
      </c>
      <c r="AD11" s="76" t="str">
        <f t="shared" ca="1" si="4"/>
        <v>Funding</v>
      </c>
      <c r="AE11" s="76" t="str">
        <f t="shared" ca="1" si="4"/>
        <v>Required</v>
      </c>
    </row>
    <row r="12" spans="2:31" ht="26" customHeight="1" x14ac:dyDescent="0.3">
      <c r="B12" s="76" t="str">
        <f t="shared" ca="1" si="3"/>
        <v>Stable</v>
      </c>
      <c r="C12" s="76" t="str">
        <f t="shared" ca="1" si="3"/>
        <v>Required</v>
      </c>
      <c r="D12" s="76" t="str">
        <f t="shared" ca="1" si="3"/>
        <v>Required</v>
      </c>
      <c r="E12" s="76" t="str">
        <f t="shared" ca="1" si="3"/>
        <v>Required</v>
      </c>
      <c r="F12" s="76" t="str">
        <f t="shared" ca="1" si="3"/>
        <v>Funding</v>
      </c>
      <c r="G12" s="76" t="str">
        <f t="shared" ca="1" si="3"/>
        <v>Funding</v>
      </c>
      <c r="H12" s="76" t="str">
        <f t="shared" ca="1" si="3"/>
        <v>Stable</v>
      </c>
      <c r="I12" s="76" t="str">
        <f t="shared" ca="1" si="3"/>
        <v>Stable</v>
      </c>
      <c r="J12" s="76" t="str">
        <f t="shared" ca="1" si="3"/>
        <v>Funding</v>
      </c>
      <c r="K12" s="76" t="str">
        <f t="shared" ca="1" si="3"/>
        <v>Required</v>
      </c>
      <c r="L12" s="76" t="str">
        <f t="shared" ca="1" si="3"/>
        <v>Funding</v>
      </c>
      <c r="M12" s="76" t="str">
        <f t="shared" ca="1" si="3"/>
        <v>Required</v>
      </c>
      <c r="N12" s="76" t="str">
        <f t="shared" ca="1" si="5"/>
        <v>Required</v>
      </c>
      <c r="O12" s="76" t="str">
        <f t="shared" ca="1" si="5"/>
        <v>Stable</v>
      </c>
      <c r="P12" s="76" t="str">
        <f t="shared" ca="1" si="5"/>
        <v>Funding</v>
      </c>
      <c r="Q12" s="76" t="str">
        <f t="shared" ca="1" si="4"/>
        <v>Required</v>
      </c>
      <c r="R12" s="76" t="str">
        <f t="shared" ca="1" si="4"/>
        <v>Required</v>
      </c>
      <c r="S12" s="76" t="str">
        <f t="shared" ca="1" si="4"/>
        <v>Required</v>
      </c>
      <c r="T12" s="76" t="str">
        <f t="shared" ca="1" si="4"/>
        <v>Required</v>
      </c>
      <c r="U12" s="76" t="str">
        <f t="shared" ca="1" si="4"/>
        <v>of</v>
      </c>
      <c r="V12" s="76" t="str">
        <f t="shared" ca="1" si="4"/>
        <v>Funding</v>
      </c>
      <c r="W12" s="76" t="str">
        <f t="shared" ca="1" si="4"/>
        <v>Funding</v>
      </c>
      <c r="X12" s="76" t="str">
        <f t="shared" ca="1" si="4"/>
        <v>Funding</v>
      </c>
      <c r="Y12" s="76" t="str">
        <f t="shared" ca="1" si="4"/>
        <v>of</v>
      </c>
      <c r="Z12" s="76" t="str">
        <f t="shared" ca="1" si="4"/>
        <v>Funding</v>
      </c>
      <c r="AA12" s="76" t="str">
        <f t="shared" ca="1" si="4"/>
        <v>of</v>
      </c>
      <c r="AB12" s="76" t="str">
        <f t="shared" ca="1" si="4"/>
        <v>Funding</v>
      </c>
      <c r="AC12" s="76" t="str">
        <f t="shared" ca="1" si="4"/>
        <v>of</v>
      </c>
      <c r="AD12" s="76" t="str">
        <f t="shared" ca="1" si="4"/>
        <v>Required</v>
      </c>
      <c r="AE12" s="76" t="str">
        <f t="shared" ca="1" si="4"/>
        <v>Required</v>
      </c>
    </row>
    <row r="13" spans="2:31" x14ac:dyDescent="0.3">
      <c r="B13" s="76" t="str">
        <f t="shared" ca="1" si="3"/>
        <v>of</v>
      </c>
      <c r="C13" s="76" t="str">
        <f t="shared" ca="1" si="3"/>
        <v>Required</v>
      </c>
      <c r="D13" s="76" t="str">
        <f t="shared" ca="1" si="3"/>
        <v>of</v>
      </c>
      <c r="E13" s="76" t="str">
        <f t="shared" ca="1" si="3"/>
        <v>of</v>
      </c>
      <c r="F13" s="76" t="str">
        <f t="shared" ca="1" si="3"/>
        <v>Stable</v>
      </c>
      <c r="G13" s="76" t="str">
        <f t="shared" ca="1" si="3"/>
        <v>of</v>
      </c>
      <c r="H13" s="76" t="str">
        <f t="shared" ca="1" si="3"/>
        <v>Funding</v>
      </c>
      <c r="I13" s="76" t="str">
        <f t="shared" ca="1" si="3"/>
        <v>Required</v>
      </c>
      <c r="J13" s="76" t="str">
        <f t="shared" ca="1" si="3"/>
        <v>of</v>
      </c>
      <c r="K13" s="76" t="str">
        <f t="shared" ca="1" si="3"/>
        <v>Stable</v>
      </c>
      <c r="L13" s="76" t="str">
        <f t="shared" ca="1" si="3"/>
        <v>Funding</v>
      </c>
      <c r="M13" s="76" t="str">
        <f t="shared" ca="1" si="3"/>
        <v>Funding</v>
      </c>
      <c r="N13" s="76" t="str">
        <f t="shared" ca="1" si="5"/>
        <v>Required</v>
      </c>
      <c r="O13" s="76" t="str">
        <f t="shared" ca="1" si="5"/>
        <v>of</v>
      </c>
      <c r="P13" s="76" t="str">
        <f t="shared" ca="1" si="5"/>
        <v>of</v>
      </c>
      <c r="Q13" s="76" t="str">
        <f t="shared" ca="1" si="4"/>
        <v>Required</v>
      </c>
      <c r="R13" s="76" t="str">
        <f t="shared" ca="1" si="4"/>
        <v>Stable</v>
      </c>
      <c r="S13" s="76" t="str">
        <f t="shared" ca="1" si="4"/>
        <v>of</v>
      </c>
      <c r="T13" s="76" t="str">
        <f t="shared" ca="1" si="4"/>
        <v>Stable</v>
      </c>
      <c r="U13" s="76" t="str">
        <f t="shared" ca="1" si="4"/>
        <v>Stable</v>
      </c>
      <c r="V13" s="76" t="str">
        <f t="shared" ca="1" si="4"/>
        <v>Stable</v>
      </c>
      <c r="W13" s="76" t="str">
        <f t="shared" ca="1" si="4"/>
        <v>of</v>
      </c>
      <c r="X13" s="76" t="str">
        <f t="shared" ca="1" si="4"/>
        <v>Stable</v>
      </c>
      <c r="Y13" s="76" t="str">
        <f t="shared" ca="1" si="4"/>
        <v>Required</v>
      </c>
      <c r="Z13" s="76" t="str">
        <f t="shared" ca="1" si="4"/>
        <v>Funding</v>
      </c>
      <c r="AA13" s="76" t="str">
        <f t="shared" ca="1" si="4"/>
        <v>Stable</v>
      </c>
      <c r="AB13" s="76" t="str">
        <f t="shared" ca="1" si="4"/>
        <v>of</v>
      </c>
      <c r="AC13" s="76" t="str">
        <f t="shared" ca="1" si="4"/>
        <v>Stable</v>
      </c>
      <c r="AD13" s="76" t="str">
        <f t="shared" ca="1" si="4"/>
        <v>Funding</v>
      </c>
      <c r="AE13" s="76" t="str">
        <f t="shared" ca="1" si="4"/>
        <v>Funding</v>
      </c>
    </row>
    <row r="15" spans="2:31" x14ac:dyDescent="0.3">
      <c r="D15" s="107" t="s">
        <v>180</v>
      </c>
      <c r="E15" s="106" t="s">
        <v>185</v>
      </c>
      <c r="K15" s="106" t="s">
        <v>276</v>
      </c>
      <c r="O15" s="88" t="s">
        <v>280</v>
      </c>
    </row>
    <row r="16" spans="2:31" x14ac:dyDescent="0.3">
      <c r="D16" s="98" t="s">
        <v>211</v>
      </c>
      <c r="E16" s="100">
        <v>0</v>
      </c>
      <c r="K16" s="98" t="s">
        <v>267</v>
      </c>
      <c r="L16" s="88">
        <v>18</v>
      </c>
      <c r="M16" s="122"/>
      <c r="N16" s="100"/>
      <c r="O16" s="105"/>
    </row>
    <row r="17" spans="3:14" x14ac:dyDescent="0.3">
      <c r="D17" s="98" t="s">
        <v>279</v>
      </c>
      <c r="E17" s="100">
        <v>0</v>
      </c>
      <c r="K17" s="98" t="s">
        <v>265</v>
      </c>
      <c r="L17" s="88">
        <v>12</v>
      </c>
      <c r="M17" s="122"/>
      <c r="N17" s="100"/>
    </row>
    <row r="18" spans="3:14" x14ac:dyDescent="0.3">
      <c r="D18" s="98" t="s">
        <v>318</v>
      </c>
      <c r="E18" s="100">
        <v>0.05</v>
      </c>
      <c r="K18" s="98" t="s">
        <v>258</v>
      </c>
      <c r="L18" s="88">
        <v>4</v>
      </c>
      <c r="M18" s="122"/>
      <c r="N18" s="100"/>
    </row>
    <row r="19" spans="3:14" x14ac:dyDescent="0.3">
      <c r="D19" s="98" t="s">
        <v>278</v>
      </c>
      <c r="E19" s="100">
        <v>0.2</v>
      </c>
      <c r="K19" s="98" t="s">
        <v>213</v>
      </c>
      <c r="L19" s="88">
        <v>80</v>
      </c>
      <c r="M19" s="122"/>
      <c r="N19" s="100"/>
    </row>
    <row r="20" spans="3:14" x14ac:dyDescent="0.3">
      <c r="D20" s="98" t="s">
        <v>258</v>
      </c>
      <c r="E20" s="100">
        <v>0.5</v>
      </c>
      <c r="K20" s="98" t="s">
        <v>256</v>
      </c>
      <c r="L20" s="88">
        <v>22</v>
      </c>
      <c r="M20" s="122"/>
      <c r="N20" s="100"/>
    </row>
    <row r="21" spans="3:14" x14ac:dyDescent="0.3">
      <c r="D21" s="98" t="s">
        <v>213</v>
      </c>
      <c r="E21" s="100">
        <v>0.65</v>
      </c>
      <c r="K21" s="98"/>
      <c r="N21" s="100"/>
    </row>
    <row r="22" spans="3:14" x14ac:dyDescent="0.3">
      <c r="D22" s="98" t="s">
        <v>256</v>
      </c>
      <c r="E22" s="100">
        <v>0.85</v>
      </c>
      <c r="K22" s="98"/>
      <c r="N22" s="100"/>
    </row>
    <row r="23" spans="3:14" x14ac:dyDescent="0.3">
      <c r="D23" s="98" t="s">
        <v>267</v>
      </c>
      <c r="E23" s="100">
        <v>1</v>
      </c>
      <c r="K23" s="98"/>
      <c r="N23" s="100"/>
    </row>
    <row r="24" spans="3:14" x14ac:dyDescent="0.3">
      <c r="D24" s="98" t="s">
        <v>265</v>
      </c>
      <c r="E24" s="100">
        <v>1</v>
      </c>
      <c r="I24" s="98"/>
      <c r="K24" s="98"/>
      <c r="N24" s="100"/>
    </row>
    <row r="25" spans="3:14" x14ac:dyDescent="0.3">
      <c r="D25" s="91"/>
      <c r="E25" s="91"/>
      <c r="F25" s="90"/>
      <c r="G25" s="91"/>
      <c r="I25" s="98"/>
      <c r="K25" s="98"/>
      <c r="N25" s="100"/>
    </row>
    <row r="26" spans="3:14" x14ac:dyDescent="0.3">
      <c r="E26" s="91"/>
      <c r="F26" s="91"/>
      <c r="H26" s="91"/>
      <c r="I26" s="91"/>
      <c r="K26" s="98"/>
      <c r="N26" s="100"/>
    </row>
    <row r="27" spans="3:14" x14ac:dyDescent="0.3">
      <c r="C27" s="92">
        <v>1</v>
      </c>
      <c r="D27" s="92" t="s">
        <v>277</v>
      </c>
      <c r="E27" s="91"/>
      <c r="F27" s="90"/>
      <c r="K27" s="98"/>
    </row>
    <row r="28" spans="3:14" x14ac:dyDescent="0.3">
      <c r="C28" s="92">
        <v>2</v>
      </c>
      <c r="D28" s="92" t="s">
        <v>251</v>
      </c>
      <c r="E28" s="91"/>
      <c r="F28" s="90"/>
    </row>
    <row r="29" spans="3:14" x14ac:dyDescent="0.3">
      <c r="C29" s="92">
        <v>3</v>
      </c>
      <c r="D29" s="92" t="s">
        <v>250</v>
      </c>
      <c r="E29" s="91"/>
      <c r="F29" s="90"/>
    </row>
    <row r="30" spans="3:14" x14ac:dyDescent="0.3">
      <c r="C30" s="92">
        <v>4</v>
      </c>
      <c r="D30" s="92" t="s">
        <v>249</v>
      </c>
      <c r="E30" s="91"/>
      <c r="F30" s="90"/>
    </row>
    <row r="31" spans="3:14" x14ac:dyDescent="0.3">
      <c r="E31" s="91"/>
      <c r="F31" s="90"/>
    </row>
    <row r="32" spans="3:14" x14ac:dyDescent="0.3">
      <c r="E32" s="91"/>
      <c r="F32" s="90"/>
    </row>
  </sheetData>
  <mergeCells count="1">
    <mergeCell ref="N7:P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Class9</vt:lpstr>
      <vt:lpstr>LiquidityRiskManagement</vt:lpstr>
      <vt:lpstr>Definition</vt:lpstr>
      <vt:lpstr>Basel III</vt:lpstr>
      <vt:lpstr>Basel III LCR</vt:lpstr>
      <vt:lpstr>Basel III NSFR</vt:lpstr>
      <vt:lpstr>Basel III NSFR Example</vt:lpstr>
      <vt:lpstr>Laddering</vt:lpstr>
      <vt:lpstr>Matz_Ch4</vt:lpstr>
      <vt:lpstr>Matz_Ch4_TextExample</vt:lpstr>
      <vt:lpstr>Homework</vt:lpstr>
      <vt:lpstr>Q1_FundingMix</vt:lpstr>
      <vt:lpstr>Q1_FundingMixCalcs</vt:lpstr>
      <vt:lpstr>LCR</vt:lpstr>
      <vt:lpstr>LCR_Calc</vt:lpstr>
      <vt:lpstr>NSFR</vt:lpstr>
      <vt:lpstr>ASF</vt:lpstr>
      <vt:lpstr>RSF</vt:lpstr>
      <vt:lpstr>RSF!table_asf</vt:lpstr>
      <vt:lpstr>table_asf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David Romoff</cp:lastModifiedBy>
  <dcterms:created xsi:type="dcterms:W3CDTF">2017-03-21T22:03:29Z</dcterms:created>
  <dcterms:modified xsi:type="dcterms:W3CDTF">2024-03-19T02:42:52Z</dcterms:modified>
</cp:coreProperties>
</file>