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2"/>
  <workbookPr/>
  <mc:AlternateContent xmlns:mc="http://schemas.openxmlformats.org/markup-compatibility/2006">
    <mc:Choice Requires="x15">
      <x15ac:absPath xmlns:x15ac="http://schemas.microsoft.com/office/spreadsheetml/2010/11/ac" url="/Users/davidromoff/Downloads/"/>
    </mc:Choice>
  </mc:AlternateContent>
  <xr:revisionPtr revIDLastSave="0" documentId="8_{5A5AC168-75FA-DC44-9AB0-26238686AC6A}" xr6:coauthVersionLast="47" xr6:coauthVersionMax="47" xr10:uidLastSave="{00000000-0000-0000-0000-000000000000}"/>
  <bookViews>
    <workbookView xWindow="0" yWindow="0" windowWidth="28800" windowHeight="16200" tabRatio="500" xr2:uid="{00000000-000D-0000-FFFF-FFFF00000000}"/>
  </bookViews>
  <sheets>
    <sheet name="Class6" sheetId="3" r:id="rId1"/>
    <sheet name="AltmansZ" sheetId="15" r:id="rId2"/>
    <sheet name="AltmansZQuestion" sheetId="16" r:id="rId3"/>
    <sheet name="CreditMatrix" sheetId="9" r:id="rId4"/>
    <sheet name="CreditMatrix_Weighted" sheetId="10" r:id="rId5"/>
    <sheet name="CreditMatrix_Loss" sheetId="11" r:id="rId6"/>
    <sheet name="Merton1" sheetId="13" r:id="rId7"/>
    <sheet name="Merton2" sheetId="30" r:id="rId8"/>
    <sheet name="ELoss" sheetId="32" r:id="rId9"/>
    <sheet name="CVA" sheetId="29" r:id="rId10"/>
    <sheet name="CVA_Sim" sheetId="28" r:id="rId11"/>
    <sheet name="Homework" sheetId="5" r:id="rId12"/>
    <sheet name="Q_AltmansZ" sheetId="18" r:id="rId13"/>
    <sheet name="Q_TMat" sheetId="19" r:id="rId14"/>
    <sheet name="CQ3_MM" sheetId="20" state="hidden" r:id="rId15"/>
    <sheet name="Models" sheetId="31" r:id="rId16"/>
    <sheet name="PD" sheetId="21" r:id="rId17"/>
    <sheet name="EAD" sheetId="22" r:id="rId18"/>
    <sheet name="EAD_Workspace" sheetId="23" r:id="rId19"/>
    <sheet name="LGD" sheetId="33" r:id="rId20"/>
    <sheet name="CreditRatings" sheetId="25" r:id="rId21"/>
    <sheet name="Remember" sheetId="6" r:id="rId22"/>
    <sheet name="Discussion" sheetId="8" r:id="rId23"/>
  </sheets>
  <externalReferences>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s>
  <definedNames>
    <definedName name="a">[1]Liquidity1!$B$7:$B$23</definedName>
    <definedName name="AccrualPMT" localSheetId="8">[2]PD2Spread!$I$23:$I$27</definedName>
    <definedName name="AccrualPMT">#REF!</definedName>
    <definedName name="alan">[3]Excel!$C$10</definedName>
    <definedName name="alpha">[1]Liquidity1!$G$28</definedName>
    <definedName name="Annual_Asset_drift">#REF!</definedName>
    <definedName name="Annual_drift">#REF!</definedName>
    <definedName name="Annual_Shock">#REF!</definedName>
    <definedName name="bid">[1]Liquidity1!$C$7:$C$23</definedName>
    <definedName name="Bond_Value" localSheetId="8">#REF!</definedName>
    <definedName name="Bond_Value">#REF!</definedName>
    <definedName name="Bond_Value_" localSheetId="8">#REF!</definedName>
    <definedName name="Bond_Value_">#REF!</definedName>
    <definedName name="Borrowing_Rate">[4]MyCo4!$B$20</definedName>
    <definedName name="C_">[5]OptionsHW!$C$20:$E$20</definedName>
    <definedName name="Capex">[4]MyCo5!$V$12:$Z$12</definedName>
    <definedName name="Cash">[4]MyCo3!$L$5</definedName>
    <definedName name="Cash_Flow">[4]MyCo5!$V$26:$Z$26</definedName>
    <definedName name="Cd" localSheetId="8">[6]Options2!#REF!</definedName>
    <definedName name="Cd">#REF!</definedName>
    <definedName name="CF_from_Financing">[4]MyCo5!$V$18:$Z$18</definedName>
    <definedName name="CF_from_Investments">[4]MyCo5!$V$13:$Z$13</definedName>
    <definedName name="Change" localSheetId="8">[3]VaR0!#REF!</definedName>
    <definedName name="Change">[3]VaR0!#REF!</definedName>
    <definedName name="CI" localSheetId="8">#REF!</definedName>
    <definedName name="CI">#REF!</definedName>
    <definedName name="CI_lo" localSheetId="8">#REF!</definedName>
    <definedName name="CI_lo">#REF!</definedName>
    <definedName name="COGS">[4]MyCo3!$O$12</definedName>
    <definedName name="cogs_table">[7]Definitions!$A$2:$B$5</definedName>
    <definedName name="contracts">[5]OptionsHW!$C$26:$E$26</definedName>
    <definedName name="CouponPmt" localSheetId="8">#REF!</definedName>
    <definedName name="CouponPmt">#REF!</definedName>
    <definedName name="CouponRate" localSheetId="8">#REF!</definedName>
    <definedName name="CouponRate">#REF!</definedName>
    <definedName name="Cu" localSheetId="8">[6]Options2!#REF!</definedName>
    <definedName name="Cu">#REF!</definedName>
    <definedName name="d" localSheetId="8">[6]Options2!$C$7</definedName>
    <definedName name="D" localSheetId="7">Merton2!$D$14</definedName>
    <definedName name="d">#REF!</definedName>
    <definedName name="D0">Merton2!$D$21</definedName>
    <definedName name="d1_" localSheetId="8">#REF!</definedName>
    <definedName name="d1_">#REF!</definedName>
    <definedName name="d2_" localSheetId="8">#REF!</definedName>
    <definedName name="d2_" localSheetId="7">Merton2!$I$12</definedName>
    <definedName name="d2_">#REF!</definedName>
    <definedName name="Debt_issued">[4]MyCo5!$V$16:$Z$16</definedName>
    <definedName name="Depreciation">[4]MyCo3!$O$13</definedName>
    <definedName name="Dmarket">Merton2!$D$20</definedName>
    <definedName name="dollar_rate" localSheetId="8">[8]FX_Intro!$C$67</definedName>
    <definedName name="dollar_rate">#REF!</definedName>
    <definedName name="dr">[9]CreditMetrics_Example!$X$31:$X$36</definedName>
    <definedName name="Duration">[9]CreditMetrics_Example!$R$31:$R$36</definedName>
    <definedName name="E0">Merton2!$D$12</definedName>
    <definedName name="Earnings_per_Share">[4]MyCo3!$O$26</definedName>
    <definedName name="EBIT">[4]MyCo3!$O$16</definedName>
    <definedName name="EEc">CVA_Sim!$C$41:$O$41</definedName>
    <definedName name="Eloss" localSheetId="8">[2]Spread2PD!$C$18</definedName>
    <definedName name="Eloss">#REF!</definedName>
    <definedName name="Epayoff" localSheetId="8">[2]PD2Spread!$E$23:$E$27</definedName>
    <definedName name="Epayoff">#REF!</definedName>
    <definedName name="EPS">[4]MyCo7!$AK$8:$AO$8</definedName>
    <definedName name="Equity_issued">[4]MyCo5!$V$17:$Z$17</definedName>
    <definedName name="ET">Merton2!$D$13</definedName>
    <definedName name="Expected_Drift">#REF!</definedName>
    <definedName name="Face" localSheetId="8">#REF!</definedName>
    <definedName name="Face">#REF!</definedName>
    <definedName name="Factories">[4]MyCo4!$O$7:$S$7</definedName>
    <definedName name="Fixed_Assets">[4]MyCo3!$L$6</definedName>
    <definedName name="forward_rate" localSheetId="8">[8]FX_Intro!$C$68</definedName>
    <definedName name="forward_rate">#REF!</definedName>
    <definedName name="Frequency" localSheetId="8">#REF!</definedName>
    <definedName name="Frequency">#REF!</definedName>
    <definedName name="Goodwill">[4]MyCo3!$L$8</definedName>
    <definedName name="Gross_Margin">[4]MyCo4!$O$28:$S$28</definedName>
    <definedName name="hazard" localSheetId="8">[2]PD2Spread!$B$9:$B$9</definedName>
    <definedName name="hazard">#REF!</definedName>
    <definedName name="idx">[2]Spread2PD!$P$24:$P$28</definedName>
    <definedName name="Interest_Expense">[4]MyCo3!$O$18</definedName>
    <definedName name="Inventory">[4]MyCo3!$L$7</definedName>
    <definedName name="K" localSheetId="8">[5]OptionsHW!$C$3</definedName>
    <definedName name="K">CVA_Sim!$C$23</definedName>
    <definedName name="Labor">[4]MyCo3!$O$14</definedName>
    <definedName name="LGD">CVA_Sim!$C$44:$O$44</definedName>
    <definedName name="LGDc">CVA_Sim!$C$45:$O$45</definedName>
    <definedName name="Loss" localSheetId="8">[2]Spread2PD!$E$41:$E$46</definedName>
    <definedName name="loss">#REF!</definedName>
    <definedName name="loss_30" localSheetId="8">#REF!</definedName>
    <definedName name="loss_30">#REF!</definedName>
    <definedName name="loss_t" localSheetId="8">#REF!</definedName>
    <definedName name="loss_t">#REF!</definedName>
    <definedName name="lossAmount" localSheetId="8">[2]Spread2PD!$G$47</definedName>
    <definedName name="lossAmount">#REF!</definedName>
    <definedName name="max">[9]CreditMetrics_Example!$AC$39</definedName>
    <definedName name="Mean" localSheetId="8">#REF!</definedName>
    <definedName name="Mean">#REF!</definedName>
    <definedName name="midprice">[1]Liquidity1!$E$7:$E$23</definedName>
    <definedName name="min">[9]CreditMetrics_Example!$AC$38</definedName>
    <definedName name="mu">[1]Liquidity1!$G$25</definedName>
    <definedName name="n" localSheetId="8">#REF!</definedName>
    <definedName name="n">#REF!</definedName>
    <definedName name="n_">[5]Date0Check1!$H$4:$H$23</definedName>
    <definedName name="N__d1">[5]OptionsHW!$C$14:$E$14</definedName>
    <definedName name="N__d2">[5]OptionsHW!$C$15:$E$15</definedName>
    <definedName name="N_d1" localSheetId="7">Merton2!$I$11</definedName>
    <definedName name="N_d1">[5]OptionsHW!$C$12:$E$12</definedName>
    <definedName name="N_d2" localSheetId="7">Merton2!$I$13</definedName>
    <definedName name="N_d2">[5]OptionsHW!$C$13:$E$13</definedName>
    <definedName name="Net_Income">[4]MyCo3!$O$25</definedName>
    <definedName name="NewSpread">[9]CreditMetrics_Example!$W$31:$W$36</definedName>
    <definedName name="notional" localSheetId="8">[5]OptionsHW!$C$25:$E$25</definedName>
    <definedName name="Notional">[9]CreditMetrics_Example!$T$31:$T$36</definedName>
    <definedName name="offer">[1]Liquidity1!$D$7:$D$23</definedName>
    <definedName name="OldSpread">[9]CreditMetrics_Example!$V$31:$V$36</definedName>
    <definedName name="p">[10]Bond!$F$6</definedName>
    <definedName name="P0">CVA_Sim!$C$6</definedName>
    <definedName name="PD" localSheetId="8">[2]PD2Spread!$C$23:$C$27</definedName>
    <definedName name="PD">CVA_Sim!$C$42:$O$42</definedName>
    <definedName name="PE">[4]MyCo7!$AK$5</definedName>
    <definedName name="Period" localSheetId="8">#REF!</definedName>
    <definedName name="Period">#REF!</definedName>
    <definedName name="peso_rate" localSheetId="8">[8]FX_Intro!$C$66</definedName>
    <definedName name="peso_rate">#REF!</definedName>
    <definedName name="pmt" localSheetId="8">#REF!</definedName>
    <definedName name="pmt">#REF!</definedName>
    <definedName name="pmt_">[5]Date0Check2!$F$4</definedName>
    <definedName name="pmtperyear">[10]Bond!$C$6</definedName>
    <definedName name="pmts">[10]Bond!$E$12:$E$25</definedName>
    <definedName name="PPS">[4]MyCo3!$L$17</definedName>
    <definedName name="Pretax_Earnings">[4]MyCo4!$O$20:$S$20</definedName>
    <definedName name="Price" localSheetId="8">[3]VaR0!#REF!</definedName>
    <definedName name="Price">[3]VaR0!#REF!</definedName>
    <definedName name="Price_per_unit">[4]MyCo3!$O$9</definedName>
    <definedName name="PS" localSheetId="8">[2]PD2Spread!$C$13:$C$17</definedName>
    <definedName name="PS">#REF!</definedName>
    <definedName name="pv" localSheetId="8">#REF!</definedName>
    <definedName name="pv">#REF!</definedName>
    <definedName name="PV_" localSheetId="8">[2]PD2Spread!$F$23:$F$27</definedName>
    <definedName name="PV_">#REF!</definedName>
    <definedName name="pv_rf" localSheetId="8">[2]Spread2PD!$F$22:$F$31</definedName>
    <definedName name="pv_rf">#REF!</definedName>
    <definedName name="pv_rf_" localSheetId="8">[2]Spread2PD!$F$42:$F$46</definedName>
    <definedName name="pv_rf_">#REF!</definedName>
    <definedName name="pv_rf_pmt">[2]Spread2PD!$G$22:$G$31</definedName>
    <definedName name="pv2_">[10]Dur2!$G$12:$G$25</definedName>
    <definedName name="PVA">[10]InstallmentLoan!$F$3</definedName>
    <definedName name="PVPayoff">[2]PD2Spread!$G$23:$G$27</definedName>
    <definedName name="PVPMT">[2]PD2Spread!$F$13:$F$17</definedName>
    <definedName name="PVPMT_A" localSheetId="8">[2]PD2Spread!$J$23:$J$27</definedName>
    <definedName name="PVPMT_A">#REF!</definedName>
    <definedName name="q" localSheetId="8">#REF!</definedName>
    <definedName name="q">#REF!</definedName>
    <definedName name="r_" localSheetId="8">#REF!</definedName>
    <definedName name="r_" localSheetId="7">Merton2!$D$17</definedName>
    <definedName name="r_">#REF!</definedName>
    <definedName name="range">[9]CreditMetrics_Example!$AC$40</definedName>
    <definedName name="rate">[5]Date0Check2!$E$4</definedName>
    <definedName name="rated">[5]fxHW!$F$4:$H$4</definedName>
    <definedName name="ratef">[5]fxHW!$F$5:$H$5</definedName>
    <definedName name="RatingLast" localSheetId="5">CreditMatrix_Loss!$D$10:$D$109</definedName>
    <definedName name="RatingLast" localSheetId="4">CreditMatrix_Weighted!$D$10:$D$109</definedName>
    <definedName name="RatingLast" localSheetId="8">[11]CreditMatrix!$D$10:$D$109</definedName>
    <definedName name="RatingLast" localSheetId="13">Q_TMat!$D$18:$D$117</definedName>
    <definedName name="RatingLast">CreditMatrix!$D$10:$D$109</definedName>
    <definedName name="RatingNow" localSheetId="5">CreditMatrix_Loss!$E$10:$E$109</definedName>
    <definedName name="RatingNow" localSheetId="4">CreditMatrix_Weighted!$E$10:$E$109</definedName>
    <definedName name="RatingNow" localSheetId="8">[11]CreditMatrix!$E$10:$E$109</definedName>
    <definedName name="RatingNow" localSheetId="13">Q_TMat!$E$18:$E$117</definedName>
    <definedName name="RatingNow">CreditMatrix!$E$10:$E$109</definedName>
    <definedName name="ratingsTbl" localSheetId="5">CreditMatrix_Loss!$B$2:$C$7</definedName>
    <definedName name="ratingsTbl" localSheetId="4">CreditMatrix_Weighted!$B$2:$C$7</definedName>
    <definedName name="ratingsTbl" localSheetId="8">[11]CreditMatrix!$B$2:$C$7</definedName>
    <definedName name="ratingsTbl" localSheetId="13">Q_TMat!$B$10:$C$15</definedName>
    <definedName name="ratingsTbl">CreditMatrix!$B$2:$C$7</definedName>
    <definedName name="Recovery" localSheetId="8">[2]Spread2PD!$D$42:$D$46</definedName>
    <definedName name="Recovery">#REF!</definedName>
    <definedName name="Revenue">[4]MyCo3!$O$10</definedName>
    <definedName name="Risk_free_Rate">#REF!</definedName>
    <definedName name="RR">CVA_Sim!$C$43:$O$43</definedName>
    <definedName name="s" localSheetId="8">#REF!</definedName>
    <definedName name="s">#REF!</definedName>
    <definedName name="S0" localSheetId="8">#REF!</definedName>
    <definedName name="S0">#REF!</definedName>
    <definedName name="S0_e_qt">[5]OptionsHW!$C$17:$E$17</definedName>
    <definedName name="SD" localSheetId="8">#REF!</definedName>
    <definedName name="SD">#REF!</definedName>
    <definedName name="sE">Merton2!$D$16</definedName>
    <definedName name="Sensitivity">[9]CreditMetrics_Example!$Z$31:$Z$35</definedName>
    <definedName name="Shareholder_Equity">[4]MyCo5!$L$18</definedName>
    <definedName name="Shares" localSheetId="8">[4]MyCo3!$L$16</definedName>
    <definedName name="Shares">[1]Liquidity1!$I$7:$I$23</definedName>
    <definedName name="sigma">[1]Liquidity1!$G$26</definedName>
    <definedName name="Sim1_">CVA_Sim!$C$12:$M$12</definedName>
    <definedName name="Sim10_">CVA_Sim!$C$21:$M$21</definedName>
    <definedName name="Sim2_">CVA_Sim!$C$13:$M$13</definedName>
    <definedName name="Sim3_">CVA_Sim!$C$14:$M$14</definedName>
    <definedName name="Sim4_">CVA_Sim!$C$15:$M$15</definedName>
    <definedName name="Sim5_">CVA_Sim!$C$16:$M$16</definedName>
    <definedName name="Sim6_">CVA_Sim!$C$17:$M$17</definedName>
    <definedName name="Sim7_">CVA_Sim!$C$18:$M$18</definedName>
    <definedName name="Sim8_">CVA_Sim!$C$19:$M$19</definedName>
    <definedName name="Sim9_">CVA_Sim!$C$20:$M$20</definedName>
    <definedName name="simS">[1]Liquidity1!$G$29</definedName>
    <definedName name="sims_a" localSheetId="8">[12]VaR1!$I$17:$I$37</definedName>
    <definedName name="sims_a">[13]VaR1!$I$17:$I$37</definedName>
    <definedName name="sims_h" localSheetId="8">[12]VaR1!$H$17:$H$37</definedName>
    <definedName name="sims_h">[13]VaR1!$H$17:$H$37</definedName>
    <definedName name="simSpread">[1]Liquidity1!$J$7:$J$23</definedName>
    <definedName name="simSpreadPerShare">[1]Liquidity1!$H$7:$H$23</definedName>
    <definedName name="solver_adj" localSheetId="7" hidden="1">Merton2!$D$10,Merton2!$D$15</definedName>
    <definedName name="solver_cvg" localSheetId="7" hidden="1">0.0001</definedName>
    <definedName name="solver_drv" localSheetId="7" hidden="1">1</definedName>
    <definedName name="solver_eng" localSheetId="7" hidden="1">1</definedName>
    <definedName name="solver_itr" localSheetId="7" hidden="1">2147483647</definedName>
    <definedName name="solver_lin" localSheetId="7" hidden="1">2</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0</definedName>
    <definedName name="solver_opt" localSheetId="7" hidden="1">Merton2!$I$18</definedName>
    <definedName name="solver_pre" localSheetId="7" hidden="1">0.000001</definedName>
    <definedName name="solver_rbv" localSheetId="7" hidden="1">1</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2</definedName>
    <definedName name="solver_val" localSheetId="7" hidden="1">0</definedName>
    <definedName name="solver_ver" localSheetId="7" hidden="1">2</definedName>
    <definedName name="Spot">[5]fxHW!$F$3:$H$3</definedName>
    <definedName name="spread">[1]Liquidity1!$F$7:$F$23</definedName>
    <definedName name="StartingPortfolio">[1]ExporeInf!$C$29:$H$29</definedName>
    <definedName name="sV">Merton2!$D$15</definedName>
    <definedName name="t" localSheetId="8">#REF!</definedName>
    <definedName name="T" localSheetId="7">Merton2!$D$18</definedName>
    <definedName name="t">#REF!</definedName>
    <definedName name="t_" localSheetId="8">[2]PD2Spread!$B$23:$B$27</definedName>
    <definedName name="t_">#REF!</definedName>
    <definedName name="Tax_Rate">[4]MyCo4!$O$22:$S$22</definedName>
    <definedName name="Taxes">[4]MyCo4!$O$23:$S$23</definedName>
    <definedName name="Time" localSheetId="8">#REF!</definedName>
    <definedName name="Time">#REF!</definedName>
    <definedName name="Time_" localSheetId="8">[2]Spread2PD!$B$42:$B$46</definedName>
    <definedName name="Time_">#REF!</definedName>
    <definedName name="time0">CVA_Sim!$C$12:$C$21</definedName>
    <definedName name="time1">CVA_Sim!$D$12:$D$21</definedName>
    <definedName name="time10">CVA_Sim!$M$12:$M$21</definedName>
    <definedName name="time11">CVA_Sim!$N$12:$N$21</definedName>
    <definedName name="time12">CVA_Sim!$O$12:$O$21</definedName>
    <definedName name="time2">CVA_Sim!$E$12:$E$21</definedName>
    <definedName name="time3">CVA_Sim!$F$12:$F$21</definedName>
    <definedName name="time4">CVA_Sim!$G$12:$G$21</definedName>
    <definedName name="time5">CVA_Sim!$H$12:$H$21</definedName>
    <definedName name="time6">CVA_Sim!$I$12:$I$21</definedName>
    <definedName name="time7">CVA_Sim!$J$12:$J$21</definedName>
    <definedName name="time8">CVA_Sim!$K$12:$K$21</definedName>
    <definedName name="time9">CVA_Sim!$L$12:$L$21</definedName>
    <definedName name="TimeR">[2]Spread2PD!$C$35:$C$39</definedName>
    <definedName name="tmat">[1]ExporeInf!$C$3:$H$8</definedName>
    <definedName name="tmat12" localSheetId="8">#REF!</definedName>
    <definedName name="tmat12">#REF!</definedName>
    <definedName name="tmat5">[1]ExporeInf!$C$12:$H$17</definedName>
    <definedName name="tmatInf">[1]ExporeInf!$C$21:$H$26</definedName>
    <definedName name="Total">[4]MyCo3!$L$18</definedName>
    <definedName name="Total_Liabilities">[4]MyCo3!$L$13</definedName>
    <definedName name="u" localSheetId="8">[6]Options2!$C$6</definedName>
    <definedName name="u">#REF!</definedName>
    <definedName name="usd_peso" localSheetId="8">[8]FX_Intro!$C$65</definedName>
    <definedName name="usd_peso">#REF!</definedName>
    <definedName name="v">[5]Date0Check1!$J$4:$J$23</definedName>
    <definedName name="V0">Merton2!$D$10</definedName>
    <definedName name="value">[10]Curve0!$E$26</definedName>
    <definedName name="value_01">[10]Dur2!$I$12</definedName>
    <definedName name="value_lo" localSheetId="8">#REF!</definedName>
    <definedName name="value_lo">#REF!</definedName>
    <definedName name="value_rf_" localSheetId="8">[2]Spread2PD!$C$42:$C$46</definedName>
    <definedName name="value_rf_">#REF!</definedName>
    <definedName name="VT">Merton2!$D$11</definedName>
    <definedName name="weight" localSheetId="5">CreditMatrix_Loss!$F$10:$F$109</definedName>
    <definedName name="weight" localSheetId="8">[11]CreditMatrix_Weighted!$F$10:$F$109</definedName>
    <definedName name="weight" localSheetId="13">Q_TMat!$F$18:$F$117</definedName>
    <definedName name="weight">CreditMatrix_Weighted!$F$10:$F$109</definedName>
    <definedName name="Widgets_sold">[4]MyCo3!$O$8</definedName>
    <definedName name="Widgets_sold_Per_Factory">[4]MyCo4!$O$8:$S$8</definedName>
    <definedName name="X" localSheetId="8">#REF!</definedName>
    <definedName name="X">#REF!</definedName>
    <definedName name="X_e_rt">[5]OptionsHW!$C$18:$E$18</definedName>
    <definedName name="y">[10]Bond!$C$8</definedName>
    <definedName name="years">[10]Bond!$C$7</definedName>
    <definedName name="YTM" localSheetId="8">#REF!</definedName>
    <definedName name="YTM">#REF!</definedName>
    <definedName name="YTM_rf" localSheetId="8">#REF!</definedName>
    <definedName name="YTM_rf">#REF!</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I10" i="30" l="1"/>
  <c r="I11" i="30" s="1"/>
  <c r="I15" i="30"/>
  <c r="I16" i="30"/>
  <c r="D20" i="30"/>
  <c r="D21" i="30"/>
  <c r="I21" i="30" l="1"/>
  <c r="J16" i="30"/>
  <c r="I12" i="30"/>
  <c r="I13" i="30" s="1"/>
  <c r="I20" i="30" s="1"/>
  <c r="C12" i="28"/>
  <c r="C27" i="28" s="1"/>
  <c r="C13" i="28"/>
  <c r="C28" i="28" s="1"/>
  <c r="D28" i="28"/>
  <c r="C14" i="28"/>
  <c r="C29" i="28" s="1"/>
  <c r="C15" i="28"/>
  <c r="C16" i="28"/>
  <c r="C17" i="28"/>
  <c r="D32" i="28" s="1"/>
  <c r="C18" i="28"/>
  <c r="C33" i="28" s="1"/>
  <c r="C19" i="28"/>
  <c r="C20" i="28"/>
  <c r="C35" i="28" s="1"/>
  <c r="C21" i="28"/>
  <c r="C36" i="28" s="1"/>
  <c r="D36" i="28"/>
  <c r="M23" i="23"/>
  <c r="M22" i="23"/>
  <c r="M21" i="23"/>
  <c r="M20" i="23"/>
  <c r="M19" i="23"/>
  <c r="M18" i="23"/>
  <c r="M17" i="23"/>
  <c r="M16" i="23"/>
  <c r="M15" i="23"/>
  <c r="M14" i="23"/>
  <c r="M13" i="23"/>
  <c r="M12" i="23"/>
  <c r="M11" i="23"/>
  <c r="M10" i="23"/>
  <c r="M9" i="23"/>
  <c r="M8" i="23"/>
  <c r="M7" i="23"/>
  <c r="M6" i="23"/>
  <c r="M5" i="23"/>
  <c r="J15" i="30" l="1"/>
  <c r="I18" i="30" s="1"/>
  <c r="C32" i="28"/>
  <c r="C31" i="28"/>
  <c r="D29" i="28"/>
  <c r="D27" i="28"/>
  <c r="E27" i="28"/>
  <c r="E28" i="28"/>
  <c r="E31" i="28"/>
  <c r="E35" i="28"/>
  <c r="D35" i="28"/>
  <c r="D31" i="28"/>
  <c r="C34" i="28"/>
  <c r="C30" i="28"/>
  <c r="C44" i="28"/>
  <c r="D45" i="28" s="1"/>
  <c r="C37" i="28" l="1"/>
  <c r="D41" i="28" s="1"/>
  <c r="F27" i="28"/>
  <c r="D30" i="28"/>
  <c r="D44" i="28"/>
  <c r="E45" i="28" s="1"/>
  <c r="E36" i="28"/>
  <c r="F35" i="28"/>
  <c r="E32" i="28"/>
  <c r="F31" i="28"/>
  <c r="D34" i="28"/>
  <c r="D33" i="28"/>
  <c r="G27" i="28"/>
  <c r="L25" i="23"/>
  <c r="K25" i="23"/>
  <c r="M4" i="23"/>
  <c r="M25" i="23" s="1"/>
  <c r="E29" i="28" l="1"/>
  <c r="F28" i="28"/>
  <c r="E44" i="28"/>
  <c r="F45" i="28" s="1"/>
  <c r="E34" i="28"/>
  <c r="G28" i="28"/>
  <c r="G35" i="28"/>
  <c r="D37" i="28"/>
  <c r="E41" i="28" s="1"/>
  <c r="E33" i="28"/>
  <c r="G31" i="28"/>
  <c r="F29" i="28"/>
  <c r="E30" i="28"/>
  <c r="H27" i="28"/>
  <c r="F32" i="28"/>
  <c r="F36" i="28"/>
  <c r="H11" i="19"/>
  <c r="H12" i="19" s="1"/>
  <c r="H13" i="19" s="1"/>
  <c r="H14" i="19" s="1"/>
  <c r="H15" i="19" s="1"/>
  <c r="E37" i="28" l="1"/>
  <c r="F41" i="28" s="1"/>
  <c r="G36" i="28"/>
  <c r="F34" i="28"/>
  <c r="I27" i="28"/>
  <c r="F33" i="28"/>
  <c r="G32" i="28"/>
  <c r="H35" i="28"/>
  <c r="G29" i="28"/>
  <c r="H28" i="28"/>
  <c r="F30" i="28"/>
  <c r="H31" i="28"/>
  <c r="F44" i="28"/>
  <c r="G45" i="28" s="1"/>
  <c r="F37" i="28" l="1"/>
  <c r="G41" i="28" s="1"/>
  <c r="I31" i="28"/>
  <c r="I28" i="28"/>
  <c r="I35" i="28"/>
  <c r="J27" i="28"/>
  <c r="G33" i="28"/>
  <c r="G30" i="28"/>
  <c r="H36" i="28"/>
  <c r="H32" i="28"/>
  <c r="G44" i="28"/>
  <c r="H45" i="28" s="1"/>
  <c r="H29" i="28"/>
  <c r="G34" i="28"/>
  <c r="G21" i="16" a="1"/>
  <c r="G21" i="16" s="1"/>
  <c r="G37" i="28" l="1"/>
  <c r="H41" i="28" s="1"/>
  <c r="H33" i="28"/>
  <c r="J28" i="28"/>
  <c r="I32" i="28"/>
  <c r="J31" i="28"/>
  <c r="J35" i="28"/>
  <c r="H34" i="28"/>
  <c r="I29" i="28"/>
  <c r="I36" i="28"/>
  <c r="H30" i="28"/>
  <c r="H44" i="28"/>
  <c r="I45" i="28" s="1"/>
  <c r="K27" i="28"/>
  <c r="L32" i="11"/>
  <c r="C10" i="11"/>
  <c r="D10" i="11" s="1"/>
  <c r="F10" i="11"/>
  <c r="C11" i="11"/>
  <c r="D11" i="11" s="1"/>
  <c r="E11" i="11" s="1"/>
  <c r="C12" i="11"/>
  <c r="D12" i="11" s="1"/>
  <c r="E12" i="11" s="1"/>
  <c r="C13" i="11"/>
  <c r="D13" i="11" s="1"/>
  <c r="E13" i="11" s="1"/>
  <c r="C14" i="11"/>
  <c r="D14" i="11" s="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C15" i="11"/>
  <c r="D15" i="11" s="1"/>
  <c r="E15" i="11" s="1"/>
  <c r="C16" i="11"/>
  <c r="D16" i="11" s="1"/>
  <c r="E16" i="11" s="1"/>
  <c r="C17" i="11"/>
  <c r="D17" i="11" s="1"/>
  <c r="E17" i="11" s="1"/>
  <c r="C18" i="11"/>
  <c r="D18" i="11" s="1"/>
  <c r="E18" i="11" s="1"/>
  <c r="C19" i="11"/>
  <c r="D19" i="11" s="1"/>
  <c r="E19" i="11" s="1"/>
  <c r="C20" i="11"/>
  <c r="D20" i="11" s="1"/>
  <c r="E20" i="11" s="1"/>
  <c r="C21" i="11"/>
  <c r="D21" i="11" s="1"/>
  <c r="E21" i="11" s="1"/>
  <c r="C22" i="11"/>
  <c r="D22" i="11" s="1"/>
  <c r="E22" i="11" s="1"/>
  <c r="C23" i="11"/>
  <c r="D23" i="11" s="1"/>
  <c r="E23" i="11" s="1"/>
  <c r="C24" i="11"/>
  <c r="D24" i="11" s="1"/>
  <c r="E24" i="11" s="1"/>
  <c r="C25" i="11"/>
  <c r="D25" i="11" s="1"/>
  <c r="E25" i="11" s="1"/>
  <c r="C26" i="11"/>
  <c r="D26" i="11" s="1"/>
  <c r="E26" i="11" s="1"/>
  <c r="C27" i="11"/>
  <c r="D27" i="11" s="1"/>
  <c r="E27" i="11" s="1"/>
  <c r="C28" i="11"/>
  <c r="D28" i="11" s="1"/>
  <c r="E28" i="11" s="1"/>
  <c r="C29" i="11"/>
  <c r="D29" i="11" s="1"/>
  <c r="E29" i="11" s="1"/>
  <c r="C30" i="11"/>
  <c r="D30" i="11" s="1"/>
  <c r="E30" i="11" s="1"/>
  <c r="C31" i="11"/>
  <c r="D31" i="11" s="1"/>
  <c r="E31" i="11" s="1"/>
  <c r="C32" i="11"/>
  <c r="D32" i="11" s="1"/>
  <c r="E32" i="11" s="1"/>
  <c r="C33" i="11"/>
  <c r="D33" i="11" s="1"/>
  <c r="E33" i="11" s="1"/>
  <c r="C34" i="11"/>
  <c r="D34" i="11" s="1"/>
  <c r="E34" i="11" s="1"/>
  <c r="C35" i="11"/>
  <c r="D35" i="11" s="1"/>
  <c r="E35" i="11" s="1"/>
  <c r="C36" i="11"/>
  <c r="D36" i="11" s="1"/>
  <c r="E36" i="11" s="1"/>
  <c r="C37" i="11"/>
  <c r="D37" i="11" s="1"/>
  <c r="E37" i="11" s="1"/>
  <c r="C38" i="11"/>
  <c r="D38" i="11" s="1"/>
  <c r="E38" i="11" s="1"/>
  <c r="C39" i="11"/>
  <c r="D39" i="11" s="1"/>
  <c r="E39" i="11" s="1"/>
  <c r="C40" i="11"/>
  <c r="D40" i="11" s="1"/>
  <c r="E40" i="11" s="1"/>
  <c r="C41" i="11"/>
  <c r="D41" i="11" s="1"/>
  <c r="E41" i="11" s="1"/>
  <c r="C42" i="11"/>
  <c r="D42" i="11" s="1"/>
  <c r="E42" i="11" s="1"/>
  <c r="C43" i="11"/>
  <c r="D43" i="11" s="1"/>
  <c r="E43" i="11" s="1"/>
  <c r="C44" i="11"/>
  <c r="D44" i="11" s="1"/>
  <c r="E44" i="11" s="1"/>
  <c r="C45" i="11"/>
  <c r="D45" i="11" s="1"/>
  <c r="E45" i="11" s="1"/>
  <c r="C46" i="11"/>
  <c r="D46" i="11" s="1"/>
  <c r="E46" i="11" s="1"/>
  <c r="C47" i="11"/>
  <c r="D47" i="11" s="1"/>
  <c r="E47" i="11" s="1"/>
  <c r="C48" i="11"/>
  <c r="D48" i="11" s="1"/>
  <c r="E48" i="11" s="1"/>
  <c r="C49" i="11"/>
  <c r="D49" i="11" s="1"/>
  <c r="E49" i="11" s="1"/>
  <c r="C50" i="11"/>
  <c r="D50" i="11" s="1"/>
  <c r="E50" i="11" s="1"/>
  <c r="C51" i="11"/>
  <c r="D51" i="11" s="1"/>
  <c r="E51" i="11" s="1"/>
  <c r="C52" i="11"/>
  <c r="D52" i="11" s="1"/>
  <c r="E52" i="11" s="1"/>
  <c r="C53" i="11"/>
  <c r="D53" i="11" s="1"/>
  <c r="E53" i="11" s="1"/>
  <c r="C54" i="11"/>
  <c r="D54" i="11" s="1"/>
  <c r="E54" i="11" s="1"/>
  <c r="C55" i="11"/>
  <c r="D55" i="11" s="1"/>
  <c r="E55" i="11" s="1"/>
  <c r="C56" i="11"/>
  <c r="D56" i="11" s="1"/>
  <c r="E56" i="11" s="1"/>
  <c r="C57" i="11"/>
  <c r="D57" i="11" s="1"/>
  <c r="E57" i="11" s="1"/>
  <c r="C58" i="11"/>
  <c r="D58" i="11" s="1"/>
  <c r="E58" i="11" s="1"/>
  <c r="C59" i="11"/>
  <c r="D59" i="11" s="1"/>
  <c r="E59" i="11" s="1"/>
  <c r="C60" i="11"/>
  <c r="D60" i="11" s="1"/>
  <c r="E60" i="11" s="1"/>
  <c r="C61" i="11"/>
  <c r="D61" i="11" s="1"/>
  <c r="E61" i="11" s="1"/>
  <c r="C62" i="11"/>
  <c r="D62" i="11" s="1"/>
  <c r="E62" i="11" s="1"/>
  <c r="C63" i="11"/>
  <c r="D63" i="11" s="1"/>
  <c r="E63" i="11" s="1"/>
  <c r="C64" i="11"/>
  <c r="D64" i="11" s="1"/>
  <c r="E64" i="11" s="1"/>
  <c r="C65" i="11"/>
  <c r="D65" i="11" s="1"/>
  <c r="E65" i="11" s="1"/>
  <c r="C66" i="11"/>
  <c r="D66" i="11" s="1"/>
  <c r="E66" i="11" s="1"/>
  <c r="C67" i="11"/>
  <c r="D67" i="11" s="1"/>
  <c r="E67" i="11" s="1"/>
  <c r="C68" i="11"/>
  <c r="D68" i="11" s="1"/>
  <c r="E68" i="11" s="1"/>
  <c r="C69" i="11"/>
  <c r="D69" i="11" s="1"/>
  <c r="E69" i="11" s="1"/>
  <c r="C70" i="11"/>
  <c r="D70" i="11" s="1"/>
  <c r="E70" i="11" s="1"/>
  <c r="C71" i="11"/>
  <c r="D71" i="11" s="1"/>
  <c r="E71" i="11" s="1"/>
  <c r="C72" i="11"/>
  <c r="D72" i="11" s="1"/>
  <c r="E72" i="11" s="1"/>
  <c r="C73" i="11"/>
  <c r="D73" i="11" s="1"/>
  <c r="E73" i="11" s="1"/>
  <c r="C74" i="11"/>
  <c r="D74" i="11" s="1"/>
  <c r="E74" i="11" s="1"/>
  <c r="C75" i="11"/>
  <c r="D75" i="11" s="1"/>
  <c r="E75" i="11" s="1"/>
  <c r="C76" i="11"/>
  <c r="D76" i="11" s="1"/>
  <c r="E76" i="11" s="1"/>
  <c r="C77" i="11"/>
  <c r="D77" i="11" s="1"/>
  <c r="E77" i="11" s="1"/>
  <c r="C78" i="11"/>
  <c r="D78" i="11" s="1"/>
  <c r="E78" i="11" s="1"/>
  <c r="C79" i="11"/>
  <c r="D79" i="11" s="1"/>
  <c r="E79" i="11" s="1"/>
  <c r="C80" i="11"/>
  <c r="D80" i="11" s="1"/>
  <c r="E80" i="11" s="1"/>
  <c r="C81" i="11"/>
  <c r="D81" i="11" s="1"/>
  <c r="E81" i="11" s="1"/>
  <c r="C82" i="11"/>
  <c r="D82" i="11" s="1"/>
  <c r="E82" i="11" s="1"/>
  <c r="C83" i="11"/>
  <c r="D83" i="11" s="1"/>
  <c r="E83" i="11" s="1"/>
  <c r="C84" i="11"/>
  <c r="D84" i="11" s="1"/>
  <c r="E84" i="11" s="1"/>
  <c r="C85" i="11"/>
  <c r="D85" i="11" s="1"/>
  <c r="E85" i="11" s="1"/>
  <c r="C86" i="11"/>
  <c r="D86" i="11" s="1"/>
  <c r="E86" i="11" s="1"/>
  <c r="C87" i="11"/>
  <c r="D87" i="11" s="1"/>
  <c r="E87" i="11" s="1"/>
  <c r="C88" i="11"/>
  <c r="D88" i="11" s="1"/>
  <c r="E88" i="11" s="1"/>
  <c r="C89" i="11"/>
  <c r="D89" i="11" s="1"/>
  <c r="E89" i="11" s="1"/>
  <c r="C90" i="11"/>
  <c r="D90" i="11" s="1"/>
  <c r="E90" i="11" s="1"/>
  <c r="C91" i="11"/>
  <c r="D91" i="11" s="1"/>
  <c r="E91" i="11" s="1"/>
  <c r="C92" i="11"/>
  <c r="D92" i="11" s="1"/>
  <c r="E92" i="11" s="1"/>
  <c r="C93" i="11"/>
  <c r="D93" i="11" s="1"/>
  <c r="E93" i="11" s="1"/>
  <c r="C94" i="11"/>
  <c r="D94" i="11" s="1"/>
  <c r="E94" i="11" s="1"/>
  <c r="C95" i="11"/>
  <c r="D95" i="11" s="1"/>
  <c r="E95" i="11" s="1"/>
  <c r="C96" i="11"/>
  <c r="D96" i="11" s="1"/>
  <c r="E96" i="11" s="1"/>
  <c r="C97" i="11"/>
  <c r="D97" i="11" s="1"/>
  <c r="E97" i="11" s="1"/>
  <c r="C98" i="11"/>
  <c r="D98" i="11" s="1"/>
  <c r="E98" i="11" s="1"/>
  <c r="C99" i="11"/>
  <c r="D99" i="11" s="1"/>
  <c r="E99" i="11" s="1"/>
  <c r="C100" i="11"/>
  <c r="D100" i="11" s="1"/>
  <c r="E100" i="11" s="1"/>
  <c r="C101" i="11"/>
  <c r="D101" i="11" s="1"/>
  <c r="E101" i="11" s="1"/>
  <c r="C102" i="11"/>
  <c r="D102" i="11" s="1"/>
  <c r="E102" i="11" s="1"/>
  <c r="C103" i="11"/>
  <c r="D103" i="11" s="1"/>
  <c r="E103" i="11" s="1"/>
  <c r="C104" i="11"/>
  <c r="D104" i="11" s="1"/>
  <c r="E104" i="11" s="1"/>
  <c r="C105" i="11"/>
  <c r="D105" i="11" s="1"/>
  <c r="E105" i="11" s="1"/>
  <c r="C106" i="11"/>
  <c r="D106" i="11" s="1"/>
  <c r="E106" i="11" s="1"/>
  <c r="C107" i="11"/>
  <c r="D107" i="11" s="1"/>
  <c r="E107" i="11" s="1"/>
  <c r="C108" i="11"/>
  <c r="D108" i="11" s="1"/>
  <c r="E108" i="11" s="1"/>
  <c r="C109" i="11"/>
  <c r="D109" i="11" s="1"/>
  <c r="E109" i="11" s="1"/>
  <c r="L28" i="11"/>
  <c r="J29" i="11"/>
  <c r="J30" i="11" s="1"/>
  <c r="J31" i="11" s="1"/>
  <c r="J32" i="11" s="1"/>
  <c r="J33" i="11" s="1"/>
  <c r="L29" i="11"/>
  <c r="L30" i="11"/>
  <c r="L31" i="11"/>
  <c r="L33" i="11"/>
  <c r="Q34" i="11"/>
  <c r="C10" i="10"/>
  <c r="D10" i="10" s="1"/>
  <c r="F10" i="10"/>
  <c r="C11" i="10"/>
  <c r="D11" i="10" s="1"/>
  <c r="E11" i="10" s="1"/>
  <c r="C12" i="10"/>
  <c r="D12" i="10" s="1"/>
  <c r="E12" i="10" s="1"/>
  <c r="C13" i="10"/>
  <c r="D13" i="10" s="1"/>
  <c r="E13" i="10" s="1"/>
  <c r="C14" i="10"/>
  <c r="D14" i="10" s="1"/>
  <c r="E14" i="10" s="1"/>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C15" i="10"/>
  <c r="D15" i="10" s="1"/>
  <c r="E15" i="10" s="1"/>
  <c r="C16" i="10"/>
  <c r="D16" i="10" s="1"/>
  <c r="E16" i="10" s="1"/>
  <c r="C17" i="10"/>
  <c r="D17" i="10" s="1"/>
  <c r="E17" i="10" s="1"/>
  <c r="C18" i="10"/>
  <c r="D18" i="10" s="1"/>
  <c r="E18" i="10" s="1"/>
  <c r="C19" i="10"/>
  <c r="D19" i="10" s="1"/>
  <c r="C20" i="10"/>
  <c r="D20" i="10" s="1"/>
  <c r="E20" i="10" s="1"/>
  <c r="C21" i="10"/>
  <c r="D21" i="10" s="1"/>
  <c r="E21" i="10" s="1"/>
  <c r="C22" i="10"/>
  <c r="D22" i="10" s="1"/>
  <c r="E22" i="10" s="1"/>
  <c r="C23" i="10"/>
  <c r="D23" i="10" s="1"/>
  <c r="E23" i="10" s="1"/>
  <c r="C24" i="10"/>
  <c r="D24" i="10" s="1"/>
  <c r="E24" i="10" s="1"/>
  <c r="C25" i="10"/>
  <c r="D25" i="10" s="1"/>
  <c r="E25" i="10" s="1"/>
  <c r="C26" i="10"/>
  <c r="D26" i="10" s="1"/>
  <c r="E26" i="10" s="1"/>
  <c r="C27" i="10"/>
  <c r="D27" i="10" s="1"/>
  <c r="E27" i="10" s="1"/>
  <c r="C28" i="10"/>
  <c r="D28" i="10" s="1"/>
  <c r="E28" i="10" s="1"/>
  <c r="C29" i="10"/>
  <c r="D29" i="10" s="1"/>
  <c r="E29" i="10" s="1"/>
  <c r="C30" i="10"/>
  <c r="D30" i="10" s="1"/>
  <c r="E30" i="10" s="1"/>
  <c r="C31" i="10"/>
  <c r="D31" i="10" s="1"/>
  <c r="E31" i="10" s="1"/>
  <c r="C32" i="10"/>
  <c r="D32" i="10" s="1"/>
  <c r="E32" i="10" s="1"/>
  <c r="C33" i="10"/>
  <c r="D33" i="10" s="1"/>
  <c r="E33" i="10" s="1"/>
  <c r="C34" i="10"/>
  <c r="D34" i="10" s="1"/>
  <c r="E34" i="10" s="1"/>
  <c r="C35" i="10"/>
  <c r="D35" i="10" s="1"/>
  <c r="E35" i="10" s="1"/>
  <c r="C36" i="10"/>
  <c r="D36" i="10" s="1"/>
  <c r="E36" i="10" s="1"/>
  <c r="C37" i="10"/>
  <c r="D37" i="10" s="1"/>
  <c r="E37" i="10" s="1"/>
  <c r="C38" i="10"/>
  <c r="D38" i="10" s="1"/>
  <c r="E38" i="10" s="1"/>
  <c r="C39" i="10"/>
  <c r="D39" i="10" s="1"/>
  <c r="E39" i="10" s="1"/>
  <c r="C40" i="10"/>
  <c r="D40" i="10" s="1"/>
  <c r="E40" i="10" s="1"/>
  <c r="C41" i="10"/>
  <c r="D41" i="10" s="1"/>
  <c r="E41" i="10" s="1"/>
  <c r="C42" i="10"/>
  <c r="D42" i="10" s="1"/>
  <c r="E42" i="10" s="1"/>
  <c r="C43" i="10"/>
  <c r="D43" i="10" s="1"/>
  <c r="E43" i="10" s="1"/>
  <c r="C44" i="10"/>
  <c r="D44" i="10" s="1"/>
  <c r="E44" i="10" s="1"/>
  <c r="C45" i="10"/>
  <c r="D45" i="10" s="1"/>
  <c r="E45" i="10" s="1"/>
  <c r="C46" i="10"/>
  <c r="D46" i="10" s="1"/>
  <c r="E46" i="10" s="1"/>
  <c r="C47" i="10"/>
  <c r="D47" i="10" s="1"/>
  <c r="E47" i="10" s="1"/>
  <c r="C48" i="10"/>
  <c r="D48" i="10" s="1"/>
  <c r="E48" i="10" s="1"/>
  <c r="C49" i="10"/>
  <c r="D49" i="10" s="1"/>
  <c r="E49" i="10" s="1"/>
  <c r="C50" i="10"/>
  <c r="D50" i="10" s="1"/>
  <c r="E50" i="10" s="1"/>
  <c r="C51" i="10"/>
  <c r="D51" i="10" s="1"/>
  <c r="E51" i="10" s="1"/>
  <c r="C52" i="10"/>
  <c r="D52" i="10" s="1"/>
  <c r="E52" i="10" s="1"/>
  <c r="C53" i="10"/>
  <c r="D53" i="10" s="1"/>
  <c r="E53" i="10" s="1"/>
  <c r="C54" i="10"/>
  <c r="D54" i="10" s="1"/>
  <c r="E54" i="10" s="1"/>
  <c r="C55" i="10"/>
  <c r="D55" i="10" s="1"/>
  <c r="E55" i="10" s="1"/>
  <c r="C56" i="10"/>
  <c r="D56" i="10" s="1"/>
  <c r="E56" i="10" s="1"/>
  <c r="C57" i="10"/>
  <c r="D57" i="10" s="1"/>
  <c r="E57" i="10" s="1"/>
  <c r="C58" i="10"/>
  <c r="D58" i="10" s="1"/>
  <c r="E58" i="10" s="1"/>
  <c r="C59" i="10"/>
  <c r="D59" i="10" s="1"/>
  <c r="E59" i="10" s="1"/>
  <c r="C60" i="10"/>
  <c r="D60" i="10" s="1"/>
  <c r="E60" i="10" s="1"/>
  <c r="C61" i="10"/>
  <c r="D61" i="10" s="1"/>
  <c r="E61" i="10" s="1"/>
  <c r="C62" i="10"/>
  <c r="D62" i="10" s="1"/>
  <c r="E62" i="10" s="1"/>
  <c r="C63" i="10"/>
  <c r="D63" i="10" s="1"/>
  <c r="E63" i="10" s="1"/>
  <c r="C64" i="10"/>
  <c r="D64" i="10" s="1"/>
  <c r="E64" i="10" s="1"/>
  <c r="C65" i="10"/>
  <c r="D65" i="10" s="1"/>
  <c r="E65" i="10" s="1"/>
  <c r="C66" i="10"/>
  <c r="D66" i="10" s="1"/>
  <c r="E66" i="10" s="1"/>
  <c r="C67" i="10"/>
  <c r="D67" i="10" s="1"/>
  <c r="E67" i="10" s="1"/>
  <c r="C68" i="10"/>
  <c r="D68" i="10" s="1"/>
  <c r="E68" i="10" s="1"/>
  <c r="C69" i="10"/>
  <c r="D69" i="10" s="1"/>
  <c r="E69" i="10" s="1"/>
  <c r="C70" i="10"/>
  <c r="D70" i="10" s="1"/>
  <c r="E70" i="10" s="1"/>
  <c r="C71" i="10"/>
  <c r="D71" i="10" s="1"/>
  <c r="E71" i="10" s="1"/>
  <c r="C72" i="10"/>
  <c r="D72" i="10" s="1"/>
  <c r="E72" i="10" s="1"/>
  <c r="C73" i="10"/>
  <c r="D73" i="10" s="1"/>
  <c r="E73" i="10" s="1"/>
  <c r="C74" i="10"/>
  <c r="D74" i="10" s="1"/>
  <c r="E74" i="10" s="1"/>
  <c r="C75" i="10"/>
  <c r="D75" i="10" s="1"/>
  <c r="E75" i="10" s="1"/>
  <c r="C76" i="10"/>
  <c r="D76" i="10" s="1"/>
  <c r="E76" i="10" s="1"/>
  <c r="C77" i="10"/>
  <c r="D77" i="10" s="1"/>
  <c r="E77" i="10" s="1"/>
  <c r="C78" i="10"/>
  <c r="D78" i="10" s="1"/>
  <c r="E78" i="10" s="1"/>
  <c r="C79" i="10"/>
  <c r="D79" i="10" s="1"/>
  <c r="E79" i="10" s="1"/>
  <c r="C80" i="10"/>
  <c r="D80" i="10" s="1"/>
  <c r="E80" i="10" s="1"/>
  <c r="C81" i="10"/>
  <c r="D81" i="10" s="1"/>
  <c r="E81" i="10" s="1"/>
  <c r="C82" i="10"/>
  <c r="D82" i="10" s="1"/>
  <c r="E82" i="10" s="1"/>
  <c r="C83" i="10"/>
  <c r="D83" i="10" s="1"/>
  <c r="E83" i="10" s="1"/>
  <c r="C84" i="10"/>
  <c r="D84" i="10" s="1"/>
  <c r="E84" i="10" s="1"/>
  <c r="C85" i="10"/>
  <c r="D85" i="10" s="1"/>
  <c r="E85" i="10" s="1"/>
  <c r="C86" i="10"/>
  <c r="D86" i="10" s="1"/>
  <c r="E86" i="10" s="1"/>
  <c r="C87" i="10"/>
  <c r="D87" i="10" s="1"/>
  <c r="E87" i="10" s="1"/>
  <c r="C88" i="10"/>
  <c r="D88" i="10" s="1"/>
  <c r="E88" i="10" s="1"/>
  <c r="C89" i="10"/>
  <c r="D89" i="10" s="1"/>
  <c r="E89" i="10" s="1"/>
  <c r="C90" i="10"/>
  <c r="D90" i="10" s="1"/>
  <c r="E90" i="10" s="1"/>
  <c r="C91" i="10"/>
  <c r="D91" i="10" s="1"/>
  <c r="E91" i="10" s="1"/>
  <c r="C92" i="10"/>
  <c r="D92" i="10" s="1"/>
  <c r="E92" i="10" s="1"/>
  <c r="C93" i="10"/>
  <c r="D93" i="10" s="1"/>
  <c r="E93" i="10" s="1"/>
  <c r="C94" i="10"/>
  <c r="D94" i="10" s="1"/>
  <c r="E94" i="10" s="1"/>
  <c r="C95" i="10"/>
  <c r="D95" i="10" s="1"/>
  <c r="E95" i="10" s="1"/>
  <c r="C96" i="10"/>
  <c r="D96" i="10" s="1"/>
  <c r="E96" i="10" s="1"/>
  <c r="C97" i="10"/>
  <c r="D97" i="10" s="1"/>
  <c r="E97" i="10" s="1"/>
  <c r="C98" i="10"/>
  <c r="D98" i="10" s="1"/>
  <c r="E98" i="10" s="1"/>
  <c r="C99" i="10"/>
  <c r="D99" i="10" s="1"/>
  <c r="E99" i="10" s="1"/>
  <c r="C100" i="10"/>
  <c r="D100" i="10" s="1"/>
  <c r="E100" i="10" s="1"/>
  <c r="C101" i="10"/>
  <c r="D101" i="10" s="1"/>
  <c r="E101" i="10" s="1"/>
  <c r="C102" i="10"/>
  <c r="D102" i="10" s="1"/>
  <c r="E102" i="10" s="1"/>
  <c r="C103" i="10"/>
  <c r="D103" i="10" s="1"/>
  <c r="E103" i="10" s="1"/>
  <c r="C104" i="10"/>
  <c r="D104" i="10" s="1"/>
  <c r="E104" i="10" s="1"/>
  <c r="C105" i="10"/>
  <c r="D105" i="10" s="1"/>
  <c r="E105" i="10" s="1"/>
  <c r="C106" i="10"/>
  <c r="D106" i="10" s="1"/>
  <c r="E106" i="10" s="1"/>
  <c r="C107" i="10"/>
  <c r="D107" i="10" s="1"/>
  <c r="E107" i="10" s="1"/>
  <c r="C108" i="10"/>
  <c r="D108" i="10" s="1"/>
  <c r="E108" i="10" s="1"/>
  <c r="C109" i="10"/>
  <c r="D109" i="10" s="1"/>
  <c r="E109" i="10" s="1"/>
  <c r="C10" i="9"/>
  <c r="D10" i="9" s="1"/>
  <c r="C11" i="9"/>
  <c r="D11" i="9" s="1"/>
  <c r="C12" i="9"/>
  <c r="D12" i="9" s="1"/>
  <c r="C13" i="9"/>
  <c r="D13" i="9" s="1"/>
  <c r="C14" i="9"/>
  <c r="D14" i="9" s="1"/>
  <c r="C15" i="9"/>
  <c r="C16" i="9"/>
  <c r="D16" i="9" s="1"/>
  <c r="C17" i="9"/>
  <c r="D17" i="9" s="1"/>
  <c r="C18" i="9"/>
  <c r="D18" i="9" s="1"/>
  <c r="C19" i="9"/>
  <c r="D19" i="9" s="1"/>
  <c r="C20" i="9"/>
  <c r="D20" i="9" s="1"/>
  <c r="C21" i="9"/>
  <c r="D21" i="9" s="1"/>
  <c r="C22" i="9"/>
  <c r="D22" i="9" s="1"/>
  <c r="C23" i="9"/>
  <c r="C24" i="9"/>
  <c r="D24" i="9" s="1"/>
  <c r="C25" i="9"/>
  <c r="D25" i="9" s="1"/>
  <c r="C26" i="9"/>
  <c r="C27" i="9"/>
  <c r="D27" i="9" s="1"/>
  <c r="C28" i="9"/>
  <c r="D28" i="9" s="1"/>
  <c r="C29" i="9"/>
  <c r="D29" i="9" s="1"/>
  <c r="C30" i="9"/>
  <c r="D30" i="9" s="1"/>
  <c r="C31" i="9"/>
  <c r="D31" i="9" s="1"/>
  <c r="C32" i="9"/>
  <c r="D32" i="9" s="1"/>
  <c r="C33" i="9"/>
  <c r="D33" i="9" s="1"/>
  <c r="C34" i="9"/>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C48" i="9"/>
  <c r="D48" i="9" s="1"/>
  <c r="C49" i="9"/>
  <c r="D49" i="9" s="1"/>
  <c r="C50" i="9"/>
  <c r="D50" i="9" s="1"/>
  <c r="C51" i="9"/>
  <c r="D51" i="9" s="1"/>
  <c r="C52" i="9"/>
  <c r="D52" i="9" s="1"/>
  <c r="C53" i="9"/>
  <c r="E53" i="9" s="1"/>
  <c r="C54" i="9"/>
  <c r="D54" i="9" s="1"/>
  <c r="C55" i="9"/>
  <c r="C56" i="9"/>
  <c r="D56" i="9" s="1"/>
  <c r="C57" i="9"/>
  <c r="D57" i="9" s="1"/>
  <c r="C58" i="9"/>
  <c r="D58" i="9" s="1"/>
  <c r="C59" i="9"/>
  <c r="D59" i="9" s="1"/>
  <c r="C60" i="9"/>
  <c r="D60" i="9" s="1"/>
  <c r="C61" i="9"/>
  <c r="D61" i="9" s="1"/>
  <c r="C62" i="9"/>
  <c r="D62" i="9" s="1"/>
  <c r="C63" i="9"/>
  <c r="C64" i="9"/>
  <c r="D64" i="9" s="1"/>
  <c r="C65" i="9"/>
  <c r="D65" i="9" s="1"/>
  <c r="C66" i="9"/>
  <c r="D66" i="9" s="1"/>
  <c r="C67" i="9"/>
  <c r="D67" i="9" s="1"/>
  <c r="C68" i="9"/>
  <c r="D68" i="9" s="1"/>
  <c r="C69" i="9"/>
  <c r="D69" i="9" s="1"/>
  <c r="C70" i="9"/>
  <c r="D70" i="9" s="1"/>
  <c r="C71" i="9"/>
  <c r="C72" i="9"/>
  <c r="D72" i="9" s="1"/>
  <c r="C73" i="9"/>
  <c r="D73" i="9" s="1"/>
  <c r="C74" i="9"/>
  <c r="D74" i="9" s="1"/>
  <c r="C75" i="9"/>
  <c r="D75" i="9" s="1"/>
  <c r="C76" i="9"/>
  <c r="D76" i="9" s="1"/>
  <c r="C77" i="9"/>
  <c r="D77" i="9" s="1"/>
  <c r="C78" i="9"/>
  <c r="D78" i="9" s="1"/>
  <c r="C79" i="9"/>
  <c r="C80" i="9"/>
  <c r="D80" i="9" s="1"/>
  <c r="C81" i="9"/>
  <c r="D81" i="9" s="1"/>
  <c r="C82" i="9"/>
  <c r="D82" i="9" s="1"/>
  <c r="C83" i="9"/>
  <c r="D83" i="9" s="1"/>
  <c r="C84" i="9"/>
  <c r="D84" i="9" s="1"/>
  <c r="C85" i="9"/>
  <c r="E85" i="9" s="1"/>
  <c r="C86" i="9"/>
  <c r="E86" i="9" s="1"/>
  <c r="C87" i="9"/>
  <c r="D87" i="9" s="1"/>
  <c r="C88" i="9"/>
  <c r="C89" i="9"/>
  <c r="E89" i="9" s="1"/>
  <c r="C90" i="9"/>
  <c r="D90" i="9" s="1"/>
  <c r="C91" i="9"/>
  <c r="D91" i="9" s="1"/>
  <c r="C92" i="9"/>
  <c r="D92" i="9" s="1"/>
  <c r="C93" i="9"/>
  <c r="D93" i="9" s="1"/>
  <c r="C94" i="9"/>
  <c r="E94" i="9" s="1"/>
  <c r="C95" i="9"/>
  <c r="D95" i="9" s="1"/>
  <c r="C96" i="9"/>
  <c r="D96" i="9" s="1"/>
  <c r="C97" i="9"/>
  <c r="E97" i="9" s="1"/>
  <c r="C98" i="9"/>
  <c r="D98" i="9" s="1"/>
  <c r="C99" i="9"/>
  <c r="D99" i="9" s="1"/>
  <c r="C100" i="9"/>
  <c r="D100" i="9" s="1"/>
  <c r="C101" i="9"/>
  <c r="E101" i="9" s="1"/>
  <c r="C102" i="9"/>
  <c r="E102" i="9" s="1"/>
  <c r="C103" i="9"/>
  <c r="D103" i="9" s="1"/>
  <c r="C104" i="9"/>
  <c r="D104" i="9" s="1"/>
  <c r="C105" i="9"/>
  <c r="D105" i="9" s="1"/>
  <c r="C106" i="9"/>
  <c r="D106" i="9" s="1"/>
  <c r="C107" i="9"/>
  <c r="D107" i="9" s="1"/>
  <c r="C108" i="9"/>
  <c r="D108" i="9" s="1"/>
  <c r="C109" i="9"/>
  <c r="E109" i="9" s="1"/>
  <c r="E14" i="9"/>
  <c r="H37" i="28" l="1"/>
  <c r="I41" i="28" s="1"/>
  <c r="I30" i="28"/>
  <c r="J29" i="28"/>
  <c r="L27" i="28"/>
  <c r="K35" i="28"/>
  <c r="J32" i="28"/>
  <c r="J36" i="28"/>
  <c r="I33" i="28"/>
  <c r="I34" i="28"/>
  <c r="K31" i="28"/>
  <c r="K28" i="28"/>
  <c r="I44" i="28"/>
  <c r="J45" i="28" s="1"/>
  <c r="E50" i="9"/>
  <c r="E62" i="9"/>
  <c r="E49" i="9"/>
  <c r="E21" i="9"/>
  <c r="E25" i="9"/>
  <c r="D53" i="9"/>
  <c r="E37" i="9"/>
  <c r="E29" i="9"/>
  <c r="E13" i="9"/>
  <c r="E106" i="9"/>
  <c r="E30" i="9"/>
  <c r="E18" i="9"/>
  <c r="E75" i="9"/>
  <c r="E73" i="9"/>
  <c r="E69" i="9"/>
  <c r="E100" i="9"/>
  <c r="E19" i="9"/>
  <c r="E58" i="9"/>
  <c r="E84" i="9"/>
  <c r="E39" i="9"/>
  <c r="E66" i="9"/>
  <c r="E57" i="9"/>
  <c r="E65" i="9"/>
  <c r="E51" i="9"/>
  <c r="E96" i="9"/>
  <c r="E81" i="9"/>
  <c r="E46" i="9"/>
  <c r="E35" i="9"/>
  <c r="E82" i="9"/>
  <c r="E74" i="9"/>
  <c r="E92" i="9"/>
  <c r="E78" i="9"/>
  <c r="E59" i="9"/>
  <c r="E45" i="9"/>
  <c r="E31" i="9"/>
  <c r="D86" i="9"/>
  <c r="E77" i="9"/>
  <c r="E70" i="9"/>
  <c r="E41" i="9"/>
  <c r="D102" i="9"/>
  <c r="E90" i="9"/>
  <c r="E61" i="9"/>
  <c r="E54" i="9"/>
  <c r="D94" i="9"/>
  <c r="D34" i="9"/>
  <c r="E34" i="9"/>
  <c r="D23" i="9"/>
  <c r="E23" i="9"/>
  <c r="E42" i="9"/>
  <c r="E79" i="9"/>
  <c r="D79" i="9"/>
  <c r="E63" i="9"/>
  <c r="D63" i="9"/>
  <c r="E47" i="9"/>
  <c r="D47" i="9"/>
  <c r="D26" i="9"/>
  <c r="E26" i="9"/>
  <c r="D15" i="9"/>
  <c r="E15" i="9"/>
  <c r="E67" i="9"/>
  <c r="E88" i="9"/>
  <c r="D88" i="9"/>
  <c r="E104" i="9"/>
  <c r="D71" i="9"/>
  <c r="E71" i="9"/>
  <c r="D55" i="9"/>
  <c r="E55" i="9"/>
  <c r="E108" i="9"/>
  <c r="E98" i="9"/>
  <c r="E14" i="11"/>
  <c r="E10" i="9"/>
  <c r="E80" i="9"/>
  <c r="E76" i="9"/>
  <c r="E72" i="9"/>
  <c r="E68" i="9"/>
  <c r="E64" i="9"/>
  <c r="E60" i="9"/>
  <c r="E56" i="9"/>
  <c r="E52" i="9"/>
  <c r="E48" i="9"/>
  <c r="E43" i="9"/>
  <c r="E38" i="9"/>
  <c r="E33" i="9"/>
  <c r="E27" i="9"/>
  <c r="E22" i="9"/>
  <c r="E17" i="9"/>
  <c r="E11" i="9"/>
  <c r="E19" i="10"/>
  <c r="E105" i="9"/>
  <c r="E93" i="9"/>
  <c r="E44" i="9"/>
  <c r="E40" i="9"/>
  <c r="E36" i="9"/>
  <c r="E32" i="9"/>
  <c r="E28" i="9"/>
  <c r="E24" i="9"/>
  <c r="E20" i="9"/>
  <c r="E16" i="9"/>
  <c r="E12" i="9"/>
  <c r="E107" i="9"/>
  <c r="E103" i="9"/>
  <c r="E99" i="9"/>
  <c r="E95" i="9"/>
  <c r="E91" i="9"/>
  <c r="E87" i="9"/>
  <c r="E83" i="9"/>
  <c r="D109" i="9"/>
  <c r="D101" i="9"/>
  <c r="D97" i="9"/>
  <c r="D89" i="9"/>
  <c r="D85" i="9"/>
  <c r="E10" i="10"/>
  <c r="J12" i="10" s="1"/>
  <c r="E10" i="11"/>
  <c r="K10" i="11" l="1"/>
  <c r="I37" i="28"/>
  <c r="J41" i="28" s="1"/>
  <c r="L28" i="28"/>
  <c r="J33" i="28"/>
  <c r="K32" i="28"/>
  <c r="M27" i="28"/>
  <c r="J30" i="28"/>
  <c r="J34" i="28"/>
  <c r="J44" i="28"/>
  <c r="K45" i="28" s="1"/>
  <c r="K36" i="28"/>
  <c r="L35" i="28"/>
  <c r="L31" i="28"/>
  <c r="K29" i="28"/>
  <c r="M10" i="11"/>
  <c r="K13" i="11"/>
  <c r="O10" i="11"/>
  <c r="J13" i="11"/>
  <c r="N10" i="11"/>
  <c r="J10" i="11"/>
  <c r="N13" i="10"/>
  <c r="M15" i="10"/>
  <c r="O13" i="11"/>
  <c r="K10" i="10"/>
  <c r="L12" i="10"/>
  <c r="J15" i="10"/>
  <c r="O10" i="10"/>
  <c r="L10" i="10"/>
  <c r="O14" i="10"/>
  <c r="O12" i="11"/>
  <c r="N15" i="11"/>
  <c r="L15" i="11"/>
  <c r="J15" i="11"/>
  <c r="M13" i="11"/>
  <c r="L13" i="11"/>
  <c r="N13" i="11"/>
  <c r="K12" i="11"/>
  <c r="M12" i="11"/>
  <c r="N12" i="11"/>
  <c r="M11" i="11"/>
  <c r="J11" i="10"/>
  <c r="O12" i="10"/>
  <c r="J12" i="11"/>
  <c r="L11" i="11"/>
  <c r="J11" i="11"/>
  <c r="N11" i="11"/>
  <c r="N15" i="10"/>
  <c r="J13" i="10"/>
  <c r="O13" i="10"/>
  <c r="L13" i="10"/>
  <c r="J14" i="11"/>
  <c r="M13" i="10"/>
  <c r="K13" i="10"/>
  <c r="L12" i="11"/>
  <c r="M11" i="10"/>
  <c r="N11" i="10"/>
  <c r="K11" i="10"/>
  <c r="L11" i="10"/>
  <c r="O11" i="10"/>
  <c r="L10" i="11"/>
  <c r="K14" i="10"/>
  <c r="L14" i="10"/>
  <c r="K15" i="11"/>
  <c r="M15" i="11"/>
  <c r="O15" i="11"/>
  <c r="M14" i="10"/>
  <c r="J14" i="10"/>
  <c r="N14" i="10"/>
  <c r="K12" i="10"/>
  <c r="I15" i="9"/>
  <c r="M12" i="10"/>
  <c r="N10" i="10"/>
  <c r="M10" i="10"/>
  <c r="J10" i="10"/>
  <c r="N10" i="9"/>
  <c r="K14" i="9"/>
  <c r="L12" i="9"/>
  <c r="N12" i="10"/>
  <c r="L14" i="11"/>
  <c r="K11" i="11"/>
  <c r="J12" i="9"/>
  <c r="N13" i="9"/>
  <c r="O11" i="11"/>
  <c r="K15" i="9"/>
  <c r="L10" i="9"/>
  <c r="L15" i="10"/>
  <c r="K15" i="10"/>
  <c r="O15" i="10"/>
  <c r="N14" i="9"/>
  <c r="M12" i="9"/>
  <c r="I12" i="9"/>
  <c r="I13" i="9"/>
  <c r="M15" i="9"/>
  <c r="L14" i="9"/>
  <c r="M14" i="11"/>
  <c r="O14" i="11"/>
  <c r="K14" i="11"/>
  <c r="N15" i="9"/>
  <c r="N12" i="9"/>
  <c r="L15" i="9"/>
  <c r="N11" i="9"/>
  <c r="K11" i="9"/>
  <c r="L11" i="9"/>
  <c r="J11" i="9"/>
  <c r="K13" i="9"/>
  <c r="M13" i="9"/>
  <c r="J15" i="9"/>
  <c r="N14" i="11"/>
  <c r="J10" i="9"/>
  <c r="L13" i="9"/>
  <c r="M10" i="9"/>
  <c r="I10" i="9"/>
  <c r="I11" i="9"/>
  <c r="K10" i="9"/>
  <c r="J13" i="9"/>
  <c r="J14" i="9"/>
  <c r="M14" i="9"/>
  <c r="I14" i="9"/>
  <c r="M11" i="9"/>
  <c r="K12" i="9"/>
  <c r="J37" i="28" l="1"/>
  <c r="K41" i="28" s="1"/>
  <c r="L32" i="28"/>
  <c r="M35" i="28"/>
  <c r="K34" i="28"/>
  <c r="O27" i="28"/>
  <c r="N27" i="28"/>
  <c r="K33" i="28"/>
  <c r="L36" i="28"/>
  <c r="L29" i="28"/>
  <c r="M31" i="28"/>
  <c r="K30" i="28"/>
  <c r="K44" i="28"/>
  <c r="L45" i="28" s="1"/>
  <c r="M28" i="28"/>
  <c r="J20" i="11" a="1"/>
  <c r="O20" i="11" s="1"/>
  <c r="J23" i="11" a="1"/>
  <c r="O23" i="11" s="1"/>
  <c r="J22" i="11" a="1"/>
  <c r="J22" i="11" s="1"/>
  <c r="J22" i="10" a="1"/>
  <c r="O22" i="10" s="1"/>
  <c r="J20" i="10" a="1"/>
  <c r="J20" i="10" s="1"/>
  <c r="J21" i="11" a="1"/>
  <c r="N21" i="11" s="1"/>
  <c r="J24" i="10" a="1"/>
  <c r="O24" i="10" s="1"/>
  <c r="J25" i="11" a="1"/>
  <c r="L25" i="11" s="1"/>
  <c r="J21" i="10" a="1"/>
  <c r="K21" i="10" s="1"/>
  <c r="J23" i="10" a="1"/>
  <c r="M23" i="10" s="1"/>
  <c r="J25" i="10" a="1"/>
  <c r="L25" i="10" s="1"/>
  <c r="I25" i="9" a="1"/>
  <c r="K25" i="9" s="1"/>
  <c r="J24" i="11" a="1"/>
  <c r="O24" i="11" s="1"/>
  <c r="I21" i="9" a="1"/>
  <c r="M21" i="9" s="1"/>
  <c r="I22" i="9" a="1"/>
  <c r="I24" i="9" a="1"/>
  <c r="I20" i="9" a="1"/>
  <c r="I23" i="9" a="1"/>
  <c r="K37" i="28" l="1"/>
  <c r="L41" i="28" s="1"/>
  <c r="L30" i="28"/>
  <c r="M29" i="28"/>
  <c r="L33" i="28"/>
  <c r="M32" i="28"/>
  <c r="N28" i="28"/>
  <c r="O31" i="28"/>
  <c r="N31" i="28"/>
  <c r="L34" i="28"/>
  <c r="M36" i="28"/>
  <c r="O35" i="28"/>
  <c r="N35" i="28"/>
  <c r="L44" i="28"/>
  <c r="M45" i="28" s="1"/>
  <c r="M22" i="11"/>
  <c r="J20" i="11"/>
  <c r="N20" i="11"/>
  <c r="M20" i="11"/>
  <c r="K20" i="11"/>
  <c r="L20" i="11"/>
  <c r="O22" i="11"/>
  <c r="L20" i="10"/>
  <c r="J23" i="11"/>
  <c r="L23" i="11"/>
  <c r="O20" i="10"/>
  <c r="K23" i="11"/>
  <c r="M23" i="11"/>
  <c r="N23" i="11"/>
  <c r="N20" i="10"/>
  <c r="M20" i="10"/>
  <c r="K20" i="10"/>
  <c r="K22" i="11"/>
  <c r="N22" i="11"/>
  <c r="L24" i="10"/>
  <c r="L22" i="11"/>
  <c r="O21" i="11"/>
  <c r="K21" i="11"/>
  <c r="M21" i="11"/>
  <c r="K22" i="10"/>
  <c r="M22" i="10"/>
  <c r="N22" i="10"/>
  <c r="L22" i="10"/>
  <c r="J22" i="10"/>
  <c r="N24" i="10"/>
  <c r="K24" i="10"/>
  <c r="J21" i="10"/>
  <c r="N21" i="10"/>
  <c r="L21" i="10"/>
  <c r="N23" i="10"/>
  <c r="J21" i="11"/>
  <c r="L21" i="11"/>
  <c r="O21" i="10"/>
  <c r="M21" i="10"/>
  <c r="J23" i="10"/>
  <c r="J24" i="10"/>
  <c r="K23" i="10"/>
  <c r="M24" i="10"/>
  <c r="O25" i="11"/>
  <c r="L23" i="10"/>
  <c r="J25" i="11"/>
  <c r="M25" i="11"/>
  <c r="N25" i="11"/>
  <c r="O23" i="10"/>
  <c r="K25" i="11"/>
  <c r="N25" i="10"/>
  <c r="J25" i="10"/>
  <c r="O25" i="10"/>
  <c r="K25" i="10"/>
  <c r="M25" i="10"/>
  <c r="J24" i="11"/>
  <c r="L24" i="11"/>
  <c r="N25" i="9"/>
  <c r="I25" i="9"/>
  <c r="J25" i="9"/>
  <c r="L25" i="9"/>
  <c r="M25" i="9"/>
  <c r="N24" i="11"/>
  <c r="K24" i="11"/>
  <c r="M24" i="11"/>
  <c r="N21" i="9"/>
  <c r="I21" i="9"/>
  <c r="K21" i="9"/>
  <c r="J21" i="9"/>
  <c r="L21" i="9"/>
  <c r="K23" i="9"/>
  <c r="L23" i="9"/>
  <c r="I23" i="9"/>
  <c r="M23" i="9"/>
  <c r="J23" i="9"/>
  <c r="N23" i="9"/>
  <c r="L20" i="9"/>
  <c r="I20" i="9"/>
  <c r="M20" i="9"/>
  <c r="J20" i="9"/>
  <c r="N20" i="9"/>
  <c r="K20" i="9"/>
  <c r="J22" i="9"/>
  <c r="N22" i="9"/>
  <c r="K22" i="9"/>
  <c r="L22" i="9"/>
  <c r="I22" i="9"/>
  <c r="M22" i="9"/>
  <c r="L24" i="9"/>
  <c r="I24" i="9"/>
  <c r="M24" i="9"/>
  <c r="J24" i="9"/>
  <c r="N24" i="9"/>
  <c r="K24" i="9"/>
  <c r="L37" i="28" l="1"/>
  <c r="M41" i="28" s="1"/>
  <c r="O32" i="28"/>
  <c r="N32" i="28"/>
  <c r="N29" i="28"/>
  <c r="O29" i="28"/>
  <c r="M34" i="28"/>
  <c r="O28" i="28"/>
  <c r="M33" i="28"/>
  <c r="M30" i="28"/>
  <c r="M44" i="28"/>
  <c r="N45" i="28" s="1"/>
  <c r="O36" i="28"/>
  <c r="N36" i="28"/>
  <c r="R28" i="11" a="1"/>
  <c r="R33" i="11" s="1"/>
  <c r="T33" i="11" s="1"/>
  <c r="S33" i="11" l="1"/>
  <c r="M37" i="28"/>
  <c r="N41" i="28" s="1"/>
  <c r="N30" i="28"/>
  <c r="O30" i="28"/>
  <c r="N44" i="28"/>
  <c r="O45" i="28" s="1"/>
  <c r="N34" i="28"/>
  <c r="O34" i="28"/>
  <c r="O33" i="28"/>
  <c r="N33" i="28"/>
  <c r="R29" i="11"/>
  <c r="T29" i="11" s="1"/>
  <c r="R30" i="11"/>
  <c r="T30" i="11" s="1"/>
  <c r="R32" i="11"/>
  <c r="T32" i="11" s="1"/>
  <c r="R28" i="11"/>
  <c r="T28" i="11" s="1"/>
  <c r="R31" i="11"/>
  <c r="T31" i="11" s="1"/>
  <c r="S31" i="11" l="1"/>
  <c r="S32" i="11"/>
  <c r="S30" i="11"/>
  <c r="S29" i="11"/>
  <c r="S28" i="11"/>
  <c r="N37" i="28"/>
  <c r="O41" i="28" s="1"/>
  <c r="O37" i="28"/>
  <c r="O44" i="28"/>
  <c r="R34" i="11"/>
  <c r="S34" i="11" l="1"/>
  <c r="C47" i="28"/>
  <c r="T34" i="11"/>
  <c r="T37" i="11" s="1"/>
</calcChain>
</file>

<file path=xl/sharedStrings.xml><?xml version="1.0" encoding="utf-8"?>
<sst xmlns="http://schemas.openxmlformats.org/spreadsheetml/2006/main" count="1095" uniqueCount="380">
  <si>
    <t>Objectives</t>
  </si>
  <si>
    <t>QuizBank</t>
  </si>
  <si>
    <t>Optional Material</t>
  </si>
  <si>
    <t>Optional Discussion</t>
  </si>
  <si>
    <t>Introduce Credit Transition Matrices</t>
  </si>
  <si>
    <t>Company100</t>
  </si>
  <si>
    <t>Company99</t>
  </si>
  <si>
    <t>Company98</t>
  </si>
  <si>
    <t>Company97</t>
  </si>
  <si>
    <t>Company96</t>
  </si>
  <si>
    <t>Company95</t>
  </si>
  <si>
    <t>Company94</t>
  </si>
  <si>
    <t>Company93</t>
  </si>
  <si>
    <t>Company92</t>
  </si>
  <si>
    <t>Company91</t>
  </si>
  <si>
    <t>Company90</t>
  </si>
  <si>
    <t>Company89</t>
  </si>
  <si>
    <t>Company88</t>
  </si>
  <si>
    <t>Company87</t>
  </si>
  <si>
    <t>Company86</t>
  </si>
  <si>
    <t>Company85</t>
  </si>
  <si>
    <t>Company84</t>
  </si>
  <si>
    <t>Company83</t>
  </si>
  <si>
    <t>Company82</t>
  </si>
  <si>
    <t>Company81</t>
  </si>
  <si>
    <t>Company80</t>
  </si>
  <si>
    <t>Company79</t>
  </si>
  <si>
    <t>Company78</t>
  </si>
  <si>
    <t>Company77</t>
  </si>
  <si>
    <t>Company76</t>
  </si>
  <si>
    <t>Company75</t>
  </si>
  <si>
    <t>Company74</t>
  </si>
  <si>
    <t>Company73</t>
  </si>
  <si>
    <t>Company72</t>
  </si>
  <si>
    <t>Company71</t>
  </si>
  <si>
    <t>Company70</t>
  </si>
  <si>
    <t>Company69</t>
  </si>
  <si>
    <t>Company68</t>
  </si>
  <si>
    <t>Company67</t>
  </si>
  <si>
    <t>Company66</t>
  </si>
  <si>
    <t>Company65</t>
  </si>
  <si>
    <t>Company64</t>
  </si>
  <si>
    <t>Company63</t>
  </si>
  <si>
    <t>Company62</t>
  </si>
  <si>
    <t>Company61</t>
  </si>
  <si>
    <t>Company60</t>
  </si>
  <si>
    <t>Company59</t>
  </si>
  <si>
    <t>Company58</t>
  </si>
  <si>
    <t>Company57</t>
  </si>
  <si>
    <t>Company56</t>
  </si>
  <si>
    <t>Company55</t>
  </si>
  <si>
    <t>Company54</t>
  </si>
  <si>
    <t>Company53</t>
  </si>
  <si>
    <t>Company52</t>
  </si>
  <si>
    <t>Company51</t>
  </si>
  <si>
    <t>Company50</t>
  </si>
  <si>
    <t>Company49</t>
  </si>
  <si>
    <t>Company48</t>
  </si>
  <si>
    <t>Company47</t>
  </si>
  <si>
    <t>Company46</t>
  </si>
  <si>
    <t>Company45</t>
  </si>
  <si>
    <t>Company44</t>
  </si>
  <si>
    <t>Company43</t>
  </si>
  <si>
    <t>Company42</t>
  </si>
  <si>
    <t>Company41</t>
  </si>
  <si>
    <t>Company40</t>
  </si>
  <si>
    <t>Company39</t>
  </si>
  <si>
    <t>Company38</t>
  </si>
  <si>
    <t>Company37</t>
  </si>
  <si>
    <t>Company36</t>
  </si>
  <si>
    <t>Company35</t>
  </si>
  <si>
    <t>Company34</t>
  </si>
  <si>
    <t>Company33</t>
  </si>
  <si>
    <t>Company32</t>
  </si>
  <si>
    <t>Company31</t>
  </si>
  <si>
    <t>Company30</t>
  </si>
  <si>
    <t>Company29</t>
  </si>
  <si>
    <t>Company28</t>
  </si>
  <si>
    <t>Company27</t>
  </si>
  <si>
    <t>Company26</t>
  </si>
  <si>
    <t>Company25</t>
  </si>
  <si>
    <t>Company24</t>
  </si>
  <si>
    <t>Company23</t>
  </si>
  <si>
    <t>Company22</t>
  </si>
  <si>
    <t>Company21</t>
  </si>
  <si>
    <t>Company20</t>
  </si>
  <si>
    <t>Company19</t>
  </si>
  <si>
    <t>Company18</t>
  </si>
  <si>
    <t>Company17</t>
  </si>
  <si>
    <t>F</t>
  </si>
  <si>
    <t>Company16</t>
  </si>
  <si>
    <t>E</t>
  </si>
  <si>
    <t>Company15</t>
  </si>
  <si>
    <t>D</t>
  </si>
  <si>
    <t>Company14</t>
  </si>
  <si>
    <t>C</t>
  </si>
  <si>
    <t>Company13</t>
  </si>
  <si>
    <t>B</t>
  </si>
  <si>
    <t>Company12</t>
  </si>
  <si>
    <t>A</t>
  </si>
  <si>
    <t>Company11</t>
  </si>
  <si>
    <t>Company10</t>
  </si>
  <si>
    <t>Probabilities</t>
  </si>
  <si>
    <t>Company9</t>
  </si>
  <si>
    <t>Company8</t>
  </si>
  <si>
    <t>Company7</t>
  </si>
  <si>
    <t>Company6</t>
  </si>
  <si>
    <t>Company5</t>
  </si>
  <si>
    <t>Company4</t>
  </si>
  <si>
    <t>Company3</t>
  </si>
  <si>
    <t>Company2</t>
  </si>
  <si>
    <t>Company1</t>
  </si>
  <si>
    <t>RatingNow</t>
  </si>
  <si>
    <t>RatingLast</t>
  </si>
  <si>
    <t>Rand</t>
  </si>
  <si>
    <t>Company</t>
  </si>
  <si>
    <t>Counts</t>
  </si>
  <si>
    <t>weight</t>
  </si>
  <si>
    <t>Net Loss Rate</t>
  </si>
  <si>
    <t>NextPeriod</t>
  </si>
  <si>
    <t>Investment</t>
  </si>
  <si>
    <t>LGD</t>
  </si>
  <si>
    <t>Recovery</t>
  </si>
  <si>
    <t>PD</t>
  </si>
  <si>
    <t>Credit Transition Matrices</t>
  </si>
  <si>
    <t>Credit Matrix tab</t>
  </si>
  <si>
    <t>Credit Matrix Weighted tab</t>
  </si>
  <si>
    <t>Homework</t>
  </si>
  <si>
    <t>Credit Matrix Loss Estimation tab</t>
  </si>
  <si>
    <t>What's a transition matrix?</t>
  </si>
  <si>
    <t>Introduce Mertons Model</t>
  </si>
  <si>
    <t>What is Merton's Model?</t>
  </si>
  <si>
    <t>What are some weaknesses of Merton's Model?</t>
  </si>
  <si>
    <t>What are some weaknesses of transition matrices?</t>
  </si>
  <si>
    <t>then stock values are lognormally distributed.</t>
  </si>
  <si>
    <t>If we assume returns are continuously compounded and normally distributed,</t>
  </si>
  <si>
    <t>Notes:</t>
  </si>
  <si>
    <t>Vagueness in selection of nearest major liability.</t>
  </si>
  <si>
    <t>Implied volatilily is likely to be underestimated before times go bad.</t>
  </si>
  <si>
    <t>Weakness:</t>
  </si>
  <si>
    <t>We observe the probability the the value of assets is less than liabilities.</t>
  </si>
  <si>
    <t>We simulate the value of assests up to the time of the soonest major liabilities.</t>
  </si>
  <si>
    <t>We get the implied volatilty from Black Scholes.</t>
  </si>
  <si>
    <t>If assets fall below liabilities, the company is bankrupt.</t>
  </si>
  <si>
    <t>Ownership in a company is like a call option on the stock with the value of its liabilities as a strike.</t>
  </si>
  <si>
    <t>A company's value is its assets minus its liabilities.</t>
  </si>
  <si>
    <t>A stockholder has ownership and limited liability.</t>
  </si>
  <si>
    <t>Merton's Model</t>
  </si>
  <si>
    <t>Senior Secured Bond</t>
  </si>
  <si>
    <t>Senior Unsecured Bond</t>
  </si>
  <si>
    <t>Senior Subordinated Bond</t>
  </si>
  <si>
    <t>Subordinated Bond</t>
  </si>
  <si>
    <t>Junior Subordinated Bond</t>
  </si>
  <si>
    <t>Junior Subordinated Bond 2</t>
  </si>
  <si>
    <t>Class</t>
  </si>
  <si>
    <t>The probability of default can be represented with N(-d2) from Black Scholes.</t>
  </si>
  <si>
    <t>Sales / TA</t>
  </si>
  <si>
    <t>MVE / TL</t>
  </si>
  <si>
    <t>EBIT / TA</t>
  </si>
  <si>
    <t>RE / TA</t>
  </si>
  <si>
    <t>WC / TA</t>
  </si>
  <si>
    <r>
      <t xml:space="preserve"> </t>
    </r>
    <r>
      <rPr>
        <sz val="18"/>
        <color theme="1"/>
        <rFont val="Symbol"/>
        <family val="1"/>
        <charset val="2"/>
      </rPr>
      <t>b</t>
    </r>
    <r>
      <rPr>
        <sz val="18"/>
        <color theme="1"/>
        <rFont val="Calibri"/>
        <family val="2"/>
        <scheme val="minor"/>
      </rPr>
      <t xml:space="preserve"> =</t>
    </r>
  </si>
  <si>
    <t>Sales</t>
  </si>
  <si>
    <t>Market value of equity</t>
  </si>
  <si>
    <t>Earnings</t>
  </si>
  <si>
    <t>Earning held by company</t>
  </si>
  <si>
    <t>Net liquid cash</t>
  </si>
  <si>
    <t>Predictors</t>
  </si>
  <si>
    <r>
      <t xml:space="preserve">find </t>
    </r>
    <r>
      <rPr>
        <sz val="18"/>
        <color theme="1"/>
        <rFont val="Symbol"/>
        <family val="1"/>
        <charset val="2"/>
      </rPr>
      <t>b</t>
    </r>
    <r>
      <rPr>
        <sz val="18"/>
        <color theme="1"/>
        <rFont val="Calibri"/>
        <family val="2"/>
        <scheme val="minor"/>
      </rPr>
      <t xml:space="preserve"> such that </t>
    </r>
  </si>
  <si>
    <t>What's that?</t>
  </si>
  <si>
    <t>Uses Linear Discriminant Analysis</t>
  </si>
  <si>
    <t>It's a classic model.  At this point, it's mostly an intuition builder (but you can update it).</t>
  </si>
  <si>
    <t>Risk Management and Financial Institutions</t>
  </si>
  <si>
    <t>Altman's Z score</t>
  </si>
  <si>
    <t>Market Value of Equity</t>
  </si>
  <si>
    <t>Earnings Before Interest &amp; Taxes</t>
  </si>
  <si>
    <t>Retained Earnings</t>
  </si>
  <si>
    <t>Working Capital</t>
  </si>
  <si>
    <r>
      <t>max (</t>
    </r>
    <r>
      <rPr>
        <sz val="18"/>
        <color theme="1"/>
        <rFont val="Symbol"/>
        <family val="1"/>
        <charset val="2"/>
      </rPr>
      <t>m</t>
    </r>
    <r>
      <rPr>
        <vertAlign val="subscript"/>
        <sz val="18"/>
        <color theme="1"/>
        <rFont val="Calibri"/>
        <family val="2"/>
        <scheme val="minor"/>
      </rPr>
      <t>1</t>
    </r>
    <r>
      <rPr>
        <sz val="18"/>
        <color theme="1"/>
        <rFont val="Calibri"/>
        <family val="2"/>
        <scheme val="minor"/>
      </rPr>
      <t xml:space="preserve">- </t>
    </r>
    <r>
      <rPr>
        <sz val="18"/>
        <color theme="1"/>
        <rFont val="Symbol"/>
        <family val="1"/>
        <charset val="2"/>
      </rPr>
      <t>m</t>
    </r>
    <r>
      <rPr>
        <vertAlign val="subscript"/>
        <sz val="18"/>
        <color theme="1"/>
        <rFont val="Calibri"/>
        <family val="2"/>
        <scheme val="minor"/>
      </rPr>
      <t>2</t>
    </r>
    <r>
      <rPr>
        <sz val="18"/>
        <color theme="1"/>
        <rFont val="Calibri"/>
        <family val="2"/>
        <scheme val="minor"/>
      </rPr>
      <t>)</t>
    </r>
    <r>
      <rPr>
        <vertAlign val="superscript"/>
        <sz val="18"/>
        <color theme="1"/>
        <rFont val="Calibri"/>
        <family val="2"/>
        <scheme val="minor"/>
      </rPr>
      <t>2</t>
    </r>
    <r>
      <rPr>
        <sz val="18"/>
        <color theme="1"/>
        <rFont val="Calibri"/>
        <family val="2"/>
        <scheme val="minor"/>
      </rPr>
      <t xml:space="preserve"> / (s</t>
    </r>
    <r>
      <rPr>
        <vertAlign val="subscript"/>
        <sz val="18"/>
        <color theme="1"/>
        <rFont val="Calibri (Body)"/>
      </rPr>
      <t>1</t>
    </r>
    <r>
      <rPr>
        <vertAlign val="superscript"/>
        <sz val="18"/>
        <color theme="1"/>
        <rFont val="Calibri (Body)"/>
      </rPr>
      <t>2</t>
    </r>
    <r>
      <rPr>
        <sz val="18"/>
        <color theme="1"/>
        <rFont val="Calibri"/>
        <family val="2"/>
        <scheme val="minor"/>
      </rPr>
      <t xml:space="preserve"> + s</t>
    </r>
    <r>
      <rPr>
        <vertAlign val="subscript"/>
        <sz val="18"/>
        <color theme="1"/>
        <rFont val="Calibri (Body)"/>
      </rPr>
      <t>2</t>
    </r>
    <r>
      <rPr>
        <vertAlign val="superscript"/>
        <sz val="18"/>
        <color theme="1"/>
        <rFont val="Calibri (Body)"/>
      </rPr>
      <t>2</t>
    </r>
    <r>
      <rPr>
        <sz val="18"/>
        <color theme="1"/>
        <rFont val="Calibri"/>
        <family val="2"/>
        <scheme val="minor"/>
      </rPr>
      <t>)</t>
    </r>
  </si>
  <si>
    <t>Zscore</t>
  </si>
  <si>
    <t>/</t>
  </si>
  <si>
    <t>To estimate the probabability of default.</t>
  </si>
  <si>
    <t>PD, Recovery rates, and Initial Investments are listed below.</t>
  </si>
  <si>
    <t>Rating</t>
  </si>
  <si>
    <t>Bond Class</t>
  </si>
  <si>
    <t>Merton's Model (Intuition)</t>
  </si>
  <si>
    <t>Use Merton's model to estimate probability of default at year end.</t>
  </si>
  <si>
    <t>The stock price history is observed below.</t>
  </si>
  <si>
    <t>A company has 100 Million in assets and 80 Million in Liabilities.</t>
  </si>
  <si>
    <t> </t>
  </si>
  <si>
    <t>Description</t>
  </si>
  <si>
    <t>Bond A</t>
  </si>
  <si>
    <t>Issuer:                      Iota Company</t>
  </si>
  <si>
    <t>Credit rating:          A1</t>
  </si>
  <si>
    <t>Principal:                 US$ 5,000,000</t>
  </si>
  <si>
    <t>Coupon:                   2.0% p.a. annual</t>
  </si>
  <si>
    <t>Maturity:                 31 December 2026</t>
  </si>
  <si>
    <t>Bond B</t>
  </si>
  <si>
    <t>Issuer:                       Kappa Company</t>
  </si>
  <si>
    <t>Principal:                  US$ 2,000,000</t>
  </si>
  <si>
    <t>Coupon:                    1.65% p.a. annual</t>
  </si>
  <si>
    <t>Maturity:                  30 June 2021</t>
  </si>
  <si>
    <t>Bond C</t>
  </si>
  <si>
    <t>Issuer:                        Sigma Company</t>
  </si>
  <si>
    <t>Principal:                   US$ 750,000</t>
  </si>
  <si>
    <t>Coupon:                    3.50% p.a. semi-annual</t>
  </si>
  <si>
    <t>Maturity:                  31 March 2019</t>
  </si>
  <si>
    <t>Questions</t>
  </si>
  <si>
    <r>
      <t>1.</t>
    </r>
    <r>
      <rPr>
        <sz val="16"/>
        <color rgb="FF333333"/>
        <rFont val="Times New Roman"/>
        <family val="1"/>
      </rPr>
      <t xml:space="preserve">     </t>
    </r>
    <r>
      <rPr>
        <sz val="16"/>
        <color rgb="FF333333"/>
        <rFont val="Calibri"/>
        <family val="2"/>
      </rPr>
      <t>What is the PD of Bond A?</t>
    </r>
  </si>
  <si>
    <r>
      <t>2.</t>
    </r>
    <r>
      <rPr>
        <sz val="16"/>
        <color rgb="FF333333"/>
        <rFont val="Times New Roman"/>
        <family val="1"/>
      </rPr>
      <t xml:space="preserve">     </t>
    </r>
    <r>
      <rPr>
        <sz val="16"/>
        <color rgb="FF333333"/>
        <rFont val="Calibri"/>
        <family val="2"/>
      </rPr>
      <t>What is the PD of Bond B?</t>
    </r>
  </si>
  <si>
    <r>
      <t>3.</t>
    </r>
    <r>
      <rPr>
        <sz val="16"/>
        <color rgb="FF333333"/>
        <rFont val="Times New Roman"/>
        <family val="1"/>
      </rPr>
      <t xml:space="preserve">     </t>
    </r>
    <r>
      <rPr>
        <sz val="16"/>
        <color rgb="FF333333"/>
        <rFont val="Calibri"/>
        <family val="2"/>
      </rPr>
      <t>What is the PD of Bond C?</t>
    </r>
  </si>
  <si>
    <t>Reference Materials</t>
  </si>
  <si>
    <t>Moody’s corporate default rates (Exhibit 35, p. 43):</t>
  </si>
  <si>
    <t>Loan date</t>
  </si>
  <si>
    <t>Amount Advanced</t>
  </si>
  <si>
    <t>Borrower Name</t>
  </si>
  <si>
    <t>Interest rate p.a.</t>
  </si>
  <si>
    <t>Final maturity</t>
  </si>
  <si>
    <t>Adams</t>
  </si>
  <si>
    <t>Baker</t>
  </si>
  <si>
    <t>Cross</t>
  </si>
  <si>
    <t>Davies</t>
  </si>
  <si>
    <t>Evans</t>
  </si>
  <si>
    <t>Francis</t>
  </si>
  <si>
    <t>Gordon</t>
  </si>
  <si>
    <t>Hall</t>
  </si>
  <si>
    <t>Irwin</t>
  </si>
  <si>
    <t>James</t>
  </si>
  <si>
    <t>Krauss</t>
  </si>
  <si>
    <t>Larson</t>
  </si>
  <si>
    <t>Michaels</t>
  </si>
  <si>
    <t>Norton</t>
  </si>
  <si>
    <t>Oswald</t>
  </si>
  <si>
    <t>Petersen</t>
  </si>
  <si>
    <t>Quail</t>
  </si>
  <si>
    <t>Rogers</t>
  </si>
  <si>
    <t>Sheridan</t>
  </si>
  <si>
    <t>Thomas</t>
  </si>
  <si>
    <r>
      <t>1.</t>
    </r>
    <r>
      <rPr>
        <sz val="16"/>
        <color rgb="FF333333"/>
        <rFont val="Times New Roman"/>
        <family val="1"/>
      </rPr>
      <t xml:space="preserve">     </t>
    </r>
    <r>
      <rPr>
        <sz val="16"/>
        <color rgb="FF333333"/>
        <rFont val="Calibri"/>
        <family val="2"/>
      </rPr>
      <t>What was the EAD of the pool on 31 December 2021?</t>
    </r>
  </si>
  <si>
    <r>
      <t>2.</t>
    </r>
    <r>
      <rPr>
        <sz val="16"/>
        <color rgb="FF333333"/>
        <rFont val="Times New Roman"/>
        <family val="1"/>
      </rPr>
      <t xml:space="preserve">     </t>
    </r>
    <r>
      <rPr>
        <sz val="16"/>
        <color rgb="FF333333"/>
        <rFont val="Calibri"/>
        <family val="2"/>
      </rPr>
      <t>What will the EAD of the pool be on 31 December 2022, assuming all installments are on scheduled?</t>
    </r>
  </si>
  <si>
    <r>
      <t>3.</t>
    </r>
    <r>
      <rPr>
        <sz val="16"/>
        <color rgb="FF333333"/>
        <rFont val="Times New Roman"/>
        <family val="1"/>
      </rPr>
      <t xml:space="preserve">     </t>
    </r>
    <r>
      <rPr>
        <sz val="16"/>
        <color rgb="FF333333"/>
        <rFont val="Calibri"/>
        <family val="2"/>
      </rPr>
      <t>What will the average EAD of the pool be during 2022, assuming all installments are paid as scheduled?</t>
    </r>
  </si>
  <si>
    <t>http://www.double-entry-bookkeeping.com/other-long-term-debt/outstanding-loan-balance/</t>
  </si>
  <si>
    <t>Attachment: Pool of installment loans</t>
  </si>
  <si>
    <t>POOL OF INSTALLMENT LOANS</t>
  </si>
  <si>
    <t>Principal outstanding on 31-Dec-2021</t>
  </si>
  <si>
    <t># of payments remaining on 31-Dec-2021</t>
  </si>
  <si>
    <t>Principal outstanding on 31-Dec-2022</t>
  </si>
  <si>
    <t># of payments remaining on 31-Dec-2022</t>
  </si>
  <si>
    <t>EAD on 31-Dec-2021</t>
  </si>
  <si>
    <t>EAD on 31-Dec-2022</t>
  </si>
  <si>
    <t>Average EAD 2022</t>
  </si>
  <si>
    <t>EAD of Pool</t>
  </si>
  <si>
    <t>Collateral:                None</t>
  </si>
  <si>
    <t>Moody’s corporate default rates (Exhibit 35, p. 43) and volume-based 1983-2015 recovery rates(Exhibit 7, p. 8 ):</t>
  </si>
  <si>
    <t>Introduce Altman's Z-Score</t>
  </si>
  <si>
    <t>CVA</t>
  </si>
  <si>
    <t>LGDc</t>
  </si>
  <si>
    <t>RR</t>
  </si>
  <si>
    <t>EEc</t>
  </si>
  <si>
    <t>EE</t>
  </si>
  <si>
    <t>SimV10</t>
  </si>
  <si>
    <t>SimV9</t>
  </si>
  <si>
    <t>SimV8</t>
  </si>
  <si>
    <t>SimV7</t>
  </si>
  <si>
    <t>SimV6</t>
  </si>
  <si>
    <t>SimV5</t>
  </si>
  <si>
    <t>SimV4</t>
  </si>
  <si>
    <t>SimV3</t>
  </si>
  <si>
    <t>SimV2</t>
  </si>
  <si>
    <t>SimV1</t>
  </si>
  <si>
    <t>time12</t>
  </si>
  <si>
    <t>time11</t>
  </si>
  <si>
    <t>time10</t>
  </si>
  <si>
    <t>time9</t>
  </si>
  <si>
    <t>time8</t>
  </si>
  <si>
    <t>time7</t>
  </si>
  <si>
    <t>time6</t>
  </si>
  <si>
    <t>time5</t>
  </si>
  <si>
    <t>time4</t>
  </si>
  <si>
    <t>time3</t>
  </si>
  <si>
    <t>time2</t>
  </si>
  <si>
    <t>time1</t>
  </si>
  <si>
    <t>time0</t>
  </si>
  <si>
    <t>t</t>
  </si>
  <si>
    <t>K</t>
  </si>
  <si>
    <t>Sim10</t>
  </si>
  <si>
    <t>Sim9</t>
  </si>
  <si>
    <t>Sim8</t>
  </si>
  <si>
    <t>Sim7</t>
  </si>
  <si>
    <t>Sim6</t>
  </si>
  <si>
    <t>Sim5</t>
  </si>
  <si>
    <t>Sim4</t>
  </si>
  <si>
    <t>Sim3</t>
  </si>
  <si>
    <t>Sim2</t>
  </si>
  <si>
    <t>Sim1</t>
  </si>
  <si>
    <t>sigma</t>
  </si>
  <si>
    <t>mu</t>
  </si>
  <si>
    <t>P0</t>
  </si>
  <si>
    <t>Exposure and CVA is simulated in the second section</t>
  </si>
  <si>
    <t>CVA for Futures Contract with Strike K</t>
  </si>
  <si>
    <t>Underlying is simulated in the first section</t>
  </si>
  <si>
    <t>Underlyer</t>
  </si>
  <si>
    <t>Risk Measure</t>
  </si>
  <si>
    <t>Exposure</t>
  </si>
  <si>
    <t>5th Edition</t>
  </si>
  <si>
    <t>Page 432</t>
  </si>
  <si>
    <t>From Risk Management and Financial Institutions.  Page 436.</t>
  </si>
  <si>
    <t>Risk Management and Financial Institutions page 452</t>
  </si>
  <si>
    <t>A call option is the right to buy an asset at a strike price.</t>
  </si>
  <si>
    <t>The companies assets are expected to grow by 15%.</t>
  </si>
  <si>
    <t>The annual risk free rate is 1.23%.</t>
  </si>
  <si>
    <t>Dependence on implied volatility to model asset value.</t>
  </si>
  <si>
    <t>Fitting Altman's Z with Solver</t>
  </si>
  <si>
    <r>
      <t>4.</t>
    </r>
    <r>
      <rPr>
        <sz val="16"/>
        <color rgb="FF333333"/>
        <rFont val="Times New Roman"/>
        <family val="1"/>
      </rPr>
      <t xml:space="preserve">     </t>
    </r>
    <r>
      <rPr>
        <sz val="16"/>
        <color rgb="FF333333"/>
        <rFont val="Calibri"/>
        <family val="2"/>
      </rPr>
      <t>What is the Market-Value weighted average PD of the strategy?</t>
    </r>
  </si>
  <si>
    <t>Please fill out the discussion question on Canvas.</t>
  </si>
  <si>
    <t>EL</t>
  </si>
  <si>
    <r>
      <t>D</t>
    </r>
    <r>
      <rPr>
        <vertAlign val="subscript"/>
        <sz val="20"/>
        <color theme="1"/>
        <rFont val="Calibri (Body)"/>
      </rPr>
      <t>0</t>
    </r>
  </si>
  <si>
    <r>
      <t>D</t>
    </r>
    <r>
      <rPr>
        <vertAlign val="subscript"/>
        <sz val="20"/>
        <color theme="1"/>
        <rFont val="Calibri (Body)"/>
      </rPr>
      <t>market</t>
    </r>
  </si>
  <si>
    <t>&lt;- Use Solver to minimize this cell as a function of the orange cells</t>
  </si>
  <si>
    <t>obj</t>
  </si>
  <si>
    <t>T</t>
  </si>
  <si>
    <t>r</t>
  </si>
  <si>
    <r>
      <rPr>
        <sz val="20"/>
        <color theme="1"/>
        <rFont val="Symbol"/>
        <charset val="2"/>
      </rPr>
      <t>s</t>
    </r>
    <r>
      <rPr>
        <vertAlign val="subscript"/>
        <sz val="20"/>
        <color theme="1"/>
        <rFont val="Calibri (Body)"/>
      </rPr>
      <t>E</t>
    </r>
    <r>
      <rPr>
        <sz val="20"/>
        <color theme="1"/>
        <rFont val="Calibri"/>
        <family val="2"/>
        <charset val="2"/>
      </rPr>
      <t>E</t>
    </r>
    <r>
      <rPr>
        <vertAlign val="subscript"/>
        <sz val="20"/>
        <color theme="1"/>
        <rFont val="Calibri"/>
        <family val="2"/>
      </rPr>
      <t>0</t>
    </r>
  </si>
  <si>
    <r>
      <rPr>
        <sz val="20"/>
        <color theme="1"/>
        <rFont val="Symbol"/>
        <charset val="2"/>
      </rPr>
      <t>s</t>
    </r>
    <r>
      <rPr>
        <vertAlign val="subscript"/>
        <sz val="20"/>
        <color theme="1"/>
        <rFont val="Calibri (Body)"/>
      </rPr>
      <t>E</t>
    </r>
  </si>
  <si>
    <r>
      <t>E</t>
    </r>
    <r>
      <rPr>
        <vertAlign val="subscript"/>
        <sz val="20"/>
        <color theme="1"/>
        <rFont val="Calibri (Body)"/>
      </rPr>
      <t>0</t>
    </r>
  </si>
  <si>
    <r>
      <rPr>
        <sz val="20"/>
        <color theme="1"/>
        <rFont val="Symbol"/>
        <charset val="2"/>
      </rPr>
      <t>s</t>
    </r>
    <r>
      <rPr>
        <vertAlign val="subscript"/>
        <sz val="20"/>
        <color theme="1"/>
        <rFont val="Calibri (Body)"/>
      </rPr>
      <t>V</t>
    </r>
  </si>
  <si>
    <t>Estimate</t>
  </si>
  <si>
    <t>Target</t>
  </si>
  <si>
    <t>N(d2)</t>
  </si>
  <si>
    <t>Unknown</t>
  </si>
  <si>
    <r>
      <t>E</t>
    </r>
    <r>
      <rPr>
        <vertAlign val="subscript"/>
        <sz val="20"/>
        <color theme="1"/>
        <rFont val="Calibri (Body)"/>
      </rPr>
      <t>T</t>
    </r>
  </si>
  <si>
    <t>d2_</t>
  </si>
  <si>
    <t>N(d1)</t>
  </si>
  <si>
    <r>
      <t>V</t>
    </r>
    <r>
      <rPr>
        <vertAlign val="subscript"/>
        <sz val="20"/>
        <color theme="1"/>
        <rFont val="Calibri (Body)"/>
      </rPr>
      <t>T</t>
    </r>
  </si>
  <si>
    <t>d1_</t>
  </si>
  <si>
    <r>
      <t>V</t>
    </r>
    <r>
      <rPr>
        <vertAlign val="subscript"/>
        <sz val="20"/>
        <color theme="1"/>
        <rFont val="Calibri (Body)"/>
      </rPr>
      <t>0</t>
    </r>
  </si>
  <si>
    <t>Hull page 452-3.  Example 19.4.</t>
  </si>
  <si>
    <t>Merton Model of Default Probability</t>
  </si>
  <si>
    <t>What is a major strength of Altman's Z Score as a model of PD?</t>
  </si>
  <si>
    <t>What is a major strength of transition matrices as a model of PD?</t>
  </si>
  <si>
    <t>What is a major strength of Merton's model as a model of PD?</t>
  </si>
  <si>
    <t>What is a major weakness of Altman's Z Score as a model of PD?</t>
  </si>
  <si>
    <t>What is a major weakness of transition matrices as a model of PD?</t>
  </si>
  <si>
    <t>What is a major weakness of  Merton's Model as a model of PD?</t>
  </si>
  <si>
    <t>Credit rating:           Baa1</t>
  </si>
  <si>
    <t>Refer to CreditRatings Tab to map from S&amp;P to Moody's</t>
  </si>
  <si>
    <t>Credit rating:            BB+ (See Reference Material note below)</t>
  </si>
  <si>
    <t>Risk Management &amp; Financial Institutions Section 19.3</t>
  </si>
  <si>
    <t>E[L] = PD * EAD * LGD</t>
  </si>
  <si>
    <t>E[L] = PD * EAD * (1-R)</t>
  </si>
  <si>
    <t>Debt A</t>
  </si>
  <si>
    <t>Debt B</t>
  </si>
  <si>
    <t>Debt C</t>
  </si>
  <si>
    <t>Debt D</t>
  </si>
  <si>
    <t>Debt Class:              Sr bank loan</t>
  </si>
  <si>
    <t>Debt Class:              Sr subordinated bond</t>
  </si>
  <si>
    <t>Collateral:                Yes</t>
  </si>
  <si>
    <t>Debt Class:              Sr bond</t>
  </si>
  <si>
    <t>Debt Class:              Subordinated bond</t>
  </si>
  <si>
    <t>Notional amount:    US$ 20,000,000</t>
  </si>
  <si>
    <t>Specifically, you have been asked to assess the credit risk and to identify where largest risk is.</t>
  </si>
  <si>
    <t>All bonds have the same maturity and default probability</t>
  </si>
  <si>
    <r>
      <t>1.</t>
    </r>
    <r>
      <rPr>
        <sz val="16"/>
        <color rgb="FF333333"/>
        <rFont val="Times New Roman"/>
        <family val="1"/>
      </rPr>
      <t xml:space="preserve">     </t>
    </r>
    <r>
      <rPr>
        <sz val="16"/>
        <color rgb="FF333333"/>
        <rFont val="Calibri"/>
        <family val="2"/>
      </rPr>
      <t>Using Moody’s recovery rates, what is the LGD of Debt A?</t>
    </r>
  </si>
  <si>
    <r>
      <t>2.</t>
    </r>
    <r>
      <rPr>
        <sz val="16"/>
        <color rgb="FF333333"/>
        <rFont val="Times New Roman"/>
        <family val="1"/>
      </rPr>
      <t xml:space="preserve">     </t>
    </r>
    <r>
      <rPr>
        <sz val="16"/>
        <color rgb="FF333333"/>
        <rFont val="Calibri"/>
        <family val="2"/>
      </rPr>
      <t>Using Moody’s recovery rates, what is the LGD of Debt B?</t>
    </r>
  </si>
  <si>
    <r>
      <t>3.</t>
    </r>
    <r>
      <rPr>
        <sz val="16"/>
        <color rgb="FF333333"/>
        <rFont val="Times New Roman"/>
        <family val="1"/>
      </rPr>
      <t xml:space="preserve">     </t>
    </r>
    <r>
      <rPr>
        <sz val="16"/>
        <color rgb="FF333333"/>
        <rFont val="Calibri"/>
        <family val="2"/>
      </rPr>
      <t>Using Moody’s recovery rates, what is the LGD of Debt C?</t>
    </r>
  </si>
  <si>
    <r>
      <t>4.</t>
    </r>
    <r>
      <rPr>
        <sz val="16"/>
        <color rgb="FF333333"/>
        <rFont val="Times New Roman"/>
        <family val="1"/>
      </rPr>
      <t xml:space="preserve">     </t>
    </r>
    <r>
      <rPr>
        <sz val="16"/>
        <color rgb="FF333333"/>
        <rFont val="Calibri"/>
        <family val="2"/>
      </rPr>
      <t>Using Moody’s recovery rates, what is the LGD of Debt D?</t>
    </r>
  </si>
  <si>
    <t>5.     Compare the LGD rates you picked to those listed in Hull, Table 19.2, p.436.  What mappings do you make and what are the differences?</t>
  </si>
  <si>
    <t>Reference Material</t>
  </si>
  <si>
    <t>Recovery rate table:</t>
  </si>
  <si>
    <t>6.  According to Moody's, which debt class, according to a measure of your choice, has the worst recovery rate?  By what measure?</t>
  </si>
  <si>
    <t>Altman's Z</t>
  </si>
  <si>
    <t>Transition Matrices</t>
  </si>
  <si>
    <t>Model Strenghts &amp; Weaknesses</t>
  </si>
  <si>
    <t>EAD</t>
  </si>
  <si>
    <t>PD*EAD</t>
  </si>
  <si>
    <t>PD*EAD*LGD</t>
  </si>
  <si>
    <t>Given the historical ratings of companies below, calculate the Expected Loss of the portfolio after a single period.</t>
  </si>
  <si>
    <t>It's December 31st at the end of 2015.  You are a credit analyst in a fund management company. You have been asked to estimate the probability of default (PD) of an investment strategy containing the following bonds.  Your company uses Moody's tables for its estimates.</t>
  </si>
  <si>
    <t>You are a credit analyst at a regional bank. You are responsible for managing the risk of the following pool of installment loans.  
Each loan is maid up entirely of equal monthly payments (there's no final balloon payment at the end).  
Calculate the Exposure at Default (EAD) on December 31, 2021 and December 31, 2022, respectively.</t>
  </si>
  <si>
    <t>You are a financial analyst and your manager has asked you to research the risk of 4 bonds.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</si>
</sst>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8" formatCode="&quot;$&quot;#,##0.00_);[Red]\(&quot;$&quot;#,##0.00\)"/>
    <numFmt numFmtId="43" formatCode="_(* #,##0.00_);_(* \(#,##0.00\);_(* &quot;-&quot;??_);_(@_)"/>
    <numFmt numFmtId="164" formatCode="0.0%"/>
    <numFmt numFmtId="165" formatCode="0.0"/>
    <numFmt numFmtId="166" formatCode="[$-409]d\-mmm\-yy;@"/>
  </numFmts>
  <fonts count="43" x14ac:knownFonts="1">
    <font>
      <sz val="12"/>
      <color theme="1"/>
      <name val="Calibri"/>
      <family val="2"/>
      <scheme val="minor"/>
    </font>
    <font>
      <sz val="22"/>
      <color theme="1"/>
      <name val="Calibri"/>
      <family val="2"/>
      <scheme val="minor"/>
    </font>
    <font>
      <sz val="11"/>
      <color theme="1"/>
      <name val="Calibri"/>
      <family val="2"/>
      <scheme val="minor"/>
    </font>
    <font>
      <sz val="20"/>
      <color theme="1"/>
      <name val="Calibri"/>
      <family val="2"/>
      <scheme val="minor"/>
    </font>
    <font>
      <sz val="18"/>
      <color theme="1"/>
      <name val="Calibri"/>
      <family val="2"/>
      <scheme val="minor"/>
    </font>
    <font>
      <sz val="18"/>
      <color theme="1"/>
      <name val="Symbol"/>
      <family val="1"/>
      <charset val="2"/>
    </font>
    <font>
      <vertAlign val="subscript"/>
      <sz val="18"/>
      <color theme="1"/>
      <name val="Calibri"/>
      <family val="2"/>
      <scheme val="minor"/>
    </font>
    <font>
      <vertAlign val="superscript"/>
      <sz val="18"/>
      <color theme="1"/>
      <name val="Calibri"/>
      <family val="2"/>
      <scheme val="minor"/>
    </font>
    <font>
      <sz val="18"/>
      <color theme="0" tint="-0.249977111117893"/>
      <name val="Calibri"/>
      <family val="2"/>
      <scheme val="minor"/>
    </font>
    <font>
      <vertAlign val="subscript"/>
      <sz val="18"/>
      <color theme="1"/>
      <name val="Calibri (Body)"/>
    </font>
    <font>
      <vertAlign val="superscript"/>
      <sz val="18"/>
      <color theme="1"/>
      <name val="Calibri (Body)"/>
    </font>
    <font>
      <u/>
      <sz val="12"/>
      <color theme="10"/>
      <name val="Calibri"/>
      <family val="2"/>
      <scheme val="minor"/>
    </font>
    <font>
      <sz val="11"/>
      <color theme="1"/>
      <name val="Calibri"/>
      <family val="2"/>
    </font>
    <font>
      <sz val="12"/>
      <color rgb="FF333333"/>
      <name val="Calibri"/>
      <family val="2"/>
    </font>
    <font>
      <b/>
      <sz val="16"/>
      <color rgb="FF333333"/>
      <name val="Calibri"/>
      <family val="2"/>
    </font>
    <font>
      <sz val="16"/>
      <name val="Calibri"/>
      <family val="2"/>
    </font>
    <font>
      <b/>
      <u/>
      <sz val="16"/>
      <name val="Calibri"/>
      <family val="2"/>
    </font>
    <font>
      <sz val="16"/>
      <color rgb="FF333333"/>
      <name val="Calibri"/>
      <family val="2"/>
    </font>
    <font>
      <u/>
      <sz val="16"/>
      <color rgb="FF333333"/>
      <name val="Calibri"/>
      <family val="2"/>
    </font>
    <font>
      <sz val="16"/>
      <color rgb="FF333333"/>
      <name val="Times New Roman"/>
      <family val="1"/>
    </font>
    <font>
      <u/>
      <sz val="11"/>
      <color theme="10"/>
      <name val="Calibri"/>
      <family val="2"/>
    </font>
    <font>
      <u/>
      <sz val="16"/>
      <color theme="10"/>
      <name val="Calibri"/>
      <family val="2"/>
    </font>
    <font>
      <i/>
      <sz val="16"/>
      <color rgb="FF333333"/>
      <name val="Calibri"/>
      <family val="2"/>
    </font>
    <font>
      <b/>
      <sz val="16"/>
      <color rgb="FF000000"/>
      <name val="Calibri"/>
      <family val="2"/>
    </font>
    <font>
      <sz val="16"/>
      <color rgb="FF000000"/>
      <name val="Calibri"/>
      <family val="2"/>
    </font>
    <font>
      <b/>
      <sz val="14"/>
      <color theme="1"/>
      <name val="Calibri"/>
      <family val="2"/>
      <scheme val="minor"/>
    </font>
    <font>
      <sz val="14"/>
      <color theme="1"/>
      <name val="Calibri"/>
      <family val="2"/>
    </font>
    <font>
      <sz val="14"/>
      <color rgb="FF0033CC"/>
      <name val="Calibri"/>
      <family val="2"/>
      <scheme val="minor"/>
    </font>
    <font>
      <sz val="11"/>
      <color rgb="FF0033CC"/>
      <name val="Calibri"/>
      <family val="2"/>
      <scheme val="minor"/>
    </font>
    <font>
      <i/>
      <sz val="10"/>
      <color theme="9" tint="-0.249977111117893"/>
      <name val="Calibri"/>
      <family val="2"/>
      <scheme val="minor"/>
    </font>
    <font>
      <sz val="16"/>
      <color theme="1"/>
      <name val="Calibri"/>
      <family val="2"/>
    </font>
    <font>
      <sz val="16"/>
      <color rgb="FF333333"/>
      <name val="Arial"/>
      <family val="2"/>
    </font>
    <font>
      <sz val="12"/>
      <color theme="1"/>
      <name val="Calibri"/>
      <family val="2"/>
      <scheme val="minor"/>
    </font>
    <font>
      <sz val="20"/>
      <color theme="0"/>
      <name val="Calibri"/>
      <family val="2"/>
      <scheme val="minor"/>
    </font>
    <font>
      <sz val="20"/>
      <color rgb="FFFFFFFF"/>
      <name val="Calibri"/>
      <family val="2"/>
      <scheme val="minor"/>
    </font>
    <font>
      <u/>
      <sz val="16"/>
      <color theme="10"/>
      <name val="Calibri"/>
      <family val="2"/>
      <scheme val="minor"/>
    </font>
    <font>
      <vertAlign val="subscript"/>
      <sz val="20"/>
      <color theme="1"/>
      <name val="Calibri (Body)"/>
    </font>
    <font>
      <sz val="20"/>
      <color theme="1"/>
      <name val="Calibri"/>
      <family val="2"/>
      <charset val="2"/>
    </font>
    <font>
      <sz val="20"/>
      <color theme="1"/>
      <name val="Symbol"/>
      <charset val="2"/>
    </font>
    <font>
      <vertAlign val="subscript"/>
      <sz val="20"/>
      <color theme="1"/>
      <name val="Calibri"/>
      <family val="2"/>
    </font>
    <font>
      <u/>
      <sz val="12"/>
      <color theme="1"/>
      <name val="Calibri"/>
      <family val="2"/>
      <scheme val="minor"/>
    </font>
    <font>
      <sz val="72"/>
      <color theme="1"/>
      <name val="Calibri"/>
      <family val="2"/>
      <scheme val="minor"/>
    </font>
    <font>
      <u/>
      <sz val="72"/>
      <color theme="1"/>
      <name val="Calibri"/>
      <family val="2"/>
      <scheme val="minor"/>
    </font>
  </fonts>
  <fills count="1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1"/>
        <bgColor indexed="64"/>
      </patternFill>
    </fill>
    <fill>
      <patternFill patternType="solid">
        <fgColor rgb="FF000000"/>
        <bgColor rgb="FF000000"/>
      </patternFill>
    </fill>
    <fill>
      <patternFill patternType="solid">
        <fgColor rgb="FFFFC000"/>
        <bgColor indexed="64"/>
      </patternFill>
    </fill>
  </fills>
  <borders count="35">
    <border>
      <left/>
      <right/>
      <top/>
      <bottom/>
      <diagonal/>
    </border>
    <border>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top/>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style="medium">
        <color auto="1"/>
      </left>
      <right style="medium">
        <color auto="1"/>
      </right>
      <top style="medium">
        <color auto="1"/>
      </top>
      <bottom/>
      <diagonal/>
    </border>
    <border>
      <left/>
      <right style="medium">
        <color auto="1"/>
      </right>
      <top style="medium">
        <color auto="1"/>
      </top>
      <bottom/>
      <diagonal/>
    </border>
    <border>
      <left style="medium">
        <color auto="1"/>
      </left>
      <right style="medium">
        <color auto="1"/>
      </right>
      <top/>
      <bottom/>
      <diagonal/>
    </border>
    <border>
      <left/>
      <right style="medium">
        <color auto="1"/>
      </right>
      <top/>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auto="1"/>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style="medium">
        <color auto="1"/>
      </left>
      <right/>
      <top style="medium">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right style="medium">
        <color auto="1"/>
      </right>
      <top style="medium">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style="thin">
        <color auto="1"/>
      </left>
      <right style="thin">
        <color auto="1"/>
      </right>
      <top style="thin">
        <color auto="1"/>
      </top>
      <bottom style="thin">
        <color auto="1"/>
      </bottom>
      <diagonal/>
    </border>
    <border>
      <left style="medium">
        <color auto="1"/>
      </left>
      <right style="medium">
        <color auto="1"/>
      </right>
      <top/>
      <bottom style="thin">
        <color indexed="64"/>
      </bottom>
      <diagonal/>
    </border>
  </borders>
  <cellStyleXfs count="10">
    <xf numFmtId="0" fontId="0" fillId="0" borderId="0"/>
    <xf numFmtId="0" fontId="2" fillId="0" borderId="0"/>
    <xf numFmtId="9" fontId="2" fillId="0" borderId="0" applyFont="0" applyFill="0" applyBorder="0" applyAlignment="0" applyProtection="0"/>
    <xf numFmtId="0" fontId="2" fillId="0" borderId="0"/>
    <xf numFmtId="0" fontId="11" fillId="0" borderId="0" applyNumberFormat="0" applyFill="0" applyBorder="0" applyAlignment="0" applyProtection="0"/>
    <xf numFmtId="0" fontId="12" fillId="0" borderId="0"/>
    <xf numFmtId="0" fontId="20" fillId="0" borderId="0" applyNumberFormat="0" applyFill="0" applyBorder="0" applyAlignment="0" applyProtection="0"/>
    <xf numFmtId="43" fontId="2" fillId="0" borderId="0" applyFont="0" applyFill="0" applyBorder="0" applyAlignment="0" applyProtection="0"/>
    <xf numFmtId="0" fontId="32" fillId="0" borderId="0"/>
    <xf numFmtId="9" fontId="32" fillId="0" borderId="0" applyFont="0" applyFill="0" applyBorder="0" applyAlignment="0" applyProtection="0"/>
  </cellStyleXfs>
  <cellXfs count="170">
    <xf numFmtId="0" fontId="0" fillId="0" borderId="0" xfId="0"/>
    <xf numFmtId="0" fontId="1" fillId="2" borderId="0" xfId="0" applyFont="1" applyFill="1"/>
    <xf numFmtId="0" fontId="2" fillId="3" borderId="0" xfId="1" applyFill="1"/>
    <xf numFmtId="9" fontId="0" fillId="4" borderId="1" xfId="2" applyFont="1" applyFill="1" applyBorder="1"/>
    <xf numFmtId="9" fontId="0" fillId="3" borderId="2" xfId="2" applyFont="1" applyFill="1" applyBorder="1"/>
    <xf numFmtId="9" fontId="0" fillId="3" borderId="3" xfId="2" applyFont="1" applyFill="1" applyBorder="1"/>
    <xf numFmtId="9" fontId="0" fillId="3" borderId="4" xfId="2" applyFont="1" applyFill="1" applyBorder="1"/>
    <xf numFmtId="9" fontId="0" fillId="4" borderId="0" xfId="2" applyFont="1" applyFill="1" applyBorder="1"/>
    <xf numFmtId="9" fontId="0" fillId="3" borderId="0" xfId="2" applyFont="1" applyFill="1" applyBorder="1"/>
    <xf numFmtId="9" fontId="0" fillId="3" borderId="5" xfId="2" applyFont="1" applyFill="1" applyBorder="1"/>
    <xf numFmtId="9" fontId="0" fillId="3" borderId="6" xfId="2" applyFont="1" applyFill="1" applyBorder="1"/>
    <xf numFmtId="9" fontId="0" fillId="3" borderId="7" xfId="2" applyFont="1" applyFill="1" applyBorder="1"/>
    <xf numFmtId="9" fontId="0" fillId="4" borderId="8" xfId="2" applyFont="1" applyFill="1" applyBorder="1"/>
    <xf numFmtId="0" fontId="2" fillId="3" borderId="0" xfId="1" applyFill="1" applyAlignment="1">
      <alignment horizontal="right"/>
    </xf>
    <xf numFmtId="0" fontId="2" fillId="3" borderId="1" xfId="1" applyFill="1" applyBorder="1"/>
    <xf numFmtId="0" fontId="2" fillId="3" borderId="2" xfId="1" applyFill="1" applyBorder="1"/>
    <xf numFmtId="0" fontId="2" fillId="3" borderId="3" xfId="1" applyFill="1" applyBorder="1"/>
    <xf numFmtId="0" fontId="2" fillId="3" borderId="4" xfId="1" applyFill="1" applyBorder="1"/>
    <xf numFmtId="0" fontId="2" fillId="3" borderId="5" xfId="1" applyFill="1" applyBorder="1"/>
    <xf numFmtId="0" fontId="2" fillId="3" borderId="6" xfId="1" applyFill="1" applyBorder="1"/>
    <xf numFmtId="0" fontId="2" fillId="3" borderId="7" xfId="1" applyFill="1" applyBorder="1"/>
    <xf numFmtId="0" fontId="2" fillId="3" borderId="8" xfId="1" applyFill="1" applyBorder="1"/>
    <xf numFmtId="164" fontId="0" fillId="3" borderId="0" xfId="2" applyNumberFormat="1" applyFont="1" applyFill="1"/>
    <xf numFmtId="2" fontId="2" fillId="3" borderId="0" xfId="1" applyNumberFormat="1" applyFill="1"/>
    <xf numFmtId="2" fontId="2" fillId="3" borderId="2" xfId="1" applyNumberFormat="1" applyFill="1" applyBorder="1"/>
    <xf numFmtId="2" fontId="2" fillId="3" borderId="2" xfId="1" applyNumberFormat="1" applyFill="1" applyBorder="1" applyAlignment="1">
      <alignment horizontal="right"/>
    </xf>
    <xf numFmtId="0" fontId="2" fillId="3" borderId="2" xfId="1" applyFill="1" applyBorder="1" applyAlignment="1">
      <alignment horizontal="right"/>
    </xf>
    <xf numFmtId="164" fontId="2" fillId="3" borderId="0" xfId="1" applyNumberFormat="1" applyFill="1"/>
    <xf numFmtId="2" fontId="2" fillId="3" borderId="0" xfId="1" applyNumberFormat="1" applyFill="1" applyAlignment="1">
      <alignment horizontal="right"/>
    </xf>
    <xf numFmtId="49" fontId="1" fillId="2" borderId="0" xfId="0" applyNumberFormat="1" applyFont="1" applyFill="1"/>
    <xf numFmtId="0" fontId="2" fillId="3" borderId="0" xfId="1" applyFill="1" applyAlignment="1">
      <alignment horizontal="center"/>
    </xf>
    <xf numFmtId="0" fontId="4" fillId="4" borderId="0" xfId="1" applyFont="1" applyFill="1"/>
    <xf numFmtId="165" fontId="4" fillId="4" borderId="0" xfId="1" applyNumberFormat="1" applyFont="1" applyFill="1"/>
    <xf numFmtId="0" fontId="8" fillId="4" borderId="0" xfId="1" applyFont="1" applyFill="1"/>
    <xf numFmtId="0" fontId="2" fillId="4" borderId="0" xfId="1" applyFill="1"/>
    <xf numFmtId="0" fontId="3" fillId="4" borderId="0" xfId="1" applyFont="1" applyFill="1"/>
    <xf numFmtId="2" fontId="3" fillId="4" borderId="0" xfId="1" applyNumberFormat="1" applyFont="1" applyFill="1"/>
    <xf numFmtId="0" fontId="3" fillId="4" borderId="0" xfId="0" applyFont="1" applyFill="1"/>
    <xf numFmtId="0" fontId="3" fillId="5" borderId="0" xfId="0" applyFont="1" applyFill="1"/>
    <xf numFmtId="9" fontId="3" fillId="5" borderId="0" xfId="0" applyNumberFormat="1" applyFont="1" applyFill="1"/>
    <xf numFmtId="0" fontId="11" fillId="4" borderId="0" xfId="4" applyFill="1"/>
    <xf numFmtId="0" fontId="3" fillId="3" borderId="0" xfId="1" applyFont="1" applyFill="1"/>
    <xf numFmtId="0" fontId="13" fillId="0" borderId="0" xfId="5" applyFont="1" applyAlignment="1">
      <alignment horizontal="left"/>
    </xf>
    <xf numFmtId="0" fontId="12" fillId="0" borderId="0" xfId="5" applyAlignment="1">
      <alignment wrapText="1"/>
    </xf>
    <xf numFmtId="0" fontId="12" fillId="0" borderId="0" xfId="5"/>
    <xf numFmtId="0" fontId="13" fillId="0" borderId="0" xfId="5" applyFont="1" applyAlignment="1">
      <alignment wrapText="1"/>
    </xf>
    <xf numFmtId="0" fontId="15" fillId="6" borderId="10" xfId="5" applyFont="1" applyFill="1" applyBorder="1" applyAlignment="1">
      <alignment vertical="center" wrapText="1"/>
    </xf>
    <xf numFmtId="0" fontId="15" fillId="6" borderId="12" xfId="5" applyFont="1" applyFill="1" applyBorder="1" applyAlignment="1">
      <alignment vertical="center" wrapText="1"/>
    </xf>
    <xf numFmtId="0" fontId="16" fillId="6" borderId="12" xfId="5" applyFont="1" applyFill="1" applyBorder="1" applyAlignment="1">
      <alignment vertical="center" wrapText="1"/>
    </xf>
    <xf numFmtId="0" fontId="15" fillId="6" borderId="14" xfId="5" applyFont="1" applyFill="1" applyBorder="1" applyAlignment="1">
      <alignment vertical="center" wrapText="1"/>
    </xf>
    <xf numFmtId="0" fontId="17" fillId="0" borderId="10" xfId="5" applyFont="1" applyBorder="1" applyAlignment="1">
      <alignment vertical="center" wrapText="1"/>
    </xf>
    <xf numFmtId="0" fontId="17" fillId="0" borderId="12" xfId="5" applyFont="1" applyBorder="1" applyAlignment="1">
      <alignment horizontal="left" vertical="center" wrapText="1" indent="1"/>
    </xf>
    <xf numFmtId="0" fontId="21" fillId="0" borderId="10" xfId="6" applyFont="1" applyBorder="1" applyAlignment="1">
      <alignment vertical="center" wrapText="1"/>
    </xf>
    <xf numFmtId="0" fontId="17" fillId="0" borderId="12" xfId="5" applyFont="1" applyBorder="1" applyAlignment="1">
      <alignment vertical="center" wrapText="1"/>
    </xf>
    <xf numFmtId="0" fontId="12" fillId="0" borderId="0" xfId="5" applyAlignment="1">
      <alignment horizontal="center"/>
    </xf>
    <xf numFmtId="0" fontId="15" fillId="0" borderId="14" xfId="5" applyFont="1" applyBorder="1" applyAlignment="1">
      <alignment vertical="center" wrapText="1"/>
    </xf>
    <xf numFmtId="0" fontId="23" fillId="6" borderId="16" xfId="5" applyFont="1" applyFill="1" applyBorder="1" applyAlignment="1">
      <alignment horizontal="center" vertical="center" wrapText="1"/>
    </xf>
    <xf numFmtId="0" fontId="23" fillId="6" borderId="17" xfId="5" applyFont="1" applyFill="1" applyBorder="1" applyAlignment="1">
      <alignment horizontal="center" vertical="center" wrapText="1"/>
    </xf>
    <xf numFmtId="15" fontId="24" fillId="6" borderId="0" xfId="5" applyNumberFormat="1" applyFont="1" applyFill="1" applyAlignment="1">
      <alignment horizontal="center" vertical="center"/>
    </xf>
    <xf numFmtId="3" fontId="24" fillId="6" borderId="11" xfId="5" applyNumberFormat="1" applyFont="1" applyFill="1" applyBorder="1" applyAlignment="1">
      <alignment horizontal="center" vertical="center"/>
    </xf>
    <xf numFmtId="0" fontId="24" fillId="6" borderId="0" xfId="5" applyFont="1" applyFill="1" applyAlignment="1">
      <alignment horizontal="center" vertical="center"/>
    </xf>
    <xf numFmtId="10" fontId="24" fillId="6" borderId="11" xfId="5" applyNumberFormat="1" applyFont="1" applyFill="1" applyBorder="1" applyAlignment="1">
      <alignment horizontal="center" vertical="center"/>
    </xf>
    <xf numFmtId="15" fontId="24" fillId="6" borderId="12" xfId="5" applyNumberFormat="1" applyFont="1" applyFill="1" applyBorder="1" applyAlignment="1">
      <alignment horizontal="center" vertical="center"/>
    </xf>
    <xf numFmtId="15" fontId="12" fillId="0" borderId="0" xfId="5" applyNumberFormat="1"/>
    <xf numFmtId="3" fontId="24" fillId="6" borderId="13" xfId="5" applyNumberFormat="1" applyFont="1" applyFill="1" applyBorder="1" applyAlignment="1">
      <alignment horizontal="center" vertical="center"/>
    </xf>
    <xf numFmtId="0" fontId="24" fillId="6" borderId="18" xfId="5" applyFont="1" applyFill="1" applyBorder="1" applyAlignment="1">
      <alignment horizontal="center" vertical="center"/>
    </xf>
    <xf numFmtId="10" fontId="24" fillId="6" borderId="13" xfId="5" applyNumberFormat="1" applyFont="1" applyFill="1" applyBorder="1" applyAlignment="1">
      <alignment horizontal="center" vertical="center"/>
    </xf>
    <xf numFmtId="0" fontId="25" fillId="0" borderId="0" xfId="5" applyFont="1"/>
    <xf numFmtId="0" fontId="26" fillId="0" borderId="0" xfId="5" applyFont="1" applyAlignment="1">
      <alignment horizontal="center"/>
    </xf>
    <xf numFmtId="0" fontId="26" fillId="0" borderId="0" xfId="5" applyFont="1"/>
    <xf numFmtId="0" fontId="27" fillId="0" borderId="0" xfId="5" applyFont="1" applyAlignment="1">
      <alignment horizontal="center"/>
    </xf>
    <xf numFmtId="0" fontId="2" fillId="0" borderId="0" xfId="1"/>
    <xf numFmtId="0" fontId="25" fillId="0" borderId="23" xfId="5" applyFont="1" applyBorder="1" applyAlignment="1">
      <alignment horizontal="center" vertical="center" wrapText="1"/>
    </xf>
    <xf numFmtId="0" fontId="25" fillId="0" borderId="24" xfId="5" applyFont="1" applyBorder="1" applyAlignment="1">
      <alignment horizontal="center" vertical="center" wrapText="1"/>
    </xf>
    <xf numFmtId="0" fontId="25" fillId="0" borderId="25" xfId="5" applyFont="1" applyBorder="1" applyAlignment="1">
      <alignment horizontal="center" vertical="center" wrapText="1"/>
    </xf>
    <xf numFmtId="0" fontId="25" fillId="0" borderId="26" xfId="5" applyFont="1" applyBorder="1" applyAlignment="1">
      <alignment horizontal="center" vertical="center" wrapText="1"/>
    </xf>
    <xf numFmtId="0" fontId="25" fillId="0" borderId="27" xfId="5" applyFont="1" applyBorder="1" applyAlignment="1">
      <alignment horizontal="center" vertical="center" wrapText="1"/>
    </xf>
    <xf numFmtId="0" fontId="25" fillId="0" borderId="0" xfId="5" applyFont="1" applyAlignment="1">
      <alignment horizontal="center" vertical="center" wrapText="1"/>
    </xf>
    <xf numFmtId="166" fontId="26" fillId="0" borderId="20" xfId="5" applyNumberFormat="1" applyFont="1" applyBorder="1"/>
    <xf numFmtId="3" fontId="26" fillId="0" borderId="28" xfId="5" applyNumberFormat="1" applyFont="1" applyBorder="1" applyAlignment="1">
      <alignment horizontal="center"/>
    </xf>
    <xf numFmtId="10" fontId="26" fillId="0" borderId="28" xfId="5" applyNumberFormat="1" applyFont="1" applyBorder="1" applyAlignment="1">
      <alignment horizontal="center"/>
    </xf>
    <xf numFmtId="166" fontId="26" fillId="0" borderId="4" xfId="5" applyNumberFormat="1" applyFont="1" applyBorder="1" applyAlignment="1">
      <alignment horizontal="center"/>
    </xf>
    <xf numFmtId="40" fontId="26" fillId="7" borderId="0" xfId="5" applyNumberFormat="1" applyFont="1" applyFill="1"/>
    <xf numFmtId="0" fontId="27" fillId="7" borderId="0" xfId="5" applyFont="1" applyFill="1" applyAlignment="1">
      <alignment horizontal="center"/>
    </xf>
    <xf numFmtId="40" fontId="26" fillId="7" borderId="5" xfId="5" applyNumberFormat="1" applyFont="1" applyFill="1" applyBorder="1"/>
    <xf numFmtId="40" fontId="26" fillId="7" borderId="29" xfId="5" applyNumberFormat="1" applyFont="1" applyFill="1" applyBorder="1"/>
    <xf numFmtId="40" fontId="26" fillId="7" borderId="12" xfId="5" applyNumberFormat="1" applyFont="1" applyFill="1" applyBorder="1"/>
    <xf numFmtId="7" fontId="29" fillId="0" borderId="0" xfId="1" applyNumberFormat="1" applyFont="1" applyAlignment="1">
      <alignment horizontal="center"/>
    </xf>
    <xf numFmtId="3" fontId="26" fillId="0" borderId="29" xfId="5" applyNumberFormat="1" applyFont="1" applyBorder="1" applyAlignment="1">
      <alignment horizontal="center"/>
    </xf>
    <xf numFmtId="10" fontId="26" fillId="0" borderId="29" xfId="5" applyNumberFormat="1" applyFont="1" applyBorder="1" applyAlignment="1">
      <alignment horizontal="center"/>
    </xf>
    <xf numFmtId="8" fontId="2" fillId="0" borderId="0" xfId="1" applyNumberFormat="1" applyAlignment="1">
      <alignment horizontal="center"/>
    </xf>
    <xf numFmtId="166" fontId="26" fillId="0" borderId="21" xfId="5" applyNumberFormat="1" applyFont="1" applyBorder="1"/>
    <xf numFmtId="3" fontId="26" fillId="0" borderId="30" xfId="5" applyNumberFormat="1" applyFont="1" applyBorder="1" applyAlignment="1">
      <alignment horizontal="center"/>
    </xf>
    <xf numFmtId="0" fontId="26" fillId="0" borderId="18" xfId="5" applyFont="1" applyBorder="1"/>
    <xf numFmtId="10" fontId="26" fillId="0" borderId="30" xfId="5" applyNumberFormat="1" applyFont="1" applyBorder="1" applyAlignment="1">
      <alignment horizontal="center"/>
    </xf>
    <xf numFmtId="166" fontId="26" fillId="0" borderId="31" xfId="5" applyNumberFormat="1" applyFont="1" applyBorder="1" applyAlignment="1">
      <alignment horizontal="center"/>
    </xf>
    <xf numFmtId="40" fontId="26" fillId="7" borderId="18" xfId="5" applyNumberFormat="1" applyFont="1" applyFill="1" applyBorder="1"/>
    <xf numFmtId="0" fontId="27" fillId="7" borderId="18" xfId="5" applyFont="1" applyFill="1" applyBorder="1" applyAlignment="1">
      <alignment horizontal="center"/>
    </xf>
    <xf numFmtId="40" fontId="26" fillId="7" borderId="32" xfId="5" applyNumberFormat="1" applyFont="1" applyFill="1" applyBorder="1"/>
    <xf numFmtId="40" fontId="26" fillId="7" borderId="30" xfId="5" applyNumberFormat="1" applyFont="1" applyFill="1" applyBorder="1"/>
    <xf numFmtId="40" fontId="26" fillId="7" borderId="14" xfId="5" applyNumberFormat="1" applyFont="1" applyFill="1" applyBorder="1"/>
    <xf numFmtId="0" fontId="25" fillId="0" borderId="0" xfId="5" applyFont="1" applyAlignment="1">
      <alignment horizontal="right"/>
    </xf>
    <xf numFmtId="40" fontId="25" fillId="5" borderId="33" xfId="5" applyNumberFormat="1" applyFont="1" applyFill="1" applyBorder="1" applyAlignment="1">
      <alignment horizontal="right"/>
    </xf>
    <xf numFmtId="0" fontId="2" fillId="0" borderId="0" xfId="1" applyAlignment="1">
      <alignment horizontal="center" wrapText="1"/>
    </xf>
    <xf numFmtId="0" fontId="2" fillId="0" borderId="0" xfId="1" applyAlignment="1">
      <alignment horizontal="center"/>
    </xf>
    <xf numFmtId="0" fontId="28" fillId="0" borderId="0" xfId="1" applyFont="1" applyAlignment="1">
      <alignment horizontal="center"/>
    </xf>
    <xf numFmtId="0" fontId="30" fillId="0" borderId="0" xfId="5" applyFont="1"/>
    <xf numFmtId="0" fontId="17" fillId="0" borderId="0" xfId="5" applyFont="1" applyAlignment="1">
      <alignment horizontal="left"/>
    </xf>
    <xf numFmtId="0" fontId="17" fillId="6" borderId="10" xfId="5" applyFont="1" applyFill="1" applyBorder="1" applyAlignment="1">
      <alignment vertical="center" wrapText="1"/>
    </xf>
    <xf numFmtId="0" fontId="17" fillId="6" borderId="12" xfId="5" applyFont="1" applyFill="1" applyBorder="1" applyAlignment="1">
      <alignment vertical="center" wrapText="1"/>
    </xf>
    <xf numFmtId="0" fontId="18" fillId="6" borderId="12" xfId="5" applyFont="1" applyFill="1" applyBorder="1" applyAlignment="1">
      <alignment vertical="center" wrapText="1"/>
    </xf>
    <xf numFmtId="0" fontId="17" fillId="6" borderId="12" xfId="5" applyFont="1" applyFill="1" applyBorder="1" applyAlignment="1">
      <alignment horizontal="left" vertical="center" wrapText="1" indent="7"/>
    </xf>
    <xf numFmtId="0" fontId="17" fillId="6" borderId="14" xfId="5" applyFont="1" applyFill="1" applyBorder="1" applyAlignment="1">
      <alignment vertical="center" wrapText="1"/>
    </xf>
    <xf numFmtId="0" fontId="3" fillId="4" borderId="0" xfId="8" applyFont="1" applyFill="1"/>
    <xf numFmtId="9" fontId="3" fillId="4" borderId="0" xfId="2" applyFont="1" applyFill="1"/>
    <xf numFmtId="9" fontId="3" fillId="4" borderId="0" xfId="8" applyNumberFormat="1" applyFont="1" applyFill="1"/>
    <xf numFmtId="164" fontId="3" fillId="4" borderId="0" xfId="2" applyNumberFormat="1" applyFont="1" applyFill="1"/>
    <xf numFmtId="0" fontId="3" fillId="4" borderId="0" xfId="8" applyFont="1" applyFill="1" applyAlignment="1">
      <alignment horizontal="right"/>
    </xf>
    <xf numFmtId="164" fontId="3" fillId="4" borderId="0" xfId="8" applyNumberFormat="1" applyFont="1" applyFill="1"/>
    <xf numFmtId="0" fontId="3" fillId="3" borderId="0" xfId="0" applyFont="1" applyFill="1"/>
    <xf numFmtId="0" fontId="33" fillId="8" borderId="0" xfId="8" applyFont="1" applyFill="1"/>
    <xf numFmtId="0" fontId="34" fillId="9" borderId="0" xfId="0" applyFont="1" applyFill="1"/>
    <xf numFmtId="0" fontId="11" fillId="0" borderId="12" xfId="4" applyBorder="1" applyAlignment="1">
      <alignment vertical="center" wrapText="1"/>
    </xf>
    <xf numFmtId="164" fontId="3" fillId="4" borderId="0" xfId="9" applyNumberFormat="1" applyFont="1" applyFill="1"/>
    <xf numFmtId="0" fontId="37" fillId="4" borderId="0" xfId="0" applyFont="1" applyFill="1"/>
    <xf numFmtId="9" fontId="3" fillId="10" borderId="0" xfId="0" applyNumberFormat="1" applyFont="1" applyFill="1"/>
    <xf numFmtId="0" fontId="40" fillId="4" borderId="0" xfId="0" applyFont="1" applyFill="1" applyAlignment="1">
      <alignment horizontal="right" shrinkToFit="1"/>
    </xf>
    <xf numFmtId="0" fontId="0" fillId="4" borderId="0" xfId="0" applyFill="1" applyAlignment="1">
      <alignment horizontal="right" shrinkToFit="1"/>
    </xf>
    <xf numFmtId="0" fontId="3" fillId="10" borderId="0" xfId="0" applyFont="1" applyFill="1"/>
    <xf numFmtId="0" fontId="3" fillId="2" borderId="0" xfId="1" applyFont="1" applyFill="1" applyAlignment="1">
      <alignment vertical="top"/>
    </xf>
    <xf numFmtId="0" fontId="41" fillId="2" borderId="0" xfId="1" applyFont="1" applyFill="1"/>
    <xf numFmtId="0" fontId="42" fillId="2" borderId="0" xfId="1" applyFont="1" applyFill="1"/>
    <xf numFmtId="0" fontId="17" fillId="0" borderId="9" xfId="5" applyFont="1" applyBorder="1" applyAlignment="1">
      <alignment vertical="center" wrapText="1"/>
    </xf>
    <xf numFmtId="0" fontId="17" fillId="0" borderId="11" xfId="5" applyFont="1" applyBorder="1" applyAlignment="1">
      <alignment horizontal="left" vertical="center" wrapText="1" indent="1"/>
    </xf>
    <xf numFmtId="0" fontId="22" fillId="0" borderId="11" xfId="5" applyFont="1" applyBorder="1" applyAlignment="1">
      <alignment vertical="center" wrapText="1"/>
    </xf>
    <xf numFmtId="0" fontId="35" fillId="0" borderId="11" xfId="4" applyFont="1" applyBorder="1" applyAlignment="1">
      <alignment vertical="center" wrapText="1"/>
    </xf>
    <xf numFmtId="0" fontId="31" fillId="0" borderId="11" xfId="5" applyFont="1" applyBorder="1" applyAlignment="1">
      <alignment vertical="center" wrapText="1"/>
    </xf>
    <xf numFmtId="0" fontId="15" fillId="0" borderId="13" xfId="5" applyFont="1" applyBorder="1" applyAlignment="1">
      <alignment vertical="center" wrapText="1"/>
    </xf>
    <xf numFmtId="0" fontId="17" fillId="6" borderId="11" xfId="5" applyFont="1" applyFill="1" applyBorder="1" applyAlignment="1">
      <alignment vertical="center" wrapText="1"/>
    </xf>
    <xf numFmtId="0" fontId="17" fillId="5" borderId="11" xfId="5" applyFont="1" applyFill="1" applyBorder="1" applyAlignment="1">
      <alignment horizontal="left" vertical="center" wrapText="1" indent="1"/>
    </xf>
    <xf numFmtId="0" fontId="17" fillId="5" borderId="34" xfId="5" applyFont="1" applyFill="1" applyBorder="1" applyAlignment="1">
      <alignment horizontal="left" vertical="center" wrapText="1" indent="1"/>
    </xf>
    <xf numFmtId="0" fontId="14" fillId="0" borderId="9" xfId="5" applyFont="1" applyBorder="1" applyAlignment="1">
      <alignment horizontal="center" vertical="center" wrapText="1"/>
    </xf>
    <xf numFmtId="0" fontId="14" fillId="0" borderId="11" xfId="5" applyFont="1" applyBorder="1" applyAlignment="1">
      <alignment horizontal="center" vertical="center" wrapText="1"/>
    </xf>
    <xf numFmtId="0" fontId="14" fillId="0" borderId="13" xfId="5" applyFont="1" applyBorder="1" applyAlignment="1">
      <alignment horizontal="center" vertical="center" wrapText="1"/>
    </xf>
    <xf numFmtId="0" fontId="21" fillId="0" borderId="22" xfId="6" applyFont="1" applyBorder="1" applyAlignment="1">
      <alignment horizontal="left" vertical="center" wrapText="1"/>
    </xf>
    <xf numFmtId="0" fontId="21" fillId="0" borderId="19" xfId="6" applyFont="1" applyBorder="1" applyAlignment="1">
      <alignment horizontal="left" vertical="center" wrapText="1"/>
    </xf>
    <xf numFmtId="0" fontId="21" fillId="0" borderId="10" xfId="6" applyFont="1" applyBorder="1" applyAlignment="1">
      <alignment horizontal="left" vertical="center" wrapText="1"/>
    </xf>
    <xf numFmtId="0" fontId="21" fillId="0" borderId="20" xfId="6" applyFont="1" applyBorder="1" applyAlignment="1">
      <alignment vertical="center" wrapText="1"/>
    </xf>
    <xf numFmtId="0" fontId="21" fillId="0" borderId="0" xfId="6" applyFont="1" applyAlignment="1">
      <alignment vertical="center" wrapText="1"/>
    </xf>
    <xf numFmtId="0" fontId="21" fillId="0" borderId="12" xfId="6" applyFont="1" applyBorder="1" applyAlignment="1">
      <alignment vertical="center" wrapText="1"/>
    </xf>
    <xf numFmtId="0" fontId="15" fillId="0" borderId="21" xfId="5" applyFont="1" applyBorder="1" applyAlignment="1">
      <alignment horizontal="left" vertical="center" wrapText="1"/>
    </xf>
    <xf numFmtId="0" fontId="15" fillId="0" borderId="18" xfId="5" applyFont="1" applyBorder="1" applyAlignment="1">
      <alignment horizontal="left" vertical="center" wrapText="1"/>
    </xf>
    <xf numFmtId="0" fontId="15" fillId="0" borderId="14" xfId="5" applyFont="1" applyBorder="1" applyAlignment="1">
      <alignment horizontal="left" vertical="center" wrapText="1"/>
    </xf>
    <xf numFmtId="0" fontId="17" fillId="6" borderId="15" xfId="5" applyFont="1" applyFill="1" applyBorder="1" applyAlignment="1">
      <alignment vertical="center" wrapText="1"/>
    </xf>
    <xf numFmtId="0" fontId="17" fillId="6" borderId="16" xfId="5" applyFont="1" applyFill="1" applyBorder="1" applyAlignment="1">
      <alignment vertical="center" wrapText="1"/>
    </xf>
    <xf numFmtId="0" fontId="17" fillId="6" borderId="17" xfId="5" applyFont="1" applyFill="1" applyBorder="1" applyAlignment="1">
      <alignment vertical="center" wrapText="1"/>
    </xf>
    <xf numFmtId="0" fontId="17" fillId="0" borderId="19" xfId="5" applyFont="1" applyBorder="1" applyAlignment="1">
      <alignment horizontal="left" vertical="center" wrapText="1"/>
    </xf>
    <xf numFmtId="0" fontId="17" fillId="0" borderId="10" xfId="5" applyFont="1" applyBorder="1" applyAlignment="1">
      <alignment horizontal="left" vertical="center" wrapText="1"/>
    </xf>
    <xf numFmtId="0" fontId="17" fillId="0" borderId="0" xfId="5" applyFont="1" applyAlignment="1">
      <alignment horizontal="left" vertical="center" wrapText="1"/>
    </xf>
    <xf numFmtId="0" fontId="17" fillId="0" borderId="12" xfId="5" applyFont="1" applyBorder="1" applyAlignment="1">
      <alignment horizontal="left" vertical="center" wrapText="1"/>
    </xf>
    <xf numFmtId="0" fontId="27" fillId="0" borderId="24" xfId="5" applyFont="1" applyBorder="1" applyAlignment="1">
      <alignment horizontal="center" vertical="center" wrapText="1"/>
    </xf>
    <xf numFmtId="0" fontId="27" fillId="0" borderId="25" xfId="5" applyFont="1" applyBorder="1" applyAlignment="1">
      <alignment horizontal="center" vertical="center" wrapText="1"/>
    </xf>
    <xf numFmtId="0" fontId="17" fillId="5" borderId="12" xfId="5" applyFont="1" applyFill="1" applyBorder="1" applyAlignment="1">
      <alignment horizontal="left" vertical="center" wrapText="1" indent="1"/>
    </xf>
    <xf numFmtId="0" fontId="17" fillId="5" borderId="14" xfId="5" applyFont="1" applyFill="1" applyBorder="1" applyAlignment="1">
      <alignment horizontal="left" vertical="center" wrapText="1" indent="1"/>
    </xf>
    <xf numFmtId="0" fontId="17" fillId="5" borderId="20" xfId="5" applyFont="1" applyFill="1" applyBorder="1" applyAlignment="1">
      <alignment horizontal="center" vertical="center" wrapText="1"/>
    </xf>
    <xf numFmtId="0" fontId="17" fillId="5" borderId="0" xfId="5" applyFont="1" applyFill="1" applyAlignment="1">
      <alignment horizontal="center" vertical="center" wrapText="1"/>
    </xf>
    <xf numFmtId="0" fontId="17" fillId="5" borderId="12" xfId="5" applyFont="1" applyFill="1" applyBorder="1" applyAlignment="1">
      <alignment horizontal="center" vertical="center" wrapText="1"/>
    </xf>
    <xf numFmtId="0" fontId="17" fillId="5" borderId="21" xfId="5" applyFont="1" applyFill="1" applyBorder="1" applyAlignment="1">
      <alignment horizontal="center" vertical="center" wrapText="1"/>
    </xf>
    <xf numFmtId="0" fontId="17" fillId="5" borderId="18" xfId="5" applyFont="1" applyFill="1" applyBorder="1" applyAlignment="1">
      <alignment horizontal="center" vertical="center" wrapText="1"/>
    </xf>
    <xf numFmtId="0" fontId="17" fillId="5" borderId="14" xfId="5" applyFont="1" applyFill="1" applyBorder="1" applyAlignment="1">
      <alignment horizontal="center" vertical="center" wrapText="1"/>
    </xf>
  </cellXfs>
  <cellStyles count="10">
    <cellStyle name="Comma 2" xfId="7" xr:uid="{3A62013E-9CA2-D448-8E8C-DDDF1D2D80D1}"/>
    <cellStyle name="Hyperlink" xfId="4" builtinId="8"/>
    <cellStyle name="Hyperlink 2" xfId="6" xr:uid="{1E463CA3-33E7-4E45-B0A8-37A3D179402C}"/>
    <cellStyle name="Normal" xfId="0" builtinId="0"/>
    <cellStyle name="Normal 2" xfId="1" xr:uid="{00000000-0005-0000-0000-000001000000}"/>
    <cellStyle name="Normal 2 2" xfId="3" xr:uid="{00000000-0005-0000-0000-000002000000}"/>
    <cellStyle name="Normal 2 3" xfId="8" xr:uid="{C787AAC7-4180-AD4F-A4A4-E8C723385322}"/>
    <cellStyle name="Normal 3" xfId="5" xr:uid="{74EAE95C-DE83-BA4F-BD61-C93CEA3352DC}"/>
    <cellStyle name="Percent" xfId="9" builtinId="5"/>
    <cellStyle name="Percent 2" xfId="2" xr:uid="{00000000-0005-0000-0000-000003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externalLink" Target="externalLinks/externalLink1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externalLink" Target="externalLinks/externalLink10.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externalLink" Target="externalLinks/externalLink9.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36" Type="http://schemas.openxmlformats.org/officeDocument/2006/relationships/externalLink" Target="externalLinks/externalLink1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externalLink" Target="externalLinks/externalLink7.xml"/><Relationship Id="rId35" Type="http://schemas.openxmlformats.org/officeDocument/2006/relationships/externalLink" Target="externalLinks/externalLink12.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Underlyier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CVA_Sim!$C$12:$O$12</c:f>
              <c:numCache>
                <c:formatCode>General</c:formatCode>
                <c:ptCount val="13"/>
                <c:pt idx="0">
                  <c:v>30</c:v>
                </c:pt>
                <c:pt idx="1">
                  <c:v>29.656016504447692</c:v>
                </c:pt>
                <c:pt idx="2">
                  <c:v>29.969927675876267</c:v>
                </c:pt>
                <c:pt idx="3">
                  <c:v>30.529189256774032</c:v>
                </c:pt>
                <c:pt idx="4">
                  <c:v>31.298482576374042</c:v>
                </c:pt>
                <c:pt idx="5">
                  <c:v>32.980794881940888</c:v>
                </c:pt>
                <c:pt idx="6">
                  <c:v>34.310864504806787</c:v>
                </c:pt>
                <c:pt idx="7">
                  <c:v>34.211540131158529</c:v>
                </c:pt>
                <c:pt idx="8">
                  <c:v>33.79169757239363</c:v>
                </c:pt>
                <c:pt idx="9">
                  <c:v>34.230138145339282</c:v>
                </c:pt>
                <c:pt idx="10">
                  <c:v>35.165741298950138</c:v>
                </c:pt>
                <c:pt idx="11">
                  <c:v>34.712348495344131</c:v>
                </c:pt>
                <c:pt idx="12">
                  <c:v>34.670816017333614</c:v>
                </c:pt>
              </c:numCache>
            </c:numRef>
          </c:val>
          <c:smooth val="0"/>
          <c:extLst>
            <c:ext xmlns:c16="http://schemas.microsoft.com/office/drawing/2014/chart" uri="{C3380CC4-5D6E-409C-BE32-E72D297353CC}">
              <c16:uniqueId val="{00000000-75D8-4D4E-A07A-C4D95296F425}"/>
            </c:ext>
          </c:extLst>
        </c:ser>
        <c:ser>
          <c:idx val="1"/>
          <c:order val="1"/>
          <c:spPr>
            <a:ln w="28575" cap="rnd">
              <a:solidFill>
                <a:schemeClr val="accent2"/>
              </a:solidFill>
              <a:round/>
            </a:ln>
            <a:effectLst/>
          </c:spPr>
          <c:marker>
            <c:symbol val="none"/>
          </c:marker>
          <c:val>
            <c:numRef>
              <c:f>CVA_Sim!$C$13:$O$13</c:f>
              <c:numCache>
                <c:formatCode>General</c:formatCode>
                <c:ptCount val="13"/>
                <c:pt idx="0">
                  <c:v>30</c:v>
                </c:pt>
                <c:pt idx="1">
                  <c:v>30.269363753678295</c:v>
                </c:pt>
                <c:pt idx="2">
                  <c:v>31.386273494029755</c:v>
                </c:pt>
                <c:pt idx="3">
                  <c:v>33.367071503423425</c:v>
                </c:pt>
                <c:pt idx="4">
                  <c:v>34.173010862619257</c:v>
                </c:pt>
                <c:pt idx="5">
                  <c:v>35.327717287497926</c:v>
                </c:pt>
                <c:pt idx="6">
                  <c:v>35.311203792657153</c:v>
                </c:pt>
                <c:pt idx="7">
                  <c:v>35.606133171815166</c:v>
                </c:pt>
                <c:pt idx="8">
                  <c:v>36.711030590981537</c:v>
                </c:pt>
                <c:pt idx="9">
                  <c:v>37.417962990145355</c:v>
                </c:pt>
                <c:pt idx="10">
                  <c:v>37.791144658806907</c:v>
                </c:pt>
                <c:pt idx="11">
                  <c:v>39.396713144020914</c:v>
                </c:pt>
                <c:pt idx="12">
                  <c:v>40.381519173080427</c:v>
                </c:pt>
              </c:numCache>
            </c:numRef>
          </c:val>
          <c:smooth val="0"/>
          <c:extLst>
            <c:ext xmlns:c16="http://schemas.microsoft.com/office/drawing/2014/chart" uri="{C3380CC4-5D6E-409C-BE32-E72D297353CC}">
              <c16:uniqueId val="{00000001-75D8-4D4E-A07A-C4D95296F425}"/>
            </c:ext>
          </c:extLst>
        </c:ser>
        <c:ser>
          <c:idx val="2"/>
          <c:order val="2"/>
          <c:spPr>
            <a:ln w="28575" cap="rnd">
              <a:solidFill>
                <a:schemeClr val="accent3"/>
              </a:solidFill>
              <a:round/>
            </a:ln>
            <a:effectLst/>
          </c:spPr>
          <c:marker>
            <c:symbol val="none"/>
          </c:marker>
          <c:val>
            <c:numRef>
              <c:f>CVA_Sim!$C$14:$O$14</c:f>
              <c:numCache>
                <c:formatCode>General</c:formatCode>
                <c:ptCount val="13"/>
                <c:pt idx="0">
                  <c:v>30</c:v>
                </c:pt>
                <c:pt idx="1">
                  <c:v>31.405953112531606</c:v>
                </c:pt>
                <c:pt idx="2">
                  <c:v>32.510158059856359</c:v>
                </c:pt>
                <c:pt idx="3">
                  <c:v>32.73351866161525</c:v>
                </c:pt>
                <c:pt idx="4">
                  <c:v>33.064253268866182</c:v>
                </c:pt>
                <c:pt idx="5">
                  <c:v>34.404132845580584</c:v>
                </c:pt>
                <c:pt idx="6">
                  <c:v>34.215972740043362</c:v>
                </c:pt>
                <c:pt idx="7">
                  <c:v>35.5974463954648</c:v>
                </c:pt>
                <c:pt idx="8">
                  <c:v>34.899051537573435</c:v>
                </c:pt>
                <c:pt idx="9">
                  <c:v>37.111325354108374</c:v>
                </c:pt>
                <c:pt idx="10">
                  <c:v>38.172898357133995</c:v>
                </c:pt>
                <c:pt idx="11">
                  <c:v>38.922126394893368</c:v>
                </c:pt>
                <c:pt idx="12">
                  <c:v>39.569641939990568</c:v>
                </c:pt>
              </c:numCache>
            </c:numRef>
          </c:val>
          <c:smooth val="0"/>
          <c:extLst>
            <c:ext xmlns:c16="http://schemas.microsoft.com/office/drawing/2014/chart" uri="{C3380CC4-5D6E-409C-BE32-E72D297353CC}">
              <c16:uniqueId val="{00000002-75D8-4D4E-A07A-C4D95296F425}"/>
            </c:ext>
          </c:extLst>
        </c:ser>
        <c:ser>
          <c:idx val="3"/>
          <c:order val="3"/>
          <c:spPr>
            <a:ln w="28575" cap="rnd">
              <a:solidFill>
                <a:schemeClr val="accent4"/>
              </a:solidFill>
              <a:round/>
            </a:ln>
            <a:effectLst/>
          </c:spPr>
          <c:marker>
            <c:symbol val="none"/>
          </c:marker>
          <c:val>
            <c:numRef>
              <c:f>CVA_Sim!$C$15:$O$15</c:f>
              <c:numCache>
                <c:formatCode>General</c:formatCode>
                <c:ptCount val="13"/>
                <c:pt idx="0">
                  <c:v>30</c:v>
                </c:pt>
                <c:pt idx="1">
                  <c:v>30.315964976141878</c:v>
                </c:pt>
                <c:pt idx="2">
                  <c:v>30.672063787708918</c:v>
                </c:pt>
                <c:pt idx="3">
                  <c:v>31.851219569654813</c:v>
                </c:pt>
                <c:pt idx="4">
                  <c:v>32.102991573262308</c:v>
                </c:pt>
                <c:pt idx="5">
                  <c:v>32.860311061123362</c:v>
                </c:pt>
                <c:pt idx="6">
                  <c:v>33.727139872366124</c:v>
                </c:pt>
                <c:pt idx="7">
                  <c:v>35.148729342652231</c:v>
                </c:pt>
                <c:pt idx="8">
                  <c:v>36.028654153010848</c:v>
                </c:pt>
                <c:pt idx="9">
                  <c:v>35.124380489018506</c:v>
                </c:pt>
                <c:pt idx="10">
                  <c:v>35.407440341550512</c:v>
                </c:pt>
                <c:pt idx="11">
                  <c:v>35.619690000574735</c:v>
                </c:pt>
                <c:pt idx="12">
                  <c:v>37.213066535830094</c:v>
                </c:pt>
              </c:numCache>
            </c:numRef>
          </c:val>
          <c:smooth val="0"/>
          <c:extLst>
            <c:ext xmlns:c16="http://schemas.microsoft.com/office/drawing/2014/chart" uri="{C3380CC4-5D6E-409C-BE32-E72D297353CC}">
              <c16:uniqueId val="{00000003-75D8-4D4E-A07A-C4D95296F425}"/>
            </c:ext>
          </c:extLst>
        </c:ser>
        <c:ser>
          <c:idx val="4"/>
          <c:order val="4"/>
          <c:spPr>
            <a:ln w="28575" cap="rnd">
              <a:solidFill>
                <a:schemeClr val="accent5"/>
              </a:solidFill>
              <a:round/>
            </a:ln>
            <a:effectLst/>
          </c:spPr>
          <c:marker>
            <c:symbol val="none"/>
          </c:marker>
          <c:val>
            <c:numRef>
              <c:f>CVA_Sim!$C$16:$O$16</c:f>
              <c:numCache>
                <c:formatCode>General</c:formatCode>
                <c:ptCount val="13"/>
                <c:pt idx="0">
                  <c:v>30</c:v>
                </c:pt>
                <c:pt idx="1">
                  <c:v>30.413451939914999</c:v>
                </c:pt>
                <c:pt idx="2">
                  <c:v>30.221564504357961</c:v>
                </c:pt>
                <c:pt idx="3">
                  <c:v>30.650293433976685</c:v>
                </c:pt>
                <c:pt idx="4">
                  <c:v>31.402312008040802</c:v>
                </c:pt>
                <c:pt idx="5">
                  <c:v>31.264121546560055</c:v>
                </c:pt>
                <c:pt idx="6">
                  <c:v>30.767125459401619</c:v>
                </c:pt>
                <c:pt idx="7">
                  <c:v>30.272470405441336</c:v>
                </c:pt>
                <c:pt idx="8">
                  <c:v>31.556337528397204</c:v>
                </c:pt>
                <c:pt idx="9">
                  <c:v>31.297912331589373</c:v>
                </c:pt>
                <c:pt idx="10">
                  <c:v>32.324148905513518</c:v>
                </c:pt>
                <c:pt idx="11">
                  <c:v>32.081233883773599</c:v>
                </c:pt>
                <c:pt idx="12">
                  <c:v>33.30125243233222</c:v>
                </c:pt>
              </c:numCache>
            </c:numRef>
          </c:val>
          <c:smooth val="0"/>
          <c:extLst>
            <c:ext xmlns:c16="http://schemas.microsoft.com/office/drawing/2014/chart" uri="{C3380CC4-5D6E-409C-BE32-E72D297353CC}">
              <c16:uniqueId val="{00000004-75D8-4D4E-A07A-C4D95296F425}"/>
            </c:ext>
          </c:extLst>
        </c:ser>
        <c:ser>
          <c:idx val="5"/>
          <c:order val="5"/>
          <c:spPr>
            <a:ln w="28575" cap="rnd">
              <a:solidFill>
                <a:schemeClr val="accent6"/>
              </a:solidFill>
              <a:round/>
            </a:ln>
            <a:effectLst/>
          </c:spPr>
          <c:marker>
            <c:symbol val="none"/>
          </c:marker>
          <c:val>
            <c:numRef>
              <c:f>CVA_Sim!$C$17:$O$17</c:f>
              <c:numCache>
                <c:formatCode>General</c:formatCode>
                <c:ptCount val="13"/>
                <c:pt idx="0">
                  <c:v>30</c:v>
                </c:pt>
                <c:pt idx="1">
                  <c:v>30.765888582416345</c:v>
                </c:pt>
                <c:pt idx="2">
                  <c:v>31.329856043397296</c:v>
                </c:pt>
                <c:pt idx="3">
                  <c:v>31.939990459830256</c:v>
                </c:pt>
                <c:pt idx="4">
                  <c:v>32.195176775998036</c:v>
                </c:pt>
                <c:pt idx="5">
                  <c:v>32.935355560114161</c:v>
                </c:pt>
                <c:pt idx="6">
                  <c:v>33.280798902885749</c:v>
                </c:pt>
                <c:pt idx="7">
                  <c:v>33.40255858052528</c:v>
                </c:pt>
                <c:pt idx="8">
                  <c:v>33.998428383945154</c:v>
                </c:pt>
                <c:pt idx="9">
                  <c:v>34.3809768527614</c:v>
                </c:pt>
                <c:pt idx="10">
                  <c:v>36.148422180856222</c:v>
                </c:pt>
                <c:pt idx="11">
                  <c:v>37.203275469750075</c:v>
                </c:pt>
                <c:pt idx="12">
                  <c:v>38.921132638100353</c:v>
                </c:pt>
              </c:numCache>
            </c:numRef>
          </c:val>
          <c:smooth val="0"/>
          <c:extLst>
            <c:ext xmlns:c16="http://schemas.microsoft.com/office/drawing/2014/chart" uri="{C3380CC4-5D6E-409C-BE32-E72D297353CC}">
              <c16:uniqueId val="{00000005-75D8-4D4E-A07A-C4D95296F425}"/>
            </c:ext>
          </c:extLst>
        </c:ser>
        <c:ser>
          <c:idx val="6"/>
          <c:order val="6"/>
          <c:spPr>
            <a:ln w="28575" cap="rnd">
              <a:solidFill>
                <a:schemeClr val="accent1">
                  <a:lumMod val="60000"/>
                </a:schemeClr>
              </a:solidFill>
              <a:round/>
            </a:ln>
            <a:effectLst/>
          </c:spPr>
          <c:marker>
            <c:symbol val="none"/>
          </c:marker>
          <c:val>
            <c:numRef>
              <c:f>CVA_Sim!$C$18:$O$18</c:f>
              <c:numCache>
                <c:formatCode>General</c:formatCode>
                <c:ptCount val="13"/>
                <c:pt idx="0">
                  <c:v>30</c:v>
                </c:pt>
                <c:pt idx="1">
                  <c:v>30.893956650581792</c:v>
                </c:pt>
                <c:pt idx="2">
                  <c:v>31.479738712712852</c:v>
                </c:pt>
                <c:pt idx="3">
                  <c:v>32.088287360836574</c:v>
                </c:pt>
                <c:pt idx="4">
                  <c:v>33.845873502044618</c:v>
                </c:pt>
                <c:pt idx="5">
                  <c:v>34.161086717485922</c:v>
                </c:pt>
                <c:pt idx="6">
                  <c:v>36.28731596967986</c:v>
                </c:pt>
                <c:pt idx="7">
                  <c:v>37.30995521832687</c:v>
                </c:pt>
                <c:pt idx="8">
                  <c:v>37.899099767226289</c:v>
                </c:pt>
                <c:pt idx="9">
                  <c:v>38.551166894661364</c:v>
                </c:pt>
                <c:pt idx="10">
                  <c:v>38.577943676874547</c:v>
                </c:pt>
                <c:pt idx="11">
                  <c:v>39.961993529418756</c:v>
                </c:pt>
                <c:pt idx="12">
                  <c:v>40.496830577346238</c:v>
                </c:pt>
              </c:numCache>
            </c:numRef>
          </c:val>
          <c:smooth val="0"/>
          <c:extLst>
            <c:ext xmlns:c16="http://schemas.microsoft.com/office/drawing/2014/chart" uri="{C3380CC4-5D6E-409C-BE32-E72D297353CC}">
              <c16:uniqueId val="{00000006-75D8-4D4E-A07A-C4D95296F425}"/>
            </c:ext>
          </c:extLst>
        </c:ser>
        <c:ser>
          <c:idx val="7"/>
          <c:order val="7"/>
          <c:spPr>
            <a:ln w="28575" cap="rnd">
              <a:solidFill>
                <a:schemeClr val="accent2">
                  <a:lumMod val="60000"/>
                </a:schemeClr>
              </a:solidFill>
              <a:round/>
            </a:ln>
            <a:effectLst/>
          </c:spPr>
          <c:marker>
            <c:symbol val="none"/>
          </c:marker>
          <c:val>
            <c:numRef>
              <c:f>CVA_Sim!$C$19:$O$19</c:f>
              <c:numCache>
                <c:formatCode>General</c:formatCode>
                <c:ptCount val="13"/>
                <c:pt idx="0">
                  <c:v>30</c:v>
                </c:pt>
                <c:pt idx="1">
                  <c:v>32.151208236236748</c:v>
                </c:pt>
                <c:pt idx="2">
                  <c:v>32.512156041867968</c:v>
                </c:pt>
                <c:pt idx="3">
                  <c:v>32.859819738686575</c:v>
                </c:pt>
                <c:pt idx="4">
                  <c:v>33.347404355129747</c:v>
                </c:pt>
                <c:pt idx="5">
                  <c:v>33.719405413789346</c:v>
                </c:pt>
                <c:pt idx="6">
                  <c:v>34.486163937962793</c:v>
                </c:pt>
                <c:pt idx="7">
                  <c:v>35.021994305214548</c:v>
                </c:pt>
                <c:pt idx="8">
                  <c:v>37.039451168054043</c:v>
                </c:pt>
                <c:pt idx="9">
                  <c:v>37.571302407363973</c:v>
                </c:pt>
                <c:pt idx="10">
                  <c:v>37.908586710972585</c:v>
                </c:pt>
                <c:pt idx="11">
                  <c:v>38.233801173105277</c:v>
                </c:pt>
                <c:pt idx="12">
                  <c:v>39.724503481497187</c:v>
                </c:pt>
              </c:numCache>
            </c:numRef>
          </c:val>
          <c:smooth val="0"/>
          <c:extLst>
            <c:ext xmlns:c16="http://schemas.microsoft.com/office/drawing/2014/chart" uri="{C3380CC4-5D6E-409C-BE32-E72D297353CC}">
              <c16:uniqueId val="{00000007-75D8-4D4E-A07A-C4D95296F425}"/>
            </c:ext>
          </c:extLst>
        </c:ser>
        <c:ser>
          <c:idx val="8"/>
          <c:order val="8"/>
          <c:spPr>
            <a:ln w="28575" cap="rnd">
              <a:solidFill>
                <a:schemeClr val="accent3">
                  <a:lumMod val="60000"/>
                </a:schemeClr>
              </a:solidFill>
              <a:round/>
            </a:ln>
            <a:effectLst/>
          </c:spPr>
          <c:marker>
            <c:symbol val="none"/>
          </c:marker>
          <c:val>
            <c:numRef>
              <c:f>CVA_Sim!$C$20:$O$20</c:f>
              <c:numCache>
                <c:formatCode>General</c:formatCode>
                <c:ptCount val="13"/>
                <c:pt idx="0">
                  <c:v>30</c:v>
                </c:pt>
                <c:pt idx="1">
                  <c:v>30.865743773195817</c:v>
                </c:pt>
                <c:pt idx="2">
                  <c:v>32.207166030344524</c:v>
                </c:pt>
                <c:pt idx="3">
                  <c:v>32.946665347475864</c:v>
                </c:pt>
                <c:pt idx="4">
                  <c:v>33.210017960174596</c:v>
                </c:pt>
                <c:pt idx="5">
                  <c:v>33.667446202079319</c:v>
                </c:pt>
                <c:pt idx="6">
                  <c:v>35.265465502599149</c:v>
                </c:pt>
                <c:pt idx="7">
                  <c:v>36.632435066605296</c:v>
                </c:pt>
                <c:pt idx="8">
                  <c:v>37.47832460192992</c:v>
                </c:pt>
                <c:pt idx="9">
                  <c:v>38.433473544692838</c:v>
                </c:pt>
                <c:pt idx="10">
                  <c:v>39.144993778428308</c:v>
                </c:pt>
                <c:pt idx="11">
                  <c:v>38.767743708417392</c:v>
                </c:pt>
                <c:pt idx="12">
                  <c:v>40.302745921693898</c:v>
                </c:pt>
              </c:numCache>
            </c:numRef>
          </c:val>
          <c:smooth val="0"/>
          <c:extLst>
            <c:ext xmlns:c16="http://schemas.microsoft.com/office/drawing/2014/chart" uri="{C3380CC4-5D6E-409C-BE32-E72D297353CC}">
              <c16:uniqueId val="{00000008-75D8-4D4E-A07A-C4D95296F425}"/>
            </c:ext>
          </c:extLst>
        </c:ser>
        <c:ser>
          <c:idx val="9"/>
          <c:order val="9"/>
          <c:spPr>
            <a:ln w="28575" cap="rnd">
              <a:solidFill>
                <a:schemeClr val="accent4">
                  <a:lumMod val="60000"/>
                </a:schemeClr>
              </a:solidFill>
              <a:round/>
            </a:ln>
            <a:effectLst/>
          </c:spPr>
          <c:marker>
            <c:symbol val="none"/>
          </c:marker>
          <c:val>
            <c:numRef>
              <c:f>CVA_Sim!$C$21:$O$21</c:f>
              <c:numCache>
                <c:formatCode>General</c:formatCode>
                <c:ptCount val="13"/>
                <c:pt idx="0">
                  <c:v>30</c:v>
                </c:pt>
                <c:pt idx="1">
                  <c:v>30.431886750348863</c:v>
                </c:pt>
                <c:pt idx="2">
                  <c:v>31.19900347293974</c:v>
                </c:pt>
                <c:pt idx="3">
                  <c:v>31.945966770762794</c:v>
                </c:pt>
                <c:pt idx="4">
                  <c:v>31.280898837239839</c:v>
                </c:pt>
                <c:pt idx="5">
                  <c:v>32.034577691829917</c:v>
                </c:pt>
                <c:pt idx="6">
                  <c:v>34.417406427492786</c:v>
                </c:pt>
                <c:pt idx="7">
                  <c:v>35.906025743355848</c:v>
                </c:pt>
                <c:pt idx="8">
                  <c:v>35.948860856957957</c:v>
                </c:pt>
                <c:pt idx="9">
                  <c:v>36.057056588413928</c:v>
                </c:pt>
                <c:pt idx="10">
                  <c:v>35.0094404977119</c:v>
                </c:pt>
                <c:pt idx="11">
                  <c:v>35.737606844533666</c:v>
                </c:pt>
                <c:pt idx="12">
                  <c:v>35.860941603962175</c:v>
                </c:pt>
              </c:numCache>
            </c:numRef>
          </c:val>
          <c:smooth val="0"/>
          <c:extLst>
            <c:ext xmlns:c16="http://schemas.microsoft.com/office/drawing/2014/chart" uri="{C3380CC4-5D6E-409C-BE32-E72D297353CC}">
              <c16:uniqueId val="{00000009-75D8-4D4E-A07A-C4D95296F425}"/>
            </c:ext>
          </c:extLst>
        </c:ser>
        <c:dLbls>
          <c:showLegendKey val="0"/>
          <c:showVal val="0"/>
          <c:showCatName val="0"/>
          <c:showSerName val="0"/>
          <c:showPercent val="0"/>
          <c:showBubbleSize val="0"/>
        </c:dLbls>
        <c:smooth val="0"/>
        <c:axId val="1371568751"/>
        <c:axId val="1371570383"/>
      </c:lineChart>
      <c:catAx>
        <c:axId val="1371568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70383"/>
        <c:crosses val="autoZero"/>
        <c:auto val="1"/>
        <c:lblAlgn val="ctr"/>
        <c:lblOffset val="100"/>
        <c:noMultiLvlLbl val="0"/>
      </c:catAx>
      <c:valAx>
        <c:axId val="1371570383"/>
        <c:scaling>
          <c:orientation val="minMax"/>
          <c:max val="6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68751"/>
        <c:crosses val="autoZero"/>
        <c:crossBetween val="between"/>
        <c:majorUnit val="2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CVA_Sim!$C$27:$O$27</c:f>
              <c:numCache>
                <c:formatCode>General</c:formatCode>
                <c:ptCount val="13"/>
                <c:pt idx="0">
                  <c:v>0</c:v>
                </c:pt>
                <c:pt idx="1">
                  <c:v>0</c:v>
                </c:pt>
                <c:pt idx="2">
                  <c:v>0</c:v>
                </c:pt>
                <c:pt idx="3">
                  <c:v>0.52918925677403195</c:v>
                </c:pt>
                <c:pt idx="4">
                  <c:v>1.2984825763740417</c:v>
                </c:pt>
                <c:pt idx="5">
                  <c:v>2.9807948819408878</c:v>
                </c:pt>
                <c:pt idx="6">
                  <c:v>4.3108645048067871</c:v>
                </c:pt>
                <c:pt idx="7">
                  <c:v>4.2115401311585288</c:v>
                </c:pt>
                <c:pt idx="8">
                  <c:v>3.7916975723936304</c:v>
                </c:pt>
                <c:pt idx="9">
                  <c:v>4.2301381453392821</c:v>
                </c:pt>
                <c:pt idx="10">
                  <c:v>5.1657412989501381</c:v>
                </c:pt>
                <c:pt idx="11">
                  <c:v>4.7123484953441306</c:v>
                </c:pt>
                <c:pt idx="12">
                  <c:v>4.670816017333614</c:v>
                </c:pt>
              </c:numCache>
            </c:numRef>
          </c:val>
          <c:smooth val="0"/>
          <c:extLst>
            <c:ext xmlns:c16="http://schemas.microsoft.com/office/drawing/2014/chart" uri="{C3380CC4-5D6E-409C-BE32-E72D297353CC}">
              <c16:uniqueId val="{00000000-F83A-0D49-9A60-14E4BFB048CF}"/>
            </c:ext>
          </c:extLst>
        </c:ser>
        <c:ser>
          <c:idx val="1"/>
          <c:order val="1"/>
          <c:spPr>
            <a:ln w="28575" cap="rnd">
              <a:solidFill>
                <a:schemeClr val="accent2"/>
              </a:solidFill>
              <a:round/>
            </a:ln>
            <a:effectLst/>
          </c:spPr>
          <c:marker>
            <c:symbol val="none"/>
          </c:marker>
          <c:val>
            <c:numRef>
              <c:f>CVA_Sim!$C$28:$O$28</c:f>
              <c:numCache>
                <c:formatCode>General</c:formatCode>
                <c:ptCount val="13"/>
                <c:pt idx="0">
                  <c:v>0</c:v>
                </c:pt>
                <c:pt idx="1">
                  <c:v>0.26936375367829513</c:v>
                </c:pt>
                <c:pt idx="2">
                  <c:v>1.386273494029755</c:v>
                </c:pt>
                <c:pt idx="3">
                  <c:v>3.3670715034234249</c:v>
                </c:pt>
                <c:pt idx="4">
                  <c:v>4.1730108626192575</c:v>
                </c:pt>
                <c:pt idx="5">
                  <c:v>5.3277172874979257</c:v>
                </c:pt>
                <c:pt idx="6">
                  <c:v>5.3112037926571531</c:v>
                </c:pt>
                <c:pt idx="7">
                  <c:v>5.6061331718151663</c:v>
                </c:pt>
                <c:pt idx="8">
                  <c:v>6.7110305909815366</c:v>
                </c:pt>
                <c:pt idx="9">
                  <c:v>7.4179629901453552</c:v>
                </c:pt>
                <c:pt idx="10">
                  <c:v>7.7911446588069069</c:v>
                </c:pt>
                <c:pt idx="11">
                  <c:v>9.3967131440209144</c:v>
                </c:pt>
                <c:pt idx="12">
                  <c:v>10.381519173080427</c:v>
                </c:pt>
              </c:numCache>
            </c:numRef>
          </c:val>
          <c:smooth val="0"/>
          <c:extLst>
            <c:ext xmlns:c16="http://schemas.microsoft.com/office/drawing/2014/chart" uri="{C3380CC4-5D6E-409C-BE32-E72D297353CC}">
              <c16:uniqueId val="{00000001-F83A-0D49-9A60-14E4BFB048CF}"/>
            </c:ext>
          </c:extLst>
        </c:ser>
        <c:ser>
          <c:idx val="2"/>
          <c:order val="2"/>
          <c:spPr>
            <a:ln w="28575" cap="rnd">
              <a:solidFill>
                <a:schemeClr val="accent3"/>
              </a:solidFill>
              <a:round/>
            </a:ln>
            <a:effectLst/>
          </c:spPr>
          <c:marker>
            <c:symbol val="none"/>
          </c:marker>
          <c:val>
            <c:numRef>
              <c:f>CVA_Sim!$C$29:$O$29</c:f>
              <c:numCache>
                <c:formatCode>General</c:formatCode>
                <c:ptCount val="13"/>
                <c:pt idx="0">
                  <c:v>0</c:v>
                </c:pt>
                <c:pt idx="1">
                  <c:v>1.4059531125316056</c:v>
                </c:pt>
                <c:pt idx="2">
                  <c:v>2.5101580598563586</c:v>
                </c:pt>
                <c:pt idx="3">
                  <c:v>2.7335186616152498</c:v>
                </c:pt>
                <c:pt idx="4">
                  <c:v>3.0642532688661817</c:v>
                </c:pt>
                <c:pt idx="5">
                  <c:v>4.4041328455805839</c:v>
                </c:pt>
                <c:pt idx="6">
                  <c:v>4.2159727400433624</c:v>
                </c:pt>
                <c:pt idx="7">
                  <c:v>5.5974463954648002</c:v>
                </c:pt>
                <c:pt idx="8">
                  <c:v>4.8990515375734347</c:v>
                </c:pt>
                <c:pt idx="9">
                  <c:v>7.1113253541083736</c:v>
                </c:pt>
                <c:pt idx="10">
                  <c:v>8.1728983571339953</c:v>
                </c:pt>
                <c:pt idx="11">
                  <c:v>8.9221263948933682</c:v>
                </c:pt>
                <c:pt idx="12">
                  <c:v>9.5696419399905679</c:v>
                </c:pt>
              </c:numCache>
            </c:numRef>
          </c:val>
          <c:smooth val="0"/>
          <c:extLst>
            <c:ext xmlns:c16="http://schemas.microsoft.com/office/drawing/2014/chart" uri="{C3380CC4-5D6E-409C-BE32-E72D297353CC}">
              <c16:uniqueId val="{00000002-F83A-0D49-9A60-14E4BFB048CF}"/>
            </c:ext>
          </c:extLst>
        </c:ser>
        <c:ser>
          <c:idx val="3"/>
          <c:order val="3"/>
          <c:spPr>
            <a:ln w="28575" cap="rnd">
              <a:solidFill>
                <a:schemeClr val="accent4"/>
              </a:solidFill>
              <a:round/>
            </a:ln>
            <a:effectLst/>
          </c:spPr>
          <c:marker>
            <c:symbol val="none"/>
          </c:marker>
          <c:val>
            <c:numRef>
              <c:f>CVA_Sim!$C$30:$O$30</c:f>
              <c:numCache>
                <c:formatCode>General</c:formatCode>
                <c:ptCount val="13"/>
                <c:pt idx="0">
                  <c:v>0</c:v>
                </c:pt>
                <c:pt idx="1">
                  <c:v>0.31596497614187768</c:v>
                </c:pt>
                <c:pt idx="2">
                  <c:v>0.67206378770891817</c:v>
                </c:pt>
                <c:pt idx="3">
                  <c:v>1.8512195696548126</c:v>
                </c:pt>
                <c:pt idx="4">
                  <c:v>2.1029915732623081</c:v>
                </c:pt>
                <c:pt idx="5">
                  <c:v>2.8603110611233618</c:v>
                </c:pt>
                <c:pt idx="6">
                  <c:v>3.7271398723661235</c:v>
                </c:pt>
                <c:pt idx="7">
                  <c:v>5.1487293426522314</c:v>
                </c:pt>
                <c:pt idx="8">
                  <c:v>6.0286541530108479</c:v>
                </c:pt>
                <c:pt idx="9">
                  <c:v>5.1243804890185061</c:v>
                </c:pt>
                <c:pt idx="10">
                  <c:v>5.4074403415505117</c:v>
                </c:pt>
                <c:pt idx="11">
                  <c:v>5.6196900005747352</c:v>
                </c:pt>
                <c:pt idx="12">
                  <c:v>7.2130665358300945</c:v>
                </c:pt>
              </c:numCache>
            </c:numRef>
          </c:val>
          <c:smooth val="0"/>
          <c:extLst>
            <c:ext xmlns:c16="http://schemas.microsoft.com/office/drawing/2014/chart" uri="{C3380CC4-5D6E-409C-BE32-E72D297353CC}">
              <c16:uniqueId val="{00000003-F83A-0D49-9A60-14E4BFB048CF}"/>
            </c:ext>
          </c:extLst>
        </c:ser>
        <c:ser>
          <c:idx val="4"/>
          <c:order val="4"/>
          <c:spPr>
            <a:ln w="28575" cap="rnd">
              <a:solidFill>
                <a:schemeClr val="accent5"/>
              </a:solidFill>
              <a:round/>
            </a:ln>
            <a:effectLst/>
          </c:spPr>
          <c:marker>
            <c:symbol val="none"/>
          </c:marker>
          <c:val>
            <c:numRef>
              <c:f>CVA_Sim!$C$31:$O$31</c:f>
              <c:numCache>
                <c:formatCode>General</c:formatCode>
                <c:ptCount val="13"/>
                <c:pt idx="0">
                  <c:v>0</c:v>
                </c:pt>
                <c:pt idx="1">
                  <c:v>0.4134519399149994</c:v>
                </c:pt>
                <c:pt idx="2">
                  <c:v>0.2215645043579606</c:v>
                </c:pt>
                <c:pt idx="3">
                  <c:v>0.65029343397668526</c:v>
                </c:pt>
                <c:pt idx="4">
                  <c:v>1.402312008040802</c:v>
                </c:pt>
                <c:pt idx="5">
                  <c:v>1.2641215465600553</c:v>
                </c:pt>
                <c:pt idx="6">
                  <c:v>0.76712545940161903</c:v>
                </c:pt>
                <c:pt idx="7">
                  <c:v>0.27247040544133583</c:v>
                </c:pt>
                <c:pt idx="8">
                  <c:v>1.5563375283972043</c:v>
                </c:pt>
                <c:pt idx="9">
                  <c:v>1.297912331589373</c:v>
                </c:pt>
                <c:pt idx="10">
                  <c:v>2.3241489055135176</c:v>
                </c:pt>
                <c:pt idx="11">
                  <c:v>2.0812338837735993</c:v>
                </c:pt>
                <c:pt idx="12">
                  <c:v>3.3012524323322197</c:v>
                </c:pt>
              </c:numCache>
            </c:numRef>
          </c:val>
          <c:smooth val="0"/>
          <c:extLst>
            <c:ext xmlns:c16="http://schemas.microsoft.com/office/drawing/2014/chart" uri="{C3380CC4-5D6E-409C-BE32-E72D297353CC}">
              <c16:uniqueId val="{00000004-F83A-0D49-9A60-14E4BFB048CF}"/>
            </c:ext>
          </c:extLst>
        </c:ser>
        <c:ser>
          <c:idx val="5"/>
          <c:order val="5"/>
          <c:spPr>
            <a:ln w="28575" cap="rnd">
              <a:solidFill>
                <a:schemeClr val="accent6"/>
              </a:solidFill>
              <a:round/>
            </a:ln>
            <a:effectLst/>
          </c:spPr>
          <c:marker>
            <c:symbol val="none"/>
          </c:marker>
          <c:val>
            <c:numRef>
              <c:f>CVA_Sim!$C$32:$O$32</c:f>
              <c:numCache>
                <c:formatCode>General</c:formatCode>
                <c:ptCount val="13"/>
                <c:pt idx="0">
                  <c:v>0</c:v>
                </c:pt>
                <c:pt idx="1">
                  <c:v>0.76588858241634483</c:v>
                </c:pt>
                <c:pt idx="2">
                  <c:v>1.3298560433972959</c:v>
                </c:pt>
                <c:pt idx="3">
                  <c:v>1.9399904598302555</c:v>
                </c:pt>
                <c:pt idx="4">
                  <c:v>2.1951767759980356</c:v>
                </c:pt>
                <c:pt idx="5">
                  <c:v>2.9353555601141608</c:v>
                </c:pt>
                <c:pt idx="6">
                  <c:v>3.2807989028857492</c:v>
                </c:pt>
                <c:pt idx="7">
                  <c:v>3.4025585805252803</c:v>
                </c:pt>
                <c:pt idx="8">
                  <c:v>3.9984283839451535</c:v>
                </c:pt>
                <c:pt idx="9">
                  <c:v>4.3809768527613997</c:v>
                </c:pt>
                <c:pt idx="10">
                  <c:v>6.1484221808562225</c:v>
                </c:pt>
                <c:pt idx="11">
                  <c:v>7.2032754697500749</c:v>
                </c:pt>
                <c:pt idx="12">
                  <c:v>8.9211326381003531</c:v>
                </c:pt>
              </c:numCache>
            </c:numRef>
          </c:val>
          <c:smooth val="0"/>
          <c:extLst>
            <c:ext xmlns:c16="http://schemas.microsoft.com/office/drawing/2014/chart" uri="{C3380CC4-5D6E-409C-BE32-E72D297353CC}">
              <c16:uniqueId val="{00000005-F83A-0D49-9A60-14E4BFB048CF}"/>
            </c:ext>
          </c:extLst>
        </c:ser>
        <c:ser>
          <c:idx val="6"/>
          <c:order val="6"/>
          <c:spPr>
            <a:ln w="28575" cap="rnd">
              <a:solidFill>
                <a:schemeClr val="accent1">
                  <a:lumMod val="60000"/>
                </a:schemeClr>
              </a:solidFill>
              <a:round/>
            </a:ln>
            <a:effectLst/>
          </c:spPr>
          <c:marker>
            <c:symbol val="none"/>
          </c:marker>
          <c:val>
            <c:numRef>
              <c:f>CVA_Sim!$C$33:$O$33</c:f>
              <c:numCache>
                <c:formatCode>General</c:formatCode>
                <c:ptCount val="13"/>
                <c:pt idx="0">
                  <c:v>0</c:v>
                </c:pt>
                <c:pt idx="1">
                  <c:v>0.89395665058179219</c:v>
                </c:pt>
                <c:pt idx="2">
                  <c:v>1.4797387127128516</c:v>
                </c:pt>
                <c:pt idx="3">
                  <c:v>2.0882873608365742</c:v>
                </c:pt>
                <c:pt idx="4">
                  <c:v>3.8458735020446184</c:v>
                </c:pt>
                <c:pt idx="5">
                  <c:v>4.1610867174859223</c:v>
                </c:pt>
                <c:pt idx="6">
                  <c:v>6.2873159696798595</c:v>
                </c:pt>
                <c:pt idx="7">
                  <c:v>7.3099552183268699</c:v>
                </c:pt>
                <c:pt idx="8">
                  <c:v>7.8990997672262893</c:v>
                </c:pt>
                <c:pt idx="9">
                  <c:v>8.5511668946613639</c:v>
                </c:pt>
                <c:pt idx="10">
                  <c:v>8.577943676874547</c:v>
                </c:pt>
                <c:pt idx="11">
                  <c:v>9.9619935294187556</c:v>
                </c:pt>
                <c:pt idx="12">
                  <c:v>10.496830577346238</c:v>
                </c:pt>
              </c:numCache>
            </c:numRef>
          </c:val>
          <c:smooth val="0"/>
          <c:extLst>
            <c:ext xmlns:c16="http://schemas.microsoft.com/office/drawing/2014/chart" uri="{C3380CC4-5D6E-409C-BE32-E72D297353CC}">
              <c16:uniqueId val="{00000006-F83A-0D49-9A60-14E4BFB048CF}"/>
            </c:ext>
          </c:extLst>
        </c:ser>
        <c:ser>
          <c:idx val="7"/>
          <c:order val="7"/>
          <c:spPr>
            <a:ln w="28575" cap="rnd">
              <a:solidFill>
                <a:schemeClr val="accent2">
                  <a:lumMod val="60000"/>
                </a:schemeClr>
              </a:solidFill>
              <a:round/>
            </a:ln>
            <a:effectLst/>
          </c:spPr>
          <c:marker>
            <c:symbol val="none"/>
          </c:marker>
          <c:val>
            <c:numRef>
              <c:f>CVA_Sim!$C$34:$O$34</c:f>
              <c:numCache>
                <c:formatCode>General</c:formatCode>
                <c:ptCount val="13"/>
                <c:pt idx="0">
                  <c:v>0</c:v>
                </c:pt>
                <c:pt idx="1">
                  <c:v>2.151208236236748</c:v>
                </c:pt>
                <c:pt idx="2">
                  <c:v>2.5121560418679678</c:v>
                </c:pt>
                <c:pt idx="3">
                  <c:v>2.8598197386865749</c:v>
                </c:pt>
                <c:pt idx="4">
                  <c:v>3.347404355129747</c:v>
                </c:pt>
                <c:pt idx="5">
                  <c:v>3.719405413789346</c:v>
                </c:pt>
                <c:pt idx="6">
                  <c:v>4.4861639379627931</c:v>
                </c:pt>
                <c:pt idx="7">
                  <c:v>5.0219943052145481</c:v>
                </c:pt>
                <c:pt idx="8">
                  <c:v>7.0394511680540433</c:v>
                </c:pt>
                <c:pt idx="9">
                  <c:v>7.571302407363973</c:v>
                </c:pt>
                <c:pt idx="10">
                  <c:v>7.9085867109725854</c:v>
                </c:pt>
                <c:pt idx="11">
                  <c:v>8.2338011731052774</c:v>
                </c:pt>
                <c:pt idx="12">
                  <c:v>9.7245034814971874</c:v>
                </c:pt>
              </c:numCache>
            </c:numRef>
          </c:val>
          <c:smooth val="0"/>
          <c:extLst>
            <c:ext xmlns:c16="http://schemas.microsoft.com/office/drawing/2014/chart" uri="{C3380CC4-5D6E-409C-BE32-E72D297353CC}">
              <c16:uniqueId val="{00000007-F83A-0D49-9A60-14E4BFB048CF}"/>
            </c:ext>
          </c:extLst>
        </c:ser>
        <c:ser>
          <c:idx val="8"/>
          <c:order val="8"/>
          <c:spPr>
            <a:ln w="28575" cap="rnd">
              <a:solidFill>
                <a:schemeClr val="accent3">
                  <a:lumMod val="60000"/>
                </a:schemeClr>
              </a:solidFill>
              <a:round/>
            </a:ln>
            <a:effectLst/>
          </c:spPr>
          <c:marker>
            <c:symbol val="none"/>
          </c:marker>
          <c:val>
            <c:numRef>
              <c:f>CVA_Sim!$C$35:$O$35</c:f>
              <c:numCache>
                <c:formatCode>General</c:formatCode>
                <c:ptCount val="13"/>
                <c:pt idx="0">
                  <c:v>0</c:v>
                </c:pt>
                <c:pt idx="1">
                  <c:v>0.86574377319581686</c:v>
                </c:pt>
                <c:pt idx="2">
                  <c:v>2.2071660303445242</c:v>
                </c:pt>
                <c:pt idx="3">
                  <c:v>2.9466653474758644</c:v>
                </c:pt>
                <c:pt idx="4">
                  <c:v>3.2100179601745964</c:v>
                </c:pt>
                <c:pt idx="5">
                  <c:v>3.6674462020793186</c:v>
                </c:pt>
                <c:pt idx="6">
                  <c:v>5.2654655025991488</c:v>
                </c:pt>
                <c:pt idx="7">
                  <c:v>6.6324350666052965</c:v>
                </c:pt>
                <c:pt idx="8">
                  <c:v>7.4783246019299199</c:v>
                </c:pt>
                <c:pt idx="9">
                  <c:v>8.4334735446928377</c:v>
                </c:pt>
                <c:pt idx="10">
                  <c:v>9.144993778428308</c:v>
                </c:pt>
                <c:pt idx="11">
                  <c:v>8.7677437084173917</c:v>
                </c:pt>
                <c:pt idx="12">
                  <c:v>10.302745921693898</c:v>
                </c:pt>
              </c:numCache>
            </c:numRef>
          </c:val>
          <c:smooth val="0"/>
          <c:extLst>
            <c:ext xmlns:c16="http://schemas.microsoft.com/office/drawing/2014/chart" uri="{C3380CC4-5D6E-409C-BE32-E72D297353CC}">
              <c16:uniqueId val="{00000008-F83A-0D49-9A60-14E4BFB048CF}"/>
            </c:ext>
          </c:extLst>
        </c:ser>
        <c:ser>
          <c:idx val="9"/>
          <c:order val="9"/>
          <c:spPr>
            <a:ln w="28575" cap="rnd">
              <a:solidFill>
                <a:schemeClr val="accent4">
                  <a:lumMod val="60000"/>
                </a:schemeClr>
              </a:solidFill>
              <a:round/>
            </a:ln>
            <a:effectLst/>
          </c:spPr>
          <c:marker>
            <c:symbol val="none"/>
          </c:marker>
          <c:val>
            <c:numRef>
              <c:f>CVA_Sim!$C$36:$O$36</c:f>
              <c:numCache>
                <c:formatCode>General</c:formatCode>
                <c:ptCount val="13"/>
                <c:pt idx="0">
                  <c:v>0</c:v>
                </c:pt>
                <c:pt idx="1">
                  <c:v>0.43188675034886259</c:v>
                </c:pt>
                <c:pt idx="2">
                  <c:v>1.1990034729397401</c:v>
                </c:pt>
                <c:pt idx="3">
                  <c:v>1.9459667707627943</c:v>
                </c:pt>
                <c:pt idx="4">
                  <c:v>1.2808988372398389</c:v>
                </c:pt>
                <c:pt idx="5">
                  <c:v>2.0345776918299165</c:v>
                </c:pt>
                <c:pt idx="6">
                  <c:v>4.4174064274927858</c:v>
                </c:pt>
                <c:pt idx="7">
                  <c:v>5.9060257433558476</c:v>
                </c:pt>
                <c:pt idx="8">
                  <c:v>5.9488608569579569</c:v>
                </c:pt>
                <c:pt idx="9">
                  <c:v>6.0570565884139285</c:v>
                </c:pt>
                <c:pt idx="10">
                  <c:v>5.0094404977118998</c:v>
                </c:pt>
                <c:pt idx="11">
                  <c:v>5.7376068445336657</c:v>
                </c:pt>
                <c:pt idx="12">
                  <c:v>5.8609416039621749</c:v>
                </c:pt>
              </c:numCache>
            </c:numRef>
          </c:val>
          <c:smooth val="0"/>
          <c:extLst>
            <c:ext xmlns:c16="http://schemas.microsoft.com/office/drawing/2014/chart" uri="{C3380CC4-5D6E-409C-BE32-E72D297353CC}">
              <c16:uniqueId val="{00000009-F83A-0D49-9A60-14E4BFB048CF}"/>
            </c:ext>
          </c:extLst>
        </c:ser>
        <c:ser>
          <c:idx val="10"/>
          <c:order val="10"/>
          <c:spPr>
            <a:ln w="63500" cap="rnd">
              <a:solidFill>
                <a:srgbClr val="FF0000"/>
              </a:solidFill>
              <a:round/>
            </a:ln>
            <a:effectLst/>
          </c:spPr>
          <c:marker>
            <c:symbol val="none"/>
          </c:marker>
          <c:val>
            <c:numRef>
              <c:f>CVA_Sim!$C$37:$O$37</c:f>
              <c:numCache>
                <c:formatCode>General</c:formatCode>
                <c:ptCount val="13"/>
                <c:pt idx="0">
                  <c:v>0</c:v>
                </c:pt>
                <c:pt idx="1">
                  <c:v>0.75134177750463427</c:v>
                </c:pt>
                <c:pt idx="2">
                  <c:v>1.3517980147215372</c:v>
                </c:pt>
                <c:pt idx="3">
                  <c:v>2.091202210303627</c:v>
                </c:pt>
                <c:pt idx="4">
                  <c:v>2.5920421719749429</c:v>
                </c:pt>
                <c:pt idx="5">
                  <c:v>3.3354949208001479</c:v>
                </c:pt>
                <c:pt idx="6">
                  <c:v>4.2069457109895385</c:v>
                </c:pt>
                <c:pt idx="7">
                  <c:v>4.9109288360559908</c:v>
                </c:pt>
                <c:pt idx="8">
                  <c:v>5.5350936160470017</c:v>
                </c:pt>
                <c:pt idx="9">
                  <c:v>6.0175695598094396</c:v>
                </c:pt>
                <c:pt idx="10">
                  <c:v>6.5650760406798643</c:v>
                </c:pt>
                <c:pt idx="11">
                  <c:v>7.0636532643831913</c:v>
                </c:pt>
                <c:pt idx="12">
                  <c:v>8.0442450321166774</c:v>
                </c:pt>
              </c:numCache>
            </c:numRef>
          </c:val>
          <c:smooth val="0"/>
          <c:extLst>
            <c:ext xmlns:c16="http://schemas.microsoft.com/office/drawing/2014/chart" uri="{C3380CC4-5D6E-409C-BE32-E72D297353CC}">
              <c16:uniqueId val="{0000000A-F83A-0D49-9A60-14E4BFB048CF}"/>
            </c:ext>
          </c:extLst>
        </c:ser>
        <c:dLbls>
          <c:showLegendKey val="0"/>
          <c:showVal val="0"/>
          <c:showCatName val="0"/>
          <c:showSerName val="0"/>
          <c:showPercent val="0"/>
          <c:showBubbleSize val="0"/>
        </c:dLbls>
        <c:smooth val="0"/>
        <c:axId val="1371568751"/>
        <c:axId val="1371570383"/>
      </c:lineChart>
      <c:catAx>
        <c:axId val="1371568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70383"/>
        <c:crosses val="autoZero"/>
        <c:auto val="1"/>
        <c:lblAlgn val="ctr"/>
        <c:lblOffset val="100"/>
        <c:noMultiLvlLbl val="0"/>
      </c:catAx>
      <c:valAx>
        <c:axId val="1371570383"/>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68751"/>
        <c:crosses val="autoZero"/>
        <c:crossBetween val="between"/>
        <c:majorUnit val="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oneCellAnchor>
    <xdr:from>
      <xdr:col>6</xdr:col>
      <xdr:colOff>177800</xdr:colOff>
      <xdr:row>7</xdr:row>
      <xdr:rowOff>228600</xdr:rowOff>
    </xdr:from>
    <xdr:ext cx="5257800" cy="2730500"/>
    <xdr:pic>
      <xdr:nvPicPr>
        <xdr:cNvPr id="2" name="Picture 1">
          <a:extLst>
            <a:ext uri="{FF2B5EF4-FFF2-40B4-BE49-F238E27FC236}">
              <a16:creationId xmlns:a16="http://schemas.microsoft.com/office/drawing/2014/main" id="{4A1F6D6D-9673-5945-B648-5FBBF02A7E2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16400" y="1524000"/>
          <a:ext cx="5257800" cy="2730500"/>
        </a:xfrm>
        <a:prstGeom prst="rect">
          <a:avLst/>
        </a:prstGeom>
      </xdr:spPr>
    </xdr:pic>
    <xdr:clientData/>
  </xdr:oneCellAnchor>
  <xdr:twoCellAnchor>
    <xdr:from>
      <xdr:col>6</xdr:col>
      <xdr:colOff>330200</xdr:colOff>
      <xdr:row>23</xdr:row>
      <xdr:rowOff>228600</xdr:rowOff>
    </xdr:from>
    <xdr:to>
      <xdr:col>13</xdr:col>
      <xdr:colOff>609600</xdr:colOff>
      <xdr:row>30</xdr:row>
      <xdr:rowOff>127000</xdr:rowOff>
    </xdr:to>
    <xdr:sp macro="" textlink="">
      <xdr:nvSpPr>
        <xdr:cNvPr id="3" name="TextBox 2">
          <a:extLst>
            <a:ext uri="{FF2B5EF4-FFF2-40B4-BE49-F238E27FC236}">
              <a16:creationId xmlns:a16="http://schemas.microsoft.com/office/drawing/2014/main" id="{292F435E-609F-E34F-82DD-0F106913E4D6}"/>
            </a:ext>
          </a:extLst>
        </xdr:cNvPr>
        <xdr:cNvSpPr txBox="1"/>
      </xdr:nvSpPr>
      <xdr:spPr>
        <a:xfrm>
          <a:off x="4368800" y="4572000"/>
          <a:ext cx="4991100" cy="127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Score Interpretation:</a:t>
          </a:r>
        </a:p>
        <a:p>
          <a:endParaRPr lang="en-US" sz="1800"/>
        </a:p>
        <a:p>
          <a:r>
            <a:rPr lang="en-US" sz="1800"/>
            <a:t>Z &gt; 3		Unlikely</a:t>
          </a:r>
          <a:r>
            <a:rPr lang="en-US" sz="1800" baseline="0"/>
            <a:t> to default</a:t>
          </a:r>
        </a:p>
        <a:p>
          <a:r>
            <a:rPr lang="en-US" sz="1800" baseline="0"/>
            <a:t>3.0 &gt; Z &gt; 2.7	On alert</a:t>
          </a:r>
        </a:p>
        <a:p>
          <a:r>
            <a:rPr lang="en-US" sz="1800" baseline="0"/>
            <a:t>2.7 &gt; Z &gt; 1.8	High risk</a:t>
          </a:r>
        </a:p>
        <a:p>
          <a:r>
            <a:rPr lang="en-US" sz="1800" baseline="0"/>
            <a:t>1.8 &gt; Z &gt; 0	In trouble</a:t>
          </a:r>
          <a:endParaRPr lang="en-US" sz="18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xdr:colOff>
      <xdr:row>1</xdr:row>
      <xdr:rowOff>0</xdr:rowOff>
    </xdr:from>
    <xdr:to>
      <xdr:col>13</xdr:col>
      <xdr:colOff>647700</xdr:colOff>
      <xdr:row>12</xdr:row>
      <xdr:rowOff>266700</xdr:rowOff>
    </xdr:to>
    <xdr:sp macro="" textlink="">
      <xdr:nvSpPr>
        <xdr:cNvPr id="2" name="TextBox 1">
          <a:extLst>
            <a:ext uri="{FF2B5EF4-FFF2-40B4-BE49-F238E27FC236}">
              <a16:creationId xmlns:a16="http://schemas.microsoft.com/office/drawing/2014/main" id="{F88B1C58-D617-4843-895C-107EAD512DF0}"/>
            </a:ext>
          </a:extLst>
        </xdr:cNvPr>
        <xdr:cNvSpPr txBox="1"/>
      </xdr:nvSpPr>
      <xdr:spPr>
        <a:xfrm>
          <a:off x="863600" y="190500"/>
          <a:ext cx="10515600" cy="2286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dk1"/>
              </a:solidFill>
              <a:effectLst/>
              <a:latin typeface="+mn-lt"/>
              <a:ea typeface="+mn-ea"/>
              <a:cs typeface="+mn-cs"/>
            </a:rPr>
            <a:t>Risk Management and Financial Institutions p401</a:t>
          </a:r>
        </a:p>
        <a:p>
          <a:r>
            <a:rPr lang="en-US" sz="2000">
              <a:solidFill>
                <a:schemeClr val="dk1"/>
              </a:solidFill>
              <a:effectLst/>
              <a:latin typeface="+mn-lt"/>
              <a:ea typeface="+mn-ea"/>
              <a:cs typeface="+mn-cs"/>
            </a:rPr>
            <a:t>EXAMPLE 19.1 </a:t>
          </a:r>
          <a:endParaRPr lang="en-US" sz="2000"/>
        </a:p>
        <a:p>
          <a:r>
            <a:rPr lang="en-US" sz="2000">
              <a:solidFill>
                <a:schemeClr val="dk1"/>
              </a:solidFill>
              <a:effectLst/>
              <a:latin typeface="+mn-lt"/>
              <a:ea typeface="+mn-ea"/>
              <a:cs typeface="+mn-cs"/>
            </a:rPr>
            <a:t>Consider a company for which working capital is 170,000, total assets are 670,000, earnings before interest and taxes is 60,000, sales are 2,200,000, the market value of equity is 380,000, total liabilities is 240,000, and retained earnings is 300,000. </a:t>
          </a:r>
        </a:p>
        <a:p>
          <a:endParaRPr lang="en-US" sz="2000">
            <a:solidFill>
              <a:schemeClr val="dk1"/>
            </a:solidFill>
            <a:effectLst/>
            <a:latin typeface="+mn-lt"/>
            <a:ea typeface="+mn-ea"/>
            <a:cs typeface="+mn-cs"/>
          </a:endParaRPr>
        </a:p>
        <a:p>
          <a:r>
            <a:rPr lang="en-US" sz="2000">
              <a:solidFill>
                <a:schemeClr val="dk1"/>
              </a:solidFill>
              <a:effectLst/>
              <a:latin typeface="+mn-lt"/>
              <a:ea typeface="+mn-ea"/>
              <a:cs typeface="+mn-cs"/>
            </a:rPr>
            <a:t>In this case,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1 = 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254,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2 = 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448,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3 = 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0896,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4 = 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583, and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5 = 3.284. </a:t>
          </a:r>
        </a:p>
        <a:p>
          <a:endParaRPr lang="en-US" sz="2000">
            <a:solidFill>
              <a:schemeClr val="dk1"/>
            </a:solidFill>
            <a:effectLst/>
            <a:latin typeface="+mn-lt"/>
            <a:ea typeface="+mn-ea"/>
            <a:cs typeface="+mn-cs"/>
          </a:endParaRPr>
        </a:p>
        <a:p>
          <a:r>
            <a:rPr lang="en-US" sz="2000">
              <a:solidFill>
                <a:schemeClr val="dk1"/>
              </a:solidFill>
              <a:effectLst/>
              <a:latin typeface="+mn-lt"/>
              <a:ea typeface="+mn-ea"/>
              <a:cs typeface="+mn-cs"/>
            </a:rPr>
            <a:t>The Z-score is </a:t>
          </a:r>
          <a:endParaRPr lang="en-US" sz="2000"/>
        </a:p>
        <a:p>
          <a:r>
            <a:rPr lang="en-US" sz="2000">
              <a:solidFill>
                <a:schemeClr val="dk1"/>
              </a:solidFill>
              <a:effectLst/>
              <a:latin typeface="+mn-lt"/>
              <a:ea typeface="+mn-ea"/>
              <a:cs typeface="+mn-cs"/>
            </a:rPr>
            <a:t>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254+1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448+3</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3×0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0896+0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6×1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583+0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999×3</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284 = 5</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46 </a:t>
          </a:r>
        </a:p>
        <a:p>
          <a:endParaRPr lang="en-US" sz="2000">
            <a:solidFill>
              <a:schemeClr val="dk1"/>
            </a:solidFill>
            <a:effectLst/>
            <a:latin typeface="+mn-lt"/>
            <a:ea typeface="+mn-ea"/>
            <a:cs typeface="+mn-cs"/>
          </a:endParaRPr>
        </a:p>
        <a:p>
          <a:r>
            <a:rPr lang="en-US" sz="2000">
              <a:solidFill>
                <a:schemeClr val="dk1"/>
              </a:solidFill>
              <a:effectLst/>
              <a:latin typeface="+mn-lt"/>
              <a:ea typeface="+mn-ea"/>
              <a:cs typeface="+mn-cs"/>
            </a:rPr>
            <a:t>The Z-score indicates that the company is not in danger of defaulting in the near future. </a:t>
          </a:r>
          <a:endParaRPr lang="en-US" sz="2000"/>
        </a:p>
        <a:p>
          <a:endParaRPr lang="en-US" sz="20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14</xdr:col>
      <xdr:colOff>800099</xdr:colOff>
      <xdr:row>0</xdr:row>
      <xdr:rowOff>317500</xdr:rowOff>
    </xdr:from>
    <xdr:ext cx="9200785" cy="8115300"/>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57099" y="203200"/>
          <a:ext cx="9200785" cy="811530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xdr:from>
      <xdr:col>7</xdr:col>
      <xdr:colOff>12700</xdr:colOff>
      <xdr:row>1</xdr:row>
      <xdr:rowOff>25400</xdr:rowOff>
    </xdr:from>
    <xdr:to>
      <xdr:col>18</xdr:col>
      <xdr:colOff>723900</xdr:colOff>
      <xdr:row>8</xdr:row>
      <xdr:rowOff>76200</xdr:rowOff>
    </xdr:to>
    <xdr:sp macro="" textlink="">
      <xdr:nvSpPr>
        <xdr:cNvPr id="2" name="TextBox 1">
          <a:extLst>
            <a:ext uri="{FF2B5EF4-FFF2-40B4-BE49-F238E27FC236}">
              <a16:creationId xmlns:a16="http://schemas.microsoft.com/office/drawing/2014/main" id="{670AD85C-3FC8-8E46-BB92-1657978C1ED1}"/>
            </a:ext>
          </a:extLst>
        </xdr:cNvPr>
        <xdr:cNvSpPr txBox="1"/>
      </xdr:nvSpPr>
      <xdr:spPr>
        <a:xfrm>
          <a:off x="5702300" y="355600"/>
          <a:ext cx="9842500" cy="2362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The</a:t>
          </a:r>
          <a:r>
            <a:rPr lang="en-US" sz="1600" baseline="0"/>
            <a:t> value of a company's equity is $3 million and the volatility of the equity id 80%.  </a:t>
          </a:r>
        </a:p>
        <a:p>
          <a:r>
            <a:rPr lang="en-US" sz="1600" baseline="0"/>
            <a:t>The debt that will have to be paid in one year is $10 million.  </a:t>
          </a:r>
        </a:p>
        <a:p>
          <a:r>
            <a:rPr lang="en-US" sz="1600" baseline="0"/>
            <a:t>The risk-free rate is 5% per annum.  </a:t>
          </a:r>
        </a:p>
        <a:p>
          <a:r>
            <a:rPr lang="en-US" sz="1600" baseline="0"/>
            <a:t>In this case, E0 = 3, vol_equity = 0.80, r = 0.05, T = 1, and D = 10. </a:t>
          </a:r>
        </a:p>
        <a:p>
          <a:r>
            <a:rPr lang="en-US" sz="1600" baseline="0"/>
            <a:t>Solve for the intitalve value of the assset and for vol_assets.</a:t>
          </a:r>
        </a:p>
        <a:p>
          <a:r>
            <a:rPr lang="en-US" sz="1600" baseline="0"/>
            <a:t>These are two unknowns.  And there are two equations.</a:t>
          </a:r>
        </a:p>
        <a:p>
          <a:r>
            <a:rPr lang="en-US" sz="1600" baseline="0"/>
            <a:t>E0 = V0*N_d1-D*EXP(-r_*T)*N_d2</a:t>
          </a:r>
        </a:p>
        <a:p>
          <a:r>
            <a:rPr lang="en-US" sz="1600" baseline="0"/>
            <a:t>vol_equity * E0 =N_d1*sV*V0</a:t>
          </a:r>
        </a:p>
        <a:p>
          <a:endParaRPr lang="en-US" sz="1600" baseline="0"/>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1</xdr:col>
      <xdr:colOff>0</xdr:colOff>
      <xdr:row>1</xdr:row>
      <xdr:rowOff>0</xdr:rowOff>
    </xdr:from>
    <xdr:ext cx="5305195" cy="1016000"/>
    <xdr:pic>
      <xdr:nvPicPr>
        <xdr:cNvPr id="2" name="Picture 1">
          <a:extLst>
            <a:ext uri="{FF2B5EF4-FFF2-40B4-BE49-F238E27FC236}">
              <a16:creationId xmlns:a16="http://schemas.microsoft.com/office/drawing/2014/main" id="{6146EA48-AFAF-4E49-8EFC-8FC20E95C28B}"/>
            </a:ext>
          </a:extLst>
        </xdr:cNvPr>
        <xdr:cNvPicPr>
          <a:picLocks noChangeAspect="1"/>
        </xdr:cNvPicPr>
      </xdr:nvPicPr>
      <xdr:blipFill>
        <a:blip xmlns:r="http://schemas.openxmlformats.org/officeDocument/2006/relationships" r:embed="rId1"/>
        <a:stretch>
          <a:fillRect/>
        </a:stretch>
      </xdr:blipFill>
      <xdr:spPr>
        <a:xfrm>
          <a:off x="825500" y="330200"/>
          <a:ext cx="5305195" cy="1016000"/>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15</xdr:col>
      <xdr:colOff>165100</xdr:colOff>
      <xdr:row>8</xdr:row>
      <xdr:rowOff>12700</xdr:rowOff>
    </xdr:from>
    <xdr:to>
      <xdr:col>21</xdr:col>
      <xdr:colOff>12700</xdr:colOff>
      <xdr:row>21</xdr:row>
      <xdr:rowOff>0</xdr:rowOff>
    </xdr:to>
    <xdr:graphicFrame macro="">
      <xdr:nvGraphicFramePr>
        <xdr:cNvPr id="2" name="Chart 1">
          <a:extLst>
            <a:ext uri="{FF2B5EF4-FFF2-40B4-BE49-F238E27FC236}">
              <a16:creationId xmlns:a16="http://schemas.microsoft.com/office/drawing/2014/main" id="{293082B1-650D-714D-A539-AD4A2C214C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127000</xdr:colOff>
      <xdr:row>22</xdr:row>
      <xdr:rowOff>317500</xdr:rowOff>
    </xdr:from>
    <xdr:to>
      <xdr:col>21</xdr:col>
      <xdr:colOff>6350</xdr:colOff>
      <xdr:row>36</xdr:row>
      <xdr:rowOff>304800</xdr:rowOff>
    </xdr:to>
    <xdr:graphicFrame macro="">
      <xdr:nvGraphicFramePr>
        <xdr:cNvPr id="3" name="Chart 2">
          <a:extLst>
            <a:ext uri="{FF2B5EF4-FFF2-40B4-BE49-F238E27FC236}">
              <a16:creationId xmlns:a16="http://schemas.microsoft.com/office/drawing/2014/main" id="{9AD0D013-E1FB-2C4A-9F62-732059A3C1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0</xdr:rowOff>
    </xdr:from>
    <xdr:to>
      <xdr:col>13</xdr:col>
      <xdr:colOff>520700</xdr:colOff>
      <xdr:row>12</xdr:row>
      <xdr:rowOff>266700</xdr:rowOff>
    </xdr:to>
    <xdr:sp macro="" textlink="">
      <xdr:nvSpPr>
        <xdr:cNvPr id="2" name="TextBox 1">
          <a:extLst>
            <a:ext uri="{FF2B5EF4-FFF2-40B4-BE49-F238E27FC236}">
              <a16:creationId xmlns:a16="http://schemas.microsoft.com/office/drawing/2014/main" id="{59EA79DC-A2C0-194C-91A8-47C1DE939EEB}"/>
            </a:ext>
          </a:extLst>
        </xdr:cNvPr>
        <xdr:cNvSpPr txBox="1"/>
      </xdr:nvSpPr>
      <xdr:spPr>
        <a:xfrm>
          <a:off x="825500" y="330200"/>
          <a:ext cx="10426700" cy="3898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dk1"/>
              </a:solidFill>
              <a:effectLst/>
              <a:latin typeface="+mn-lt"/>
              <a:ea typeface="+mn-ea"/>
              <a:cs typeface="+mn-cs"/>
            </a:rPr>
            <a:t>Consider a company for which working capital is 120,000, total assets are 680,000, earnings before interest and taxes is 40,000, sales are 1,200,000, the market value of equity is 250,000, total liabilities is 240,000, and retained earnings is 150,000. </a:t>
          </a:r>
        </a:p>
        <a:p>
          <a:endParaRPr lang="en-US" sz="2000"/>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0</xdr:colOff>
      <xdr:row>154</xdr:row>
      <xdr:rowOff>134592</xdr:rowOff>
    </xdr:from>
    <xdr:ext cx="247650" cy="228600"/>
    <xdr:pic>
      <xdr:nvPicPr>
        <xdr:cNvPr id="2" name="Picture 1">
          <a:extLst>
            <a:ext uri="{FF2B5EF4-FFF2-40B4-BE49-F238E27FC236}">
              <a16:creationId xmlns:a16="http://schemas.microsoft.com/office/drawing/2014/main" id="{441B6DE1-8D9D-1B4F-9070-A9448D61D62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1384192"/>
          <a:ext cx="247650" cy="228600"/>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13</xdr:col>
      <xdr:colOff>152400</xdr:colOff>
      <xdr:row>21</xdr:row>
      <xdr:rowOff>231528</xdr:rowOff>
    </xdr:to>
    <xdr:pic>
      <xdr:nvPicPr>
        <xdr:cNvPr id="3" name="Picture 2">
          <a:extLst>
            <a:ext uri="{FF2B5EF4-FFF2-40B4-BE49-F238E27FC236}">
              <a16:creationId xmlns:a16="http://schemas.microsoft.com/office/drawing/2014/main" id="{9C2B398D-00C9-1743-98A5-1520A7660B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5500" y="330200"/>
          <a:ext cx="10058400" cy="683552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vidromoff/Google%20Drive/FRM/ClassSet/Class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romoff/Google%20Drive/FRM/Fall17/CreditSpreadValuation.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vid/Downloads/FinStatAnalysi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avid/Downloads/OldFRM/FRMClass4.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justinhon/Downloads/FRMClass5.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justinhon/Downloads/FRMClass7.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Users/david/Downloads/OldFRM/FRMClass6.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C:/Users/dromoff/Desktop/FRM_Class3/FRM_1_VaR.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Users/davidromoff/Google%20Drive/FRM/Class/FRM_Class5/FRM_1_Va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sheetData>
      <sheetData sheetId="6">
        <row r="7">
          <cell r="B7">
            <v>0.02</v>
          </cell>
        </row>
      </sheetData>
      <sheetData sheetId="7"/>
      <sheetData sheetId="8">
        <row r="7">
          <cell r="B7">
            <v>7496</v>
          </cell>
          <cell r="C7">
            <v>118.37012198141548</v>
          </cell>
          <cell r="D7">
            <v>119.53509682578719</v>
          </cell>
          <cell r="E7">
            <v>118.95260940360134</v>
          </cell>
          <cell r="F7">
            <v>1.1649748443717129</v>
          </cell>
          <cell r="H7">
            <v>3.8169099909411921</v>
          </cell>
          <cell r="I7">
            <v>63.016692425521988</v>
          </cell>
          <cell r="J7">
            <v>240.52904291504302</v>
          </cell>
        </row>
        <row r="8">
          <cell r="B8">
            <v>2862</v>
          </cell>
          <cell r="C8">
            <v>82.687195324977267</v>
          </cell>
          <cell r="D8">
            <v>83.56007510257713</v>
          </cell>
          <cell r="E8">
            <v>83.123635213777192</v>
          </cell>
          <cell r="F8">
            <v>0.8728797775998629</v>
          </cell>
          <cell r="H8">
            <v>2.667242318781883</v>
          </cell>
          <cell r="I8">
            <v>34.430640486782302</v>
          </cell>
          <cell r="J8">
            <v>91.834861369110612</v>
          </cell>
        </row>
        <row r="9">
          <cell r="B9">
            <v>9729</v>
          </cell>
          <cell r="C9">
            <v>10.823358572373195</v>
          </cell>
          <cell r="D9">
            <v>11.413546347445717</v>
          </cell>
          <cell r="E9">
            <v>11.118452459909456</v>
          </cell>
          <cell r="F9">
            <v>0.59018777507252196</v>
          </cell>
          <cell r="H9">
            <v>0.35676503853767705</v>
          </cell>
          <cell r="I9">
            <v>875.03184773964745</v>
          </cell>
          <cell r="J9">
            <v>312.18077088053008</v>
          </cell>
        </row>
        <row r="10">
          <cell r="B10">
            <v>3642</v>
          </cell>
          <cell r="C10">
            <v>142.60862846891442</v>
          </cell>
          <cell r="D10">
            <v>143.2524387151652</v>
          </cell>
          <cell r="E10">
            <v>142.93053359203981</v>
          </cell>
          <cell r="F10">
            <v>0.64381024625077998</v>
          </cell>
          <cell r="H10">
            <v>4.5863052892515661</v>
          </cell>
          <cell r="I10">
            <v>25.480909561250201</v>
          </cell>
          <cell r="J10">
            <v>116.86323029570259</v>
          </cell>
        </row>
        <row r="11">
          <cell r="B11">
            <v>7568</v>
          </cell>
          <cell r="C11">
            <v>43.354846801191897</v>
          </cell>
          <cell r="D11">
            <v>43.981546257516065</v>
          </cell>
          <cell r="E11">
            <v>43.668196529353978</v>
          </cell>
          <cell r="F11">
            <v>0.62669945632416812</v>
          </cell>
          <cell r="H11">
            <v>1.401209914225122</v>
          </cell>
          <cell r="I11">
            <v>173.30690528775909</v>
          </cell>
          <cell r="J11">
            <v>242.83935389288226</v>
          </cell>
        </row>
        <row r="12">
          <cell r="B12">
            <v>7108</v>
          </cell>
          <cell r="C12">
            <v>133.11724994797456</v>
          </cell>
          <cell r="D12">
            <v>134.16325867580534</v>
          </cell>
          <cell r="E12">
            <v>133.64025431188995</v>
          </cell>
          <cell r="F12">
            <v>1.046008727830781</v>
          </cell>
          <cell r="H12">
            <v>4.2882020363609712</v>
          </cell>
          <cell r="I12">
            <v>53.18756714882727</v>
          </cell>
          <cell r="J12">
            <v>228.07903375668698</v>
          </cell>
        </row>
        <row r="13">
          <cell r="B13">
            <v>4684</v>
          </cell>
          <cell r="C13">
            <v>45.810122708731427</v>
          </cell>
          <cell r="D13">
            <v>46.333360301400774</v>
          </cell>
          <cell r="E13">
            <v>46.0717415050661</v>
          </cell>
          <cell r="F13">
            <v>0.52323759266934644</v>
          </cell>
          <cell r="H13">
            <v>1.4783340301017627</v>
          </cell>
          <cell r="I13">
            <v>101.66752649202422</v>
          </cell>
          <cell r="J13">
            <v>150.2985641694319</v>
          </cell>
        </row>
        <row r="14">
          <cell r="B14">
            <v>9024</v>
          </cell>
          <cell r="C14">
            <v>107.99561305590164</v>
          </cell>
          <cell r="D14">
            <v>109.27873410666952</v>
          </cell>
          <cell r="E14">
            <v>108.63717358128558</v>
          </cell>
          <cell r="F14">
            <v>1.2831210507678747</v>
          </cell>
          <cell r="H14">
            <v>3.4859118711982413</v>
          </cell>
          <cell r="I14">
            <v>83.065489486874156</v>
          </cell>
          <cell r="J14">
            <v>289.55897588918731</v>
          </cell>
        </row>
        <row r="15">
          <cell r="B15">
            <v>4927</v>
          </cell>
          <cell r="C15">
            <v>175.53990115064636</v>
          </cell>
          <cell r="D15">
            <v>177.31374338418087</v>
          </cell>
          <cell r="E15">
            <v>176.42682226741363</v>
          </cell>
          <cell r="F15">
            <v>1.7738422335345092</v>
          </cell>
          <cell r="H15">
            <v>5.6611225593014138</v>
          </cell>
          <cell r="I15">
            <v>27.926592661358761</v>
          </cell>
          <cell r="J15">
            <v>158.0958637196394</v>
          </cell>
        </row>
        <row r="16">
          <cell r="B16">
            <v>9366</v>
          </cell>
          <cell r="C16">
            <v>78.572439609149754</v>
          </cell>
          <cell r="D16">
            <v>79.507633024223878</v>
          </cell>
          <cell r="E16">
            <v>79.040036316686809</v>
          </cell>
          <cell r="F16">
            <v>0.93519341507412435</v>
          </cell>
          <cell r="H16">
            <v>2.5362092165452133</v>
          </cell>
          <cell r="I16">
            <v>118.49690911671134</v>
          </cell>
          <cell r="J16">
            <v>300.53295303392377</v>
          </cell>
        </row>
        <row r="17">
          <cell r="B17">
            <v>4594</v>
          </cell>
          <cell r="C17">
            <v>165.53688402594722</v>
          </cell>
          <cell r="D17">
            <v>167.28425534126472</v>
          </cell>
          <cell r="E17">
            <v>166.41056968360596</v>
          </cell>
          <cell r="F17">
            <v>1.7473713153175083</v>
          </cell>
          <cell r="H17">
            <v>5.3397245273405565</v>
          </cell>
          <cell r="I17">
            <v>27.606419524520028</v>
          </cell>
          <cell r="J17">
            <v>147.4106754471328</v>
          </cell>
        </row>
        <row r="18">
          <cell r="B18">
            <v>9764</v>
          </cell>
          <cell r="C18">
            <v>49.31396649686608</v>
          </cell>
          <cell r="D18">
            <v>50.079636133786565</v>
          </cell>
          <cell r="E18">
            <v>49.696801315326326</v>
          </cell>
          <cell r="F18">
            <v>0.76566963692048517</v>
          </cell>
          <cell r="H18">
            <v>1.5946536894763197</v>
          </cell>
          <cell r="I18">
            <v>196.47139738526423</v>
          </cell>
          <cell r="J18">
            <v>313.30383871697973</v>
          </cell>
        </row>
        <row r="19">
          <cell r="B19">
            <v>4960</v>
          </cell>
          <cell r="C19">
            <v>13.996170418677014</v>
          </cell>
          <cell r="D19">
            <v>14.575730877700273</v>
          </cell>
          <cell r="E19">
            <v>14.285950648188644</v>
          </cell>
          <cell r="F19">
            <v>0.57956045902325926</v>
          </cell>
          <cell r="H19">
            <v>0.45840261960250173</v>
          </cell>
          <cell r="I19">
            <v>347.19425554146738</v>
          </cell>
          <cell r="J19">
            <v>159.15475625114905</v>
          </cell>
        </row>
        <row r="20">
          <cell r="B20">
            <v>6616</v>
          </cell>
          <cell r="C20">
            <v>144.73063673268339</v>
          </cell>
          <cell r="D20">
            <v>146.41362561012136</v>
          </cell>
          <cell r="E20">
            <v>145.57213117140236</v>
          </cell>
          <cell r="F20">
            <v>1.682988877437964</v>
          </cell>
          <cell r="H20">
            <v>4.6710679543437177</v>
          </cell>
          <cell r="I20">
            <v>45.448259545022808</v>
          </cell>
          <cell r="J20">
            <v>212.29190874145203</v>
          </cell>
        </row>
        <row r="21">
          <cell r="B21">
            <v>4300</v>
          </cell>
          <cell r="C21">
            <v>57.802855691261044</v>
          </cell>
          <cell r="D21">
            <v>58.572162251312029</v>
          </cell>
          <cell r="E21">
            <v>58.187508971286533</v>
          </cell>
          <cell r="F21">
            <v>0.76930656005098541</v>
          </cell>
          <cell r="H21">
            <v>1.8671005659650519</v>
          </cell>
          <cell r="I21">
            <v>73.89902190385736</v>
          </cell>
          <cell r="J21">
            <v>137.97690562095585</v>
          </cell>
        </row>
        <row r="22">
          <cell r="B22">
            <v>6589</v>
          </cell>
          <cell r="C22">
            <v>149.43529033885986</v>
          </cell>
          <cell r="D22">
            <v>150.91378760732434</v>
          </cell>
          <cell r="E22">
            <v>150.1745389730921</v>
          </cell>
          <cell r="F22">
            <v>1.4784972684644799</v>
          </cell>
          <cell r="H22">
            <v>4.8187484164095071</v>
          </cell>
          <cell r="I22">
            <v>43.875613303401586</v>
          </cell>
          <cell r="J22">
            <v>211.4255421247623</v>
          </cell>
        </row>
        <row r="23">
          <cell r="B23">
            <v>2821</v>
          </cell>
          <cell r="C23">
            <v>6.8010263925316305</v>
          </cell>
          <cell r="D23">
            <v>7.3676254373529284</v>
          </cell>
          <cell r="E23">
            <v>7.0843259149422799</v>
          </cell>
          <cell r="F23">
            <v>0.56659904482129786</v>
          </cell>
          <cell r="H23">
            <v>0.2273193879428099</v>
          </cell>
          <cell r="I23">
            <v>398.20302367088152</v>
          </cell>
          <cell r="J23">
            <v>90.519267617841024</v>
          </cell>
        </row>
        <row r="25">
          <cell r="G25">
            <v>1.918800044017992E-2</v>
          </cell>
        </row>
        <row r="26">
          <cell r="G26">
            <v>1.9338167348831231E-2</v>
          </cell>
        </row>
        <row r="28">
          <cell r="G28">
            <v>0.01</v>
          </cell>
        </row>
        <row r="29">
          <cell r="G29">
            <v>3.2087652469989729E-2</v>
          </cell>
        </row>
      </sheetData>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read2PD"/>
      <sheetName val="HazardRate1"/>
      <sheetName val="HazardRate2"/>
      <sheetName val="PD2Spread"/>
    </sheetNames>
    <sheetDataSet>
      <sheetData sheetId="0">
        <row r="18">
          <cell r="C18">
            <v>8.7526935082926656</v>
          </cell>
        </row>
        <row r="22">
          <cell r="F22">
            <v>0.97530991202833262</v>
          </cell>
          <cell r="G22">
            <v>2.9259297360849978</v>
          </cell>
        </row>
        <row r="23">
          <cell r="F23">
            <v>0.95122942450071402</v>
          </cell>
          <cell r="G23">
            <v>2.8536882735021418</v>
          </cell>
        </row>
        <row r="24">
          <cell r="F24">
            <v>0.92774348632855286</v>
          </cell>
          <cell r="G24">
            <v>2.7832304589856585</v>
          </cell>
        </row>
        <row r="25">
          <cell r="F25">
            <v>0.90483741803595952</v>
          </cell>
          <cell r="G25">
            <v>2.7145122541078788</v>
          </cell>
        </row>
        <row r="26">
          <cell r="F26">
            <v>0.88249690258459546</v>
          </cell>
          <cell r="G26">
            <v>2.6474907077537866</v>
          </cell>
        </row>
        <row r="27">
          <cell r="F27">
            <v>0.86070797642505781</v>
          </cell>
          <cell r="G27">
            <v>2.5821239292751734</v>
          </cell>
        </row>
        <row r="28">
          <cell r="F28">
            <v>0.83945702076920736</v>
          </cell>
          <cell r="G28">
            <v>2.5183710623076223</v>
          </cell>
        </row>
        <row r="29">
          <cell r="F29">
            <v>0.81873075307798182</v>
          </cell>
          <cell r="G29">
            <v>2.4561922592339456</v>
          </cell>
        </row>
        <row r="30">
          <cell r="F30">
            <v>0.79851621875937706</v>
          </cell>
          <cell r="G30">
            <v>2.3955486562781312</v>
          </cell>
        </row>
        <row r="31">
          <cell r="F31">
            <v>0.77880078307140488</v>
          </cell>
          <cell r="G31">
            <v>80.216480656354705</v>
          </cell>
        </row>
        <row r="35">
          <cell r="C35">
            <v>4.5</v>
          </cell>
        </row>
        <row r="36">
          <cell r="C36">
            <v>3.5</v>
          </cell>
        </row>
        <row r="37">
          <cell r="C37">
            <v>2.5</v>
          </cell>
        </row>
        <row r="38">
          <cell r="C38">
            <v>1.5</v>
          </cell>
        </row>
        <row r="39">
          <cell r="C39">
            <v>0.5</v>
          </cell>
        </row>
        <row r="41">
          <cell r="E41" t="str">
            <v>Loss</v>
          </cell>
        </row>
        <row r="42">
          <cell r="B42">
            <v>0.5</v>
          </cell>
          <cell r="C42">
            <v>106.72870921346704</v>
          </cell>
          <cell r="D42">
            <v>40</v>
          </cell>
          <cell r="E42">
            <v>66.728709213467042</v>
          </cell>
          <cell r="F42">
            <v>0.97530991202833262</v>
          </cell>
        </row>
        <row r="43">
          <cell r="B43">
            <v>1.5</v>
          </cell>
          <cell r="C43">
            <v>105.97104849893799</v>
          </cell>
          <cell r="D43">
            <v>40</v>
          </cell>
          <cell r="E43">
            <v>65.971048498937989</v>
          </cell>
          <cell r="F43">
            <v>0.92774348632855286</v>
          </cell>
        </row>
        <row r="44">
          <cell r="B44">
            <v>2.5</v>
          </cell>
          <cell r="C44">
            <v>105.17454168889401</v>
          </cell>
          <cell r="D44">
            <v>40</v>
          </cell>
          <cell r="E44">
            <v>65.17454168889401</v>
          </cell>
          <cell r="F44">
            <v>0.88249690258459546</v>
          </cell>
        </row>
        <row r="45">
          <cell r="B45">
            <v>3.5</v>
          </cell>
          <cell r="C45">
            <v>104.33719710142807</v>
          </cell>
          <cell r="D45">
            <v>40</v>
          </cell>
          <cell r="E45">
            <v>64.337197101428075</v>
          </cell>
          <cell r="F45">
            <v>0.83945702076920736</v>
          </cell>
        </row>
        <row r="46">
          <cell r="B46">
            <v>4.5</v>
          </cell>
          <cell r="C46">
            <v>103.45692093891826</v>
          </cell>
          <cell r="D46">
            <v>40</v>
          </cell>
          <cell r="E46">
            <v>63.456920938918259</v>
          </cell>
          <cell r="F46">
            <v>0.79851621875937706</v>
          </cell>
        </row>
        <row r="47">
          <cell r="G47">
            <v>288.4814055773889</v>
          </cell>
        </row>
      </sheetData>
      <sheetData sheetId="1" refreshError="1"/>
      <sheetData sheetId="2" refreshError="1"/>
      <sheetData sheetId="3">
        <row r="9">
          <cell r="B9">
            <v>0.02</v>
          </cell>
        </row>
        <row r="13">
          <cell r="C13">
            <v>0.98019867330675525</v>
          </cell>
          <cell r="F13">
            <v>0.93239381990594816</v>
          </cell>
        </row>
        <row r="14">
          <cell r="C14">
            <v>0.96078943915232318</v>
          </cell>
          <cell r="F14">
            <v>0.86935823539880575</v>
          </cell>
        </row>
        <row r="15">
          <cell r="C15">
            <v>0.94176453358424872</v>
          </cell>
          <cell r="F15">
            <v>0.81058424597018708</v>
          </cell>
        </row>
        <row r="16">
          <cell r="C16">
            <v>0.92311634638663576</v>
          </cell>
          <cell r="F16">
            <v>0.75578374145572547</v>
          </cell>
        </row>
        <row r="17">
          <cell r="C17">
            <v>0.90483741803595952</v>
          </cell>
          <cell r="F17">
            <v>0.70468808971871344</v>
          </cell>
        </row>
        <row r="23">
          <cell r="B23">
            <v>0.5</v>
          </cell>
          <cell r="C23">
            <v>1.9801326693244747E-2</v>
          </cell>
          <cell r="E23">
            <v>1.1880796015946849E-2</v>
          </cell>
          <cell r="F23">
            <v>0.97530991202833262</v>
          </cell>
          <cell r="G23">
            <v>1.1587458117139685E-2</v>
          </cell>
          <cell r="I23">
            <v>9.9006633466223737E-3</v>
          </cell>
          <cell r="J23">
            <v>9.6562150976164038E-3</v>
          </cell>
        </row>
        <row r="24">
          <cell r="B24">
            <v>1.5</v>
          </cell>
          <cell r="C24">
            <v>1.9409234154432076E-2</v>
          </cell>
          <cell r="E24">
            <v>1.1645540492659244E-2</v>
          </cell>
          <cell r="F24">
            <v>0.92774348632855286</v>
          </cell>
          <cell r="G24">
            <v>1.080407433684002E-2</v>
          </cell>
          <cell r="I24">
            <v>9.7046170772160378E-3</v>
          </cell>
          <cell r="J24">
            <v>9.0033952807000179E-3</v>
          </cell>
        </row>
        <row r="25">
          <cell r="B25">
            <v>2.5</v>
          </cell>
          <cell r="C25">
            <v>1.9024905568074457E-2</v>
          </cell>
          <cell r="E25">
            <v>1.1414943340844674E-2</v>
          </cell>
          <cell r="F25">
            <v>0.88249690258459546</v>
          </cell>
          <cell r="G25">
            <v>1.007365214147408E-2</v>
          </cell>
          <cell r="I25">
            <v>9.5124527840372286E-3</v>
          </cell>
          <cell r="J25">
            <v>8.3947101178950666E-3</v>
          </cell>
        </row>
        <row r="26">
          <cell r="B26">
            <v>3.5</v>
          </cell>
          <cell r="C26">
            <v>1.8648187197612964E-2</v>
          </cell>
          <cell r="E26">
            <v>1.1188912318567779E-2</v>
          </cell>
          <cell r="F26">
            <v>0.83945702076920736</v>
          </cell>
          <cell r="G26">
            <v>9.3926110005927918E-3</v>
          </cell>
          <cell r="I26">
            <v>9.3240935988064821E-3</v>
          </cell>
          <cell r="J26">
            <v>7.8271758338273271E-3</v>
          </cell>
        </row>
        <row r="27">
          <cell r="B27">
            <v>4.5</v>
          </cell>
          <cell r="C27">
            <v>1.8278928350676238E-2</v>
          </cell>
          <cell r="E27">
            <v>1.0967357010405743E-2</v>
          </cell>
          <cell r="F27">
            <v>0.79851621875937706</v>
          </cell>
          <cell r="G27">
            <v>8.7576124497333405E-3</v>
          </cell>
          <cell r="I27">
            <v>9.1394641753381189E-3</v>
          </cell>
          <cell r="J27">
            <v>7.2980103747777832E-3</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yCo1"/>
      <sheetName val="MyCo2"/>
      <sheetName val="MyCo3"/>
      <sheetName val="MyCo4"/>
      <sheetName val="MyCo5"/>
      <sheetName val="MyCo5a"/>
      <sheetName val="MyCo6"/>
      <sheetName val="MyCo7"/>
      <sheetName val="MyCo8"/>
      <sheetName val="MyCo9"/>
      <sheetName val="FSA0"/>
      <sheetName val="Sparklines"/>
      <sheetName val="FSA1"/>
      <sheetName val="FSA_IS"/>
      <sheetName val="FSA_BS"/>
      <sheetName val="FSA_CF"/>
    </sheetNames>
    <sheetDataSet>
      <sheetData sheetId="0" refreshError="1"/>
      <sheetData sheetId="1" refreshError="1"/>
      <sheetData sheetId="2"/>
      <sheetData sheetId="3">
        <row r="20">
          <cell r="B20">
            <v>0.1</v>
          </cell>
        </row>
      </sheetData>
      <sheetData sheetId="4">
        <row r="18">
          <cell r="L18">
            <v>25</v>
          </cell>
        </row>
      </sheetData>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cell r="J4">
            <v>0.99502487562189068</v>
          </cell>
        </row>
        <row r="5">
          <cell r="H5">
            <v>24</v>
          </cell>
          <cell r="J5">
            <v>0.99502487562189068</v>
          </cell>
        </row>
        <row r="6">
          <cell r="H6">
            <v>36</v>
          </cell>
          <cell r="J6">
            <v>0.99477741855259882</v>
          </cell>
        </row>
        <row r="7">
          <cell r="H7">
            <v>36</v>
          </cell>
          <cell r="J7">
            <v>0.99477741855259882</v>
          </cell>
        </row>
        <row r="8">
          <cell r="H8">
            <v>36</v>
          </cell>
          <cell r="J8">
            <v>0.99461251554082064</v>
          </cell>
        </row>
        <row r="9">
          <cell r="H9">
            <v>36</v>
          </cell>
          <cell r="J9">
            <v>0.99461251554082064</v>
          </cell>
        </row>
        <row r="10">
          <cell r="H10">
            <v>48</v>
          </cell>
          <cell r="J10">
            <v>0.99420049710024849</v>
          </cell>
        </row>
        <row r="11">
          <cell r="H11">
            <v>48</v>
          </cell>
          <cell r="J11">
            <v>0.99420049710024849</v>
          </cell>
        </row>
        <row r="12">
          <cell r="H12">
            <v>36</v>
          </cell>
          <cell r="J12">
            <v>0.99337748344370869</v>
          </cell>
        </row>
        <row r="13">
          <cell r="H13">
            <v>36</v>
          </cell>
          <cell r="J13">
            <v>0.99337748344370869</v>
          </cell>
        </row>
        <row r="14">
          <cell r="H14">
            <v>24</v>
          </cell>
          <cell r="J14">
            <v>0.99502487562189068</v>
          </cell>
        </row>
        <row r="15">
          <cell r="H15">
            <v>24</v>
          </cell>
          <cell r="J15">
            <v>0.99502487562189068</v>
          </cell>
        </row>
        <row r="16">
          <cell r="H16">
            <v>48</v>
          </cell>
          <cell r="J16">
            <v>0.99420049710024849</v>
          </cell>
        </row>
        <row r="17">
          <cell r="H17">
            <v>48</v>
          </cell>
          <cell r="J17">
            <v>0.99420049710024849</v>
          </cell>
        </row>
        <row r="18">
          <cell r="H18">
            <v>60</v>
          </cell>
          <cell r="J18">
            <v>0.99378881987577627</v>
          </cell>
        </row>
        <row r="19">
          <cell r="H19">
            <v>60</v>
          </cell>
          <cell r="J19">
            <v>0.99378881987577627</v>
          </cell>
        </row>
        <row r="20">
          <cell r="H20">
            <v>24</v>
          </cell>
          <cell r="J20">
            <v>0.99502487562189068</v>
          </cell>
        </row>
        <row r="21">
          <cell r="H21">
            <v>24</v>
          </cell>
          <cell r="J21">
            <v>0.99502487562189068</v>
          </cell>
        </row>
        <row r="22">
          <cell r="H22">
            <v>36</v>
          </cell>
          <cell r="J22">
            <v>0.99477741855259882</v>
          </cell>
        </row>
        <row r="23">
          <cell r="H23">
            <v>36</v>
          </cell>
          <cell r="J23">
            <v>0.99477741855259882</v>
          </cell>
        </row>
      </sheetData>
      <sheetData sheetId="12">
        <row r="4">
          <cell r="E4">
            <v>5.0000000000000001E-3</v>
          </cell>
          <cell r="F4">
            <v>1108.015256318924</v>
          </cell>
        </row>
      </sheetData>
      <sheetData sheetId="13"/>
      <sheetData sheetId="14"/>
      <sheetData sheetId="1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Homewor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 sheetId="10"/>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5"/>
      <sheetName val="CreditRisk"/>
      <sheetName val="ELoss"/>
      <sheetName val="TurnOver"/>
      <sheetName val="WordPlay"/>
      <sheetName val="FinStatAnalysis"/>
      <sheetName val="CreditRisk_Corporate"/>
      <sheetName val="CreditRiskMitigation"/>
      <sheetName val="CashVsProfit"/>
      <sheetName val="CDS"/>
      <sheetName val="Remember"/>
      <sheetName val="Readings"/>
      <sheetName val="CreditRatingTable"/>
      <sheetName val="Q5_1"/>
      <sheetName val="Q5_2"/>
      <sheetName val="Q5_3_"/>
      <sheetName val="Discussion"/>
      <sheetName val="BonusMaterial1"/>
      <sheetName val="COGS"/>
      <sheetName val="Defini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2">
          <cell r="A2">
            <v>1</v>
          </cell>
          <cell r="B2" t="str">
            <v>Cost</v>
          </cell>
        </row>
        <row r="3">
          <cell r="A3">
            <v>2</v>
          </cell>
          <cell r="B3" t="str">
            <v>of</v>
          </cell>
        </row>
        <row r="4">
          <cell r="A4">
            <v>3</v>
          </cell>
          <cell r="B4" t="str">
            <v>Goods</v>
          </cell>
        </row>
        <row r="5">
          <cell r="A5">
            <v>4</v>
          </cell>
          <cell r="B5" t="str">
            <v>Sold</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7"/>
      <sheetName val="CDS"/>
      <sheetName val="Spread2PD"/>
      <sheetName val="CreditMetrics"/>
      <sheetName val="CreditMetrics_Example"/>
      <sheetName val="LoanCovenants"/>
      <sheetName val="LoanSegmentation"/>
      <sheetName val="CashVsProfit"/>
      <sheetName val="Remember"/>
      <sheetName val="Options1"/>
      <sheetName val="Study4Midterm"/>
      <sheetName val="7.1"/>
      <sheetName val="InternalRatings"/>
      <sheetName val="7.1 EL_alt_FX"/>
      <sheetName val="7.1 EL"/>
      <sheetName val="7.2"/>
      <sheetName val="7.2 Sbprm loans hedged by CIS"/>
    </sheetNames>
    <sheetDataSet>
      <sheetData sheetId="0"/>
      <sheetData sheetId="1"/>
      <sheetData sheetId="2"/>
      <sheetData sheetId="3"/>
      <sheetData sheetId="4">
        <row r="31">
          <cell r="R31">
            <v>5</v>
          </cell>
          <cell r="T31">
            <v>182</v>
          </cell>
          <cell r="V31">
            <v>5.0000000000000001E-3</v>
          </cell>
          <cell r="W31">
            <v>5.0000000000000001E-3</v>
          </cell>
          <cell r="X31">
            <v>0</v>
          </cell>
          <cell r="Z31">
            <v>-910</v>
          </cell>
        </row>
        <row r="32">
          <cell r="R32">
            <v>6</v>
          </cell>
          <cell r="T32">
            <v>134</v>
          </cell>
          <cell r="V32">
            <v>0.01</v>
          </cell>
          <cell r="W32">
            <v>5.0000000000000001E-3</v>
          </cell>
          <cell r="X32">
            <v>-5.0000000000000001E-3</v>
          </cell>
          <cell r="Z32">
            <v>-804</v>
          </cell>
        </row>
        <row r="33">
          <cell r="R33">
            <v>1</v>
          </cell>
          <cell r="T33">
            <v>157</v>
          </cell>
          <cell r="V33">
            <v>0.02</v>
          </cell>
          <cell r="W33">
            <v>0.02</v>
          </cell>
          <cell r="X33">
            <v>0</v>
          </cell>
          <cell r="Z33">
            <v>-157</v>
          </cell>
        </row>
        <row r="34">
          <cell r="R34">
            <v>5</v>
          </cell>
          <cell r="T34">
            <v>135</v>
          </cell>
          <cell r="V34">
            <v>0.04</v>
          </cell>
          <cell r="W34">
            <v>0.04</v>
          </cell>
          <cell r="X34">
            <v>0</v>
          </cell>
          <cell r="Z34">
            <v>-675</v>
          </cell>
        </row>
        <row r="35">
          <cell r="R35">
            <v>5</v>
          </cell>
          <cell r="T35">
            <v>144</v>
          </cell>
          <cell r="V35">
            <v>0.08</v>
          </cell>
          <cell r="W35">
            <v>0.04</v>
          </cell>
          <cell r="X35">
            <v>-0.04</v>
          </cell>
          <cell r="Z35">
            <v>-720</v>
          </cell>
        </row>
        <row r="38">
          <cell r="AC38">
            <v>-39.284999999999997</v>
          </cell>
        </row>
        <row r="39">
          <cell r="AC39">
            <v>91.634999999999991</v>
          </cell>
        </row>
        <row r="40">
          <cell r="AC40">
            <v>130.91999999999999</v>
          </cell>
        </row>
      </sheetData>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p"/>
      <sheetName val="Bond"/>
      <sheetName val="InstallmentLoan"/>
      <sheetName val="Duration"/>
      <sheetName val="Dur2"/>
      <sheetName val="Dur3"/>
      <sheetName val="Curve0"/>
      <sheetName val="Remember"/>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6"/>
      <sheetName val="CreditMatrix"/>
      <sheetName val="CreditMatrix_Weighted"/>
      <sheetName val="CreditMatrix_Loss"/>
      <sheetName val="MertonsModel"/>
      <sheetName val="Homework"/>
      <sheetName val="QuizBank"/>
      <sheetName val="O_Material"/>
      <sheetName val="O_Discussion"/>
    </sheetNames>
    <sheetDataSet>
      <sheetData sheetId="0" refreshError="1"/>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D</v>
          </cell>
          <cell r="E10" t="str">
            <v>D</v>
          </cell>
        </row>
        <row r="11">
          <cell r="D11" t="str">
            <v>C</v>
          </cell>
          <cell r="E11" t="str">
            <v>C</v>
          </cell>
        </row>
        <row r="12">
          <cell r="D12" t="str">
            <v>A</v>
          </cell>
          <cell r="E12" t="str">
            <v>C</v>
          </cell>
        </row>
        <row r="13">
          <cell r="D13" t="str">
            <v>A</v>
          </cell>
          <cell r="E13" t="str">
            <v>A</v>
          </cell>
        </row>
        <row r="14">
          <cell r="D14" t="str">
            <v>D</v>
          </cell>
          <cell r="E14" t="str">
            <v>E</v>
          </cell>
        </row>
        <row r="15">
          <cell r="D15" t="str">
            <v>B</v>
          </cell>
          <cell r="E15" t="str">
            <v>C</v>
          </cell>
        </row>
        <row r="16">
          <cell r="D16" t="str">
            <v>A</v>
          </cell>
          <cell r="E16" t="str">
            <v>B</v>
          </cell>
        </row>
        <row r="17">
          <cell r="D17" t="str">
            <v>E</v>
          </cell>
          <cell r="E17" t="str">
            <v>F</v>
          </cell>
        </row>
        <row r="18">
          <cell r="D18" t="str">
            <v>B</v>
          </cell>
          <cell r="E18" t="str">
            <v>B</v>
          </cell>
        </row>
        <row r="19">
          <cell r="D19" t="str">
            <v>C</v>
          </cell>
          <cell r="E19" t="str">
            <v>B</v>
          </cell>
        </row>
        <row r="20">
          <cell r="D20" t="str">
            <v>A</v>
          </cell>
          <cell r="E20" t="str">
            <v>C</v>
          </cell>
        </row>
        <row r="21">
          <cell r="D21" t="str">
            <v>D</v>
          </cell>
          <cell r="E21" t="str">
            <v>D</v>
          </cell>
        </row>
        <row r="22">
          <cell r="D22" t="str">
            <v>E</v>
          </cell>
          <cell r="E22" t="str">
            <v>E</v>
          </cell>
        </row>
        <row r="23">
          <cell r="D23" t="str">
            <v>E</v>
          </cell>
          <cell r="E23" t="str">
            <v>F</v>
          </cell>
        </row>
        <row r="24">
          <cell r="D24" t="str">
            <v>B</v>
          </cell>
          <cell r="E24" t="str">
            <v>A</v>
          </cell>
        </row>
        <row r="25">
          <cell r="D25" t="str">
            <v>B</v>
          </cell>
          <cell r="E25" t="str">
            <v>C</v>
          </cell>
        </row>
        <row r="26">
          <cell r="D26" t="str">
            <v>A</v>
          </cell>
          <cell r="E26" t="str">
            <v>B</v>
          </cell>
        </row>
        <row r="27">
          <cell r="D27" t="str">
            <v>D</v>
          </cell>
          <cell r="E27" t="str">
            <v>E</v>
          </cell>
        </row>
        <row r="28">
          <cell r="D28" t="str">
            <v>B</v>
          </cell>
          <cell r="E28" t="str">
            <v>B</v>
          </cell>
        </row>
        <row r="29">
          <cell r="D29" t="str">
            <v>B</v>
          </cell>
          <cell r="E29" t="str">
            <v>C</v>
          </cell>
        </row>
        <row r="30">
          <cell r="D30" t="str">
            <v>B</v>
          </cell>
          <cell r="E30" t="str">
            <v>C</v>
          </cell>
        </row>
        <row r="31">
          <cell r="D31" t="str">
            <v>C</v>
          </cell>
          <cell r="E31" t="str">
            <v>C</v>
          </cell>
        </row>
        <row r="32">
          <cell r="D32" t="str">
            <v>C</v>
          </cell>
          <cell r="E32" t="str">
            <v>C</v>
          </cell>
        </row>
        <row r="33">
          <cell r="D33" t="str">
            <v>E</v>
          </cell>
          <cell r="E33" t="str">
            <v>E</v>
          </cell>
        </row>
        <row r="34">
          <cell r="D34" t="str">
            <v>D</v>
          </cell>
          <cell r="E34" t="str">
            <v>F</v>
          </cell>
        </row>
        <row r="35">
          <cell r="D35" t="str">
            <v>C</v>
          </cell>
          <cell r="E35" t="str">
            <v>E</v>
          </cell>
        </row>
        <row r="36">
          <cell r="D36" t="str">
            <v>B</v>
          </cell>
          <cell r="E36" t="str">
            <v>C</v>
          </cell>
        </row>
        <row r="37">
          <cell r="D37" t="str">
            <v>C</v>
          </cell>
          <cell r="E37" t="str">
            <v>C</v>
          </cell>
        </row>
        <row r="38">
          <cell r="D38" t="str">
            <v>A</v>
          </cell>
          <cell r="E38" t="str">
            <v>C</v>
          </cell>
        </row>
        <row r="39">
          <cell r="D39" t="str">
            <v>B</v>
          </cell>
          <cell r="E39" t="str">
            <v>C</v>
          </cell>
        </row>
        <row r="40">
          <cell r="D40" t="str">
            <v>A</v>
          </cell>
          <cell r="E40" t="str">
            <v>A</v>
          </cell>
        </row>
        <row r="41">
          <cell r="D41" t="str">
            <v>D</v>
          </cell>
          <cell r="E41" t="str">
            <v>E</v>
          </cell>
        </row>
        <row r="42">
          <cell r="D42" t="str">
            <v>C</v>
          </cell>
          <cell r="E42" t="str">
            <v>C</v>
          </cell>
        </row>
        <row r="43">
          <cell r="D43" t="str">
            <v>C</v>
          </cell>
          <cell r="E43" t="str">
            <v>D</v>
          </cell>
        </row>
        <row r="44">
          <cell r="D44" t="str">
            <v>D</v>
          </cell>
          <cell r="E44" t="str">
            <v>F</v>
          </cell>
        </row>
        <row r="45">
          <cell r="D45" t="str">
            <v>E</v>
          </cell>
          <cell r="E45" t="str">
            <v>F</v>
          </cell>
        </row>
        <row r="46">
          <cell r="D46" t="str">
            <v>D</v>
          </cell>
          <cell r="E46" t="str">
            <v>F</v>
          </cell>
        </row>
        <row r="47">
          <cell r="D47" t="str">
            <v>C</v>
          </cell>
          <cell r="E47" t="str">
            <v>C</v>
          </cell>
        </row>
        <row r="48">
          <cell r="D48" t="str">
            <v>E</v>
          </cell>
          <cell r="E48" t="str">
            <v>F</v>
          </cell>
        </row>
        <row r="49">
          <cell r="D49" t="str">
            <v>E</v>
          </cell>
          <cell r="E49" t="str">
            <v>F</v>
          </cell>
        </row>
        <row r="50">
          <cell r="D50" t="str">
            <v>D</v>
          </cell>
          <cell r="E50" t="str">
            <v>E</v>
          </cell>
        </row>
        <row r="51">
          <cell r="D51" t="str">
            <v>B</v>
          </cell>
          <cell r="E51" t="str">
            <v>C</v>
          </cell>
        </row>
        <row r="52">
          <cell r="D52" t="str">
            <v>D</v>
          </cell>
          <cell r="E52" t="str">
            <v>D</v>
          </cell>
        </row>
        <row r="53">
          <cell r="D53" t="str">
            <v>A</v>
          </cell>
          <cell r="E53" t="str">
            <v>A</v>
          </cell>
        </row>
        <row r="54">
          <cell r="D54" t="str">
            <v>D</v>
          </cell>
          <cell r="E54" t="str">
            <v>E</v>
          </cell>
        </row>
        <row r="55">
          <cell r="D55" t="str">
            <v>D</v>
          </cell>
          <cell r="E55" t="str">
            <v>E</v>
          </cell>
        </row>
        <row r="56">
          <cell r="D56" t="str">
            <v>B</v>
          </cell>
          <cell r="E56" t="str">
            <v>D</v>
          </cell>
        </row>
        <row r="57">
          <cell r="D57" t="str">
            <v>A</v>
          </cell>
          <cell r="E57" t="str">
            <v>A</v>
          </cell>
        </row>
        <row r="58">
          <cell r="D58" t="str">
            <v>A</v>
          </cell>
          <cell r="E58" t="str">
            <v>B</v>
          </cell>
        </row>
        <row r="59">
          <cell r="D59" t="str">
            <v>B</v>
          </cell>
          <cell r="E59" t="str">
            <v>D</v>
          </cell>
        </row>
        <row r="60">
          <cell r="D60" t="str">
            <v>B</v>
          </cell>
          <cell r="E60" t="str">
            <v>C</v>
          </cell>
        </row>
        <row r="61">
          <cell r="D61" t="str">
            <v>B</v>
          </cell>
          <cell r="E61" t="str">
            <v>C</v>
          </cell>
        </row>
        <row r="62">
          <cell r="D62" t="str">
            <v>A</v>
          </cell>
          <cell r="E62" t="str">
            <v>B</v>
          </cell>
        </row>
        <row r="63">
          <cell r="D63" t="str">
            <v>D</v>
          </cell>
          <cell r="E63" t="str">
            <v>D</v>
          </cell>
        </row>
        <row r="64">
          <cell r="D64" t="str">
            <v>C</v>
          </cell>
          <cell r="E64" t="str">
            <v>C</v>
          </cell>
        </row>
        <row r="65">
          <cell r="D65" t="str">
            <v>B</v>
          </cell>
          <cell r="E65" t="str">
            <v>C</v>
          </cell>
        </row>
        <row r="66">
          <cell r="D66" t="str">
            <v>E</v>
          </cell>
          <cell r="E66" t="str">
            <v>F</v>
          </cell>
        </row>
        <row r="67">
          <cell r="D67" t="str">
            <v>D</v>
          </cell>
          <cell r="E67" t="str">
            <v>D</v>
          </cell>
        </row>
        <row r="68">
          <cell r="D68" t="str">
            <v>E</v>
          </cell>
          <cell r="E68" t="str">
            <v>E</v>
          </cell>
        </row>
        <row r="69">
          <cell r="D69" t="str">
            <v>A</v>
          </cell>
          <cell r="E69" t="str">
            <v>C</v>
          </cell>
        </row>
        <row r="70">
          <cell r="D70" t="str">
            <v>B</v>
          </cell>
          <cell r="E70" t="str">
            <v>B</v>
          </cell>
        </row>
        <row r="71">
          <cell r="D71" t="str">
            <v>B</v>
          </cell>
          <cell r="E71" t="str">
            <v>C</v>
          </cell>
        </row>
        <row r="72">
          <cell r="D72" t="str">
            <v>B</v>
          </cell>
          <cell r="E72" t="str">
            <v>C</v>
          </cell>
        </row>
        <row r="73">
          <cell r="D73" t="str">
            <v>E</v>
          </cell>
          <cell r="E73" t="str">
            <v>F</v>
          </cell>
        </row>
        <row r="74">
          <cell r="D74" t="str">
            <v>C</v>
          </cell>
          <cell r="E74" t="str">
            <v>D</v>
          </cell>
        </row>
        <row r="75">
          <cell r="D75" t="str">
            <v>A</v>
          </cell>
          <cell r="E75" t="str">
            <v>A</v>
          </cell>
        </row>
        <row r="76">
          <cell r="D76" t="str">
            <v>A</v>
          </cell>
          <cell r="E76" t="str">
            <v>A</v>
          </cell>
        </row>
        <row r="77">
          <cell r="D77" t="str">
            <v>E</v>
          </cell>
          <cell r="E77" t="str">
            <v>E</v>
          </cell>
        </row>
        <row r="78">
          <cell r="D78" t="str">
            <v>E</v>
          </cell>
          <cell r="E78" t="str">
            <v>E</v>
          </cell>
        </row>
        <row r="79">
          <cell r="D79" t="str">
            <v>D</v>
          </cell>
          <cell r="E79" t="str">
            <v>E</v>
          </cell>
        </row>
        <row r="80">
          <cell r="D80" t="str">
            <v>A</v>
          </cell>
          <cell r="E80" t="str">
            <v>A</v>
          </cell>
        </row>
        <row r="81">
          <cell r="D81" t="str">
            <v>E</v>
          </cell>
          <cell r="E81" t="str">
            <v>E</v>
          </cell>
        </row>
        <row r="82">
          <cell r="D82" t="str">
            <v>E</v>
          </cell>
          <cell r="E82" t="str">
            <v>F</v>
          </cell>
        </row>
        <row r="83">
          <cell r="D83" t="str">
            <v>A</v>
          </cell>
          <cell r="E83" t="str">
            <v>A</v>
          </cell>
        </row>
        <row r="84">
          <cell r="D84" t="str">
            <v>E</v>
          </cell>
          <cell r="E84" t="str">
            <v>E</v>
          </cell>
        </row>
        <row r="85">
          <cell r="D85" t="str">
            <v>B</v>
          </cell>
          <cell r="E85" t="str">
            <v>B</v>
          </cell>
        </row>
        <row r="86">
          <cell r="D86" t="str">
            <v>E</v>
          </cell>
          <cell r="E86" t="str">
            <v>F</v>
          </cell>
        </row>
        <row r="87">
          <cell r="D87" t="str">
            <v>D</v>
          </cell>
          <cell r="E87" t="str">
            <v>E</v>
          </cell>
        </row>
        <row r="88">
          <cell r="D88" t="str">
            <v>B</v>
          </cell>
          <cell r="E88" t="str">
            <v>B</v>
          </cell>
        </row>
        <row r="89">
          <cell r="D89" t="str">
            <v>C</v>
          </cell>
          <cell r="E89" t="str">
            <v>C</v>
          </cell>
        </row>
        <row r="90">
          <cell r="D90" t="str">
            <v>B</v>
          </cell>
          <cell r="E90" t="str">
            <v>B</v>
          </cell>
        </row>
        <row r="91">
          <cell r="D91" t="str">
            <v>E</v>
          </cell>
          <cell r="E91" t="str">
            <v>F</v>
          </cell>
        </row>
        <row r="92">
          <cell r="D92" t="str">
            <v>E</v>
          </cell>
          <cell r="E92" t="str">
            <v>E</v>
          </cell>
        </row>
        <row r="93">
          <cell r="D93" t="str">
            <v>E</v>
          </cell>
          <cell r="E93" t="str">
            <v>E</v>
          </cell>
        </row>
        <row r="94">
          <cell r="D94" t="str">
            <v>D</v>
          </cell>
          <cell r="E94" t="str">
            <v>D</v>
          </cell>
        </row>
        <row r="95">
          <cell r="D95" t="str">
            <v>C</v>
          </cell>
          <cell r="E95" t="str">
            <v>E</v>
          </cell>
        </row>
        <row r="96">
          <cell r="D96" t="str">
            <v>E</v>
          </cell>
          <cell r="E96" t="str">
            <v>F</v>
          </cell>
        </row>
        <row r="97">
          <cell r="D97" t="str">
            <v>B</v>
          </cell>
          <cell r="E97" t="str">
            <v>B</v>
          </cell>
        </row>
        <row r="98">
          <cell r="D98" t="str">
            <v>D</v>
          </cell>
          <cell r="E98" t="str">
            <v>C</v>
          </cell>
        </row>
        <row r="99">
          <cell r="D99" t="str">
            <v>A</v>
          </cell>
          <cell r="E99" t="str">
            <v>C</v>
          </cell>
        </row>
        <row r="100">
          <cell r="D100" t="str">
            <v>B</v>
          </cell>
          <cell r="E100" t="str">
            <v>C</v>
          </cell>
        </row>
        <row r="101">
          <cell r="D101" t="str">
            <v>B</v>
          </cell>
          <cell r="E101" t="str">
            <v>D</v>
          </cell>
        </row>
        <row r="102">
          <cell r="D102" t="str">
            <v>E</v>
          </cell>
          <cell r="E102" t="str">
            <v>D</v>
          </cell>
        </row>
        <row r="103">
          <cell r="D103" t="str">
            <v>E</v>
          </cell>
          <cell r="E103" t="str">
            <v>F</v>
          </cell>
        </row>
        <row r="104">
          <cell r="D104" t="str">
            <v>C</v>
          </cell>
          <cell r="E104" t="str">
            <v>C</v>
          </cell>
        </row>
        <row r="105">
          <cell r="D105" t="str">
            <v>E</v>
          </cell>
          <cell r="E105" t="str">
            <v>E</v>
          </cell>
        </row>
        <row r="106">
          <cell r="D106" t="str">
            <v>D</v>
          </cell>
          <cell r="E106" t="str">
            <v>D</v>
          </cell>
        </row>
        <row r="107">
          <cell r="D107" t="str">
            <v>A</v>
          </cell>
          <cell r="E107" t="str">
            <v>A</v>
          </cell>
        </row>
        <row r="108">
          <cell r="D108" t="str">
            <v>D</v>
          </cell>
          <cell r="E108" t="str">
            <v>E</v>
          </cell>
        </row>
        <row r="109">
          <cell r="D109" t="str">
            <v>D</v>
          </cell>
          <cell r="E109" t="str">
            <v>D</v>
          </cell>
        </row>
      </sheetData>
      <sheetData sheetId="2">
        <row r="10">
          <cell r="F10">
            <v>41</v>
          </cell>
        </row>
        <row r="11">
          <cell r="F11">
            <v>42</v>
          </cell>
        </row>
        <row r="12">
          <cell r="F12">
            <v>44</v>
          </cell>
        </row>
        <row r="13">
          <cell r="F13">
            <v>96</v>
          </cell>
        </row>
        <row r="14">
          <cell r="F14">
            <v>88</v>
          </cell>
        </row>
        <row r="15">
          <cell r="F15">
            <v>28</v>
          </cell>
        </row>
        <row r="16">
          <cell r="F16">
            <v>60</v>
          </cell>
        </row>
        <row r="17">
          <cell r="F17">
            <v>37</v>
          </cell>
        </row>
        <row r="18">
          <cell r="F18">
            <v>80</v>
          </cell>
        </row>
        <row r="19">
          <cell r="F19">
            <v>61</v>
          </cell>
        </row>
        <row r="20">
          <cell r="F20">
            <v>28</v>
          </cell>
        </row>
        <row r="21">
          <cell r="F21">
            <v>24</v>
          </cell>
        </row>
        <row r="22">
          <cell r="F22">
            <v>26</v>
          </cell>
        </row>
        <row r="23">
          <cell r="F23">
            <v>83</v>
          </cell>
        </row>
        <row r="24">
          <cell r="F24">
            <v>57</v>
          </cell>
        </row>
        <row r="25">
          <cell r="F25">
            <v>44</v>
          </cell>
        </row>
        <row r="26">
          <cell r="F26">
            <v>20</v>
          </cell>
        </row>
        <row r="27">
          <cell r="F27">
            <v>23</v>
          </cell>
        </row>
        <row r="28">
          <cell r="F28">
            <v>54</v>
          </cell>
        </row>
        <row r="29">
          <cell r="F29">
            <v>61</v>
          </cell>
        </row>
        <row r="30">
          <cell r="F30">
            <v>40</v>
          </cell>
        </row>
        <row r="31">
          <cell r="F31">
            <v>58</v>
          </cell>
        </row>
        <row r="32">
          <cell r="F32">
            <v>93</v>
          </cell>
        </row>
        <row r="33">
          <cell r="F33">
            <v>81</v>
          </cell>
        </row>
        <row r="34">
          <cell r="F34">
            <v>63</v>
          </cell>
        </row>
        <row r="35">
          <cell r="F35">
            <v>40</v>
          </cell>
        </row>
        <row r="36">
          <cell r="F36">
            <v>61</v>
          </cell>
        </row>
        <row r="37">
          <cell r="F37">
            <v>88</v>
          </cell>
        </row>
        <row r="38">
          <cell r="F38">
            <v>49</v>
          </cell>
        </row>
        <row r="39">
          <cell r="F39">
            <v>75</v>
          </cell>
        </row>
        <row r="40">
          <cell r="F40">
            <v>96</v>
          </cell>
        </row>
        <row r="41">
          <cell r="F41">
            <v>63</v>
          </cell>
        </row>
        <row r="42">
          <cell r="F42">
            <v>27</v>
          </cell>
        </row>
        <row r="43">
          <cell r="F43">
            <v>88</v>
          </cell>
        </row>
        <row r="44">
          <cell r="F44">
            <v>71</v>
          </cell>
        </row>
        <row r="45">
          <cell r="F45">
            <v>70</v>
          </cell>
        </row>
        <row r="46">
          <cell r="F46">
            <v>31</v>
          </cell>
        </row>
        <row r="47">
          <cell r="F47">
            <v>40</v>
          </cell>
        </row>
        <row r="48">
          <cell r="F48">
            <v>49</v>
          </cell>
        </row>
        <row r="49">
          <cell r="F49">
            <v>29</v>
          </cell>
        </row>
        <row r="50">
          <cell r="F50">
            <v>58</v>
          </cell>
        </row>
        <row r="51">
          <cell r="F51">
            <v>50</v>
          </cell>
        </row>
        <row r="52">
          <cell r="F52">
            <v>98</v>
          </cell>
        </row>
        <row r="53">
          <cell r="F53">
            <v>78</v>
          </cell>
        </row>
        <row r="54">
          <cell r="F54">
            <v>38</v>
          </cell>
        </row>
        <row r="55">
          <cell r="F55">
            <v>65</v>
          </cell>
        </row>
        <row r="56">
          <cell r="F56">
            <v>50</v>
          </cell>
        </row>
        <row r="57">
          <cell r="F57">
            <v>63</v>
          </cell>
        </row>
        <row r="58">
          <cell r="F58">
            <v>93</v>
          </cell>
        </row>
        <row r="59">
          <cell r="F59">
            <v>43</v>
          </cell>
        </row>
        <row r="60">
          <cell r="F60">
            <v>87</v>
          </cell>
        </row>
        <row r="61">
          <cell r="F61">
            <v>91</v>
          </cell>
        </row>
        <row r="62">
          <cell r="F62">
            <v>72</v>
          </cell>
        </row>
        <row r="63">
          <cell r="F63">
            <v>66</v>
          </cell>
        </row>
        <row r="64">
          <cell r="F64">
            <v>50</v>
          </cell>
        </row>
        <row r="65">
          <cell r="F65">
            <v>21</v>
          </cell>
        </row>
        <row r="66">
          <cell r="F66">
            <v>59</v>
          </cell>
        </row>
        <row r="67">
          <cell r="F67">
            <v>60</v>
          </cell>
        </row>
        <row r="68">
          <cell r="F68">
            <v>49</v>
          </cell>
        </row>
        <row r="69">
          <cell r="F69">
            <v>87</v>
          </cell>
        </row>
        <row r="70">
          <cell r="F70">
            <v>27</v>
          </cell>
        </row>
        <row r="71">
          <cell r="F71">
            <v>22</v>
          </cell>
        </row>
        <row r="72">
          <cell r="F72">
            <v>28</v>
          </cell>
        </row>
        <row r="73">
          <cell r="F73">
            <v>76</v>
          </cell>
        </row>
        <row r="74">
          <cell r="F74">
            <v>45</v>
          </cell>
        </row>
        <row r="75">
          <cell r="F75">
            <v>57</v>
          </cell>
        </row>
        <row r="76">
          <cell r="F76">
            <v>51</v>
          </cell>
        </row>
        <row r="77">
          <cell r="F77">
            <v>50</v>
          </cell>
        </row>
        <row r="78">
          <cell r="F78">
            <v>61</v>
          </cell>
        </row>
        <row r="79">
          <cell r="F79">
            <v>92</v>
          </cell>
        </row>
        <row r="80">
          <cell r="F80">
            <v>62</v>
          </cell>
        </row>
        <row r="81">
          <cell r="F81">
            <v>75</v>
          </cell>
        </row>
        <row r="82">
          <cell r="F82">
            <v>82</v>
          </cell>
        </row>
        <row r="83">
          <cell r="F83">
            <v>76</v>
          </cell>
        </row>
        <row r="84">
          <cell r="F84">
            <v>24</v>
          </cell>
        </row>
        <row r="85">
          <cell r="F85">
            <v>32</v>
          </cell>
        </row>
        <row r="86">
          <cell r="F86">
            <v>67</v>
          </cell>
        </row>
        <row r="87">
          <cell r="F87">
            <v>92</v>
          </cell>
        </row>
        <row r="88">
          <cell r="F88">
            <v>26</v>
          </cell>
        </row>
        <row r="89">
          <cell r="F89">
            <v>55</v>
          </cell>
        </row>
        <row r="90">
          <cell r="F90">
            <v>100</v>
          </cell>
        </row>
        <row r="91">
          <cell r="F91">
            <v>66</v>
          </cell>
        </row>
        <row r="92">
          <cell r="F92">
            <v>26</v>
          </cell>
        </row>
        <row r="93">
          <cell r="F93">
            <v>99</v>
          </cell>
        </row>
        <row r="94">
          <cell r="F94">
            <v>95</v>
          </cell>
        </row>
        <row r="95">
          <cell r="F95">
            <v>34</v>
          </cell>
        </row>
        <row r="96">
          <cell r="F96">
            <v>70</v>
          </cell>
        </row>
        <row r="97">
          <cell r="F97">
            <v>45</v>
          </cell>
        </row>
        <row r="98">
          <cell r="F98">
            <v>41</v>
          </cell>
        </row>
        <row r="99">
          <cell r="F99">
            <v>29</v>
          </cell>
        </row>
        <row r="100">
          <cell r="F100">
            <v>98</v>
          </cell>
        </row>
        <row r="101">
          <cell r="F101">
            <v>68</v>
          </cell>
        </row>
        <row r="102">
          <cell r="F102">
            <v>77</v>
          </cell>
        </row>
        <row r="103">
          <cell r="F103">
            <v>58</v>
          </cell>
        </row>
        <row r="104">
          <cell r="F104">
            <v>49</v>
          </cell>
        </row>
        <row r="105">
          <cell r="F105">
            <v>20</v>
          </cell>
        </row>
        <row r="106">
          <cell r="F106">
            <v>28</v>
          </cell>
        </row>
        <row r="107">
          <cell r="F107">
            <v>24</v>
          </cell>
        </row>
        <row r="108">
          <cell r="F108">
            <v>85</v>
          </cell>
        </row>
        <row r="109">
          <cell r="F109">
            <v>83</v>
          </cell>
        </row>
      </sheetData>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1"/>
    </sheetNames>
    <sheetDataSet>
      <sheetData sheetId="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utures"/>
      <sheetName val="Hedging"/>
      <sheetName val="correl0"/>
      <sheetName val="correl1"/>
      <sheetName val="VaR0"/>
      <sheetName val="VaR1"/>
      <sheetName val="VaR_HW_Q1"/>
      <sheetName val="VaR_HW_Q2"/>
      <sheetName val="VaR2"/>
      <sheetName val="TailVaR"/>
      <sheetName val="VaR3"/>
      <sheetName val="VaR4"/>
      <sheetName val="VaR_HW3.4_Q"/>
    </sheetNames>
    <sheetDataSet>
      <sheetData sheetId="0"/>
      <sheetData sheetId="1"/>
      <sheetData sheetId="2"/>
      <sheetData sheetId="3"/>
      <sheetData sheetId="4"/>
      <sheetData sheetId="5">
        <row r="17">
          <cell r="H17">
            <v>-3.6363636363636376E-2</v>
          </cell>
          <cell r="I17">
            <v>3.2516709562501356E-2</v>
          </cell>
        </row>
        <row r="18">
          <cell r="H18">
            <v>0.1132075471698113</v>
          </cell>
          <cell r="I18">
            <v>-4.0586289431595063E-2</v>
          </cell>
        </row>
        <row r="19">
          <cell r="H19">
            <v>-1.8867924528301883E-2</v>
          </cell>
          <cell r="I19">
            <v>-2.2187918686682403E-2</v>
          </cell>
        </row>
        <row r="20">
          <cell r="H20">
            <v>-0.15517241379310343</v>
          </cell>
          <cell r="I20">
            <v>0.22313235783212448</v>
          </cell>
        </row>
        <row r="21">
          <cell r="H21">
            <v>1.7543859649122862E-2</v>
          </cell>
          <cell r="I21">
            <v>-0.10359504133778916</v>
          </cell>
        </row>
        <row r="22">
          <cell r="H22">
            <v>0</v>
          </cell>
          <cell r="I22">
            <v>-4.9684937252572885E-2</v>
          </cell>
        </row>
        <row r="23">
          <cell r="H23">
            <v>-1.7857142857142905E-2</v>
          </cell>
          <cell r="I23">
            <v>-3.4166132493525486E-2</v>
          </cell>
        </row>
        <row r="24">
          <cell r="H24">
            <v>6.0000000000000053E-2</v>
          </cell>
          <cell r="I24">
            <v>-4.8800650094181393E-2</v>
          </cell>
        </row>
        <row r="25">
          <cell r="H25">
            <v>-6.6666666666666652E-2</v>
          </cell>
          <cell r="I25">
            <v>-4.5388084546080953E-2</v>
          </cell>
        </row>
        <row r="26">
          <cell r="H26">
            <v>-5.6603773584905648E-2</v>
          </cell>
          <cell r="I26">
            <v>0.14069208065733768</v>
          </cell>
        </row>
        <row r="27">
          <cell r="H27">
            <v>-4.9180327868852514E-2</v>
          </cell>
          <cell r="I27">
            <v>4.5036722262372569E-2</v>
          </cell>
        </row>
        <row r="28">
          <cell r="H28">
            <v>1.6666666666666607E-2</v>
          </cell>
          <cell r="I28">
            <v>-0.10534587003560378</v>
          </cell>
        </row>
        <row r="29">
          <cell r="H29">
            <v>-5.6603773584905648E-2</v>
          </cell>
          <cell r="I29">
            <v>1.1898991548554574E-2</v>
          </cell>
        </row>
        <row r="30">
          <cell r="H30">
            <v>0</v>
          </cell>
          <cell r="I30">
            <v>-2.9480587852581553E-2</v>
          </cell>
        </row>
        <row r="31">
          <cell r="H31">
            <v>-0.1166666666666667</v>
          </cell>
          <cell r="I31">
            <v>-3.4688756094486219E-2</v>
          </cell>
        </row>
        <row r="32">
          <cell r="H32">
            <v>1.7543859649122862E-2</v>
          </cell>
          <cell r="I32">
            <v>6.9476726149094392E-2</v>
          </cell>
        </row>
        <row r="33">
          <cell r="H33">
            <v>-0.1166666666666667</v>
          </cell>
          <cell r="I33">
            <v>-3.6415398644723197E-3</v>
          </cell>
        </row>
        <row r="34">
          <cell r="H34">
            <v>-6.6666666666666652E-2</v>
          </cell>
          <cell r="I34">
            <v>2.2922883522629181E-2</v>
          </cell>
        </row>
        <row r="35">
          <cell r="H35">
            <v>-0.15517241379310343</v>
          </cell>
          <cell r="I35">
            <v>5.8477964235309939E-2</v>
          </cell>
        </row>
        <row r="36">
          <cell r="H36">
            <v>6.0000000000000053E-2</v>
          </cell>
          <cell r="I36">
            <v>5.5148038961288996E-2</v>
          </cell>
        </row>
        <row r="37">
          <cell r="H37">
            <v>0</v>
          </cell>
          <cell r="I37">
            <v>1.9117214838887859E-2</v>
          </cell>
        </row>
      </sheetData>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drive.google.com/open?id=1o9RFGzMv2TocqkVPJkOySkNExi4VJsUw"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drive.google.com/file/d/0B46op8AajwqfWXJNUktTbm5nTWc/view?usp=sharing" TargetMode="External"/></Relationships>
</file>

<file path=xl/worksheets/_rels/sheet18.xml.rels><?xml version="1.0" encoding="UTF-8" standalone="yes"?>
<Relationships xmlns="http://schemas.openxmlformats.org/package/2006/relationships"><Relationship Id="rId1" Type="http://schemas.openxmlformats.org/officeDocument/2006/relationships/hyperlink" Target="http://www.double-entry-bookkeeping.com/other-long-term-debt/outstanding-loan-balance/" TargetMode="External"/></Relationships>
</file>

<file path=xl/worksheets/_rels/sheet20.xml.rels><?xml version="1.0" encoding="UTF-8" standalone="yes"?>
<Relationships xmlns="http://schemas.openxmlformats.org/package/2006/relationships"><Relationship Id="rId1" Type="http://schemas.openxmlformats.org/officeDocument/2006/relationships/hyperlink" Target="https://drive.google.com/file/d/0B46op8AajwqfWXJNUktTbm5nTWc/view?usp=sharing" TargetMode="Externa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C20"/>
  <sheetViews>
    <sheetView tabSelected="1" workbookViewId="0"/>
  </sheetViews>
  <sheetFormatPr baseColWidth="10" defaultRowHeight="29" x14ac:dyDescent="0.35"/>
  <cols>
    <col min="1" max="16384" width="10.83203125" style="1"/>
  </cols>
  <sheetData>
    <row r="2" spans="2:3" x14ac:dyDescent="0.35">
      <c r="B2" s="1" t="s">
        <v>0</v>
      </c>
    </row>
    <row r="3" spans="2:3" x14ac:dyDescent="0.35">
      <c r="C3" s="1" t="s">
        <v>254</v>
      </c>
    </row>
    <row r="4" spans="2:3" x14ac:dyDescent="0.35">
      <c r="C4" s="1" t="s">
        <v>4</v>
      </c>
    </row>
    <row r="5" spans="2:3" x14ac:dyDescent="0.35">
      <c r="C5" s="1" t="s">
        <v>130</v>
      </c>
    </row>
    <row r="7" spans="2:3" x14ac:dyDescent="0.35">
      <c r="B7" s="1" t="s">
        <v>124</v>
      </c>
    </row>
    <row r="8" spans="2:3" x14ac:dyDescent="0.35">
      <c r="C8" s="1" t="s">
        <v>125</v>
      </c>
    </row>
    <row r="9" spans="2:3" x14ac:dyDescent="0.35">
      <c r="C9" s="1" t="s">
        <v>126</v>
      </c>
    </row>
    <row r="10" spans="2:3" x14ac:dyDescent="0.35">
      <c r="C10" s="1" t="s">
        <v>128</v>
      </c>
    </row>
    <row r="12" spans="2:3" x14ac:dyDescent="0.35">
      <c r="B12" s="1" t="s">
        <v>147</v>
      </c>
    </row>
    <row r="14" spans="2:3" x14ac:dyDescent="0.35">
      <c r="B14" s="1" t="s">
        <v>127</v>
      </c>
    </row>
    <row r="16" spans="2:3" x14ac:dyDescent="0.35">
      <c r="B16" s="1" t="s">
        <v>1</v>
      </c>
    </row>
    <row r="18" spans="2:2" x14ac:dyDescent="0.35">
      <c r="B18" s="1" t="s">
        <v>2</v>
      </c>
    </row>
    <row r="20" spans="2:2" x14ac:dyDescent="0.35">
      <c r="B20" s="1" t="s">
        <v>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AD611-CCEB-CC4D-9B0C-D7E9769EEC74}">
  <sheetPr>
    <tabColor rgb="FFFF0000"/>
  </sheetPr>
  <dimension ref="A1:I30"/>
  <sheetViews>
    <sheetView zoomScale="90" zoomScaleNormal="90" workbookViewId="0"/>
  </sheetViews>
  <sheetFormatPr baseColWidth="10" defaultColWidth="8.83203125" defaultRowHeight="24" x14ac:dyDescent="0.3"/>
  <cols>
    <col min="1" max="1" width="8.83203125" style="31"/>
    <col min="2" max="2" width="14.1640625" style="31" customWidth="1"/>
    <col min="3" max="16384" width="8.83203125" style="31"/>
  </cols>
  <sheetData>
    <row r="1" spans="1:3" x14ac:dyDescent="0.3">
      <c r="A1" s="40" t="s">
        <v>312</v>
      </c>
    </row>
    <row r="2" spans="1:3" x14ac:dyDescent="0.3">
      <c r="B2" s="31" t="s">
        <v>173</v>
      </c>
    </row>
    <row r="3" spans="1:3" x14ac:dyDescent="0.3">
      <c r="B3" s="34" t="s">
        <v>172</v>
      </c>
    </row>
    <row r="4" spans="1:3" x14ac:dyDescent="0.3">
      <c r="B4" s="34" t="s">
        <v>304</v>
      </c>
    </row>
    <row r="5" spans="1:3" x14ac:dyDescent="0.3">
      <c r="B5" s="34" t="s">
        <v>305</v>
      </c>
    </row>
    <row r="7" spans="1:3" x14ac:dyDescent="0.3">
      <c r="B7" s="31" t="s">
        <v>171</v>
      </c>
    </row>
    <row r="8" spans="1:3" x14ac:dyDescent="0.3">
      <c r="B8" s="31" t="s">
        <v>170</v>
      </c>
    </row>
    <row r="9" spans="1:3" x14ac:dyDescent="0.3">
      <c r="B9" s="31" t="s">
        <v>169</v>
      </c>
    </row>
    <row r="14" spans="1:3" x14ac:dyDescent="0.3">
      <c r="C14" s="31" t="s">
        <v>168</v>
      </c>
    </row>
    <row r="15" spans="1:3" ht="28" x14ac:dyDescent="0.35">
      <c r="C15" s="31" t="s">
        <v>178</v>
      </c>
    </row>
    <row r="17" spans="2:9" x14ac:dyDescent="0.3">
      <c r="B17" s="31" t="s">
        <v>167</v>
      </c>
    </row>
    <row r="18" spans="2:9" x14ac:dyDescent="0.3">
      <c r="B18" s="31" t="s">
        <v>160</v>
      </c>
      <c r="D18" s="31" t="s">
        <v>166</v>
      </c>
      <c r="I18" s="33" t="s">
        <v>177</v>
      </c>
    </row>
    <row r="19" spans="2:9" x14ac:dyDescent="0.3">
      <c r="B19" s="31" t="s">
        <v>159</v>
      </c>
      <c r="D19" s="31" t="s">
        <v>165</v>
      </c>
      <c r="I19" s="33" t="s">
        <v>176</v>
      </c>
    </row>
    <row r="20" spans="2:9" x14ac:dyDescent="0.3">
      <c r="B20" s="31" t="s">
        <v>158</v>
      </c>
      <c r="D20" s="31" t="s">
        <v>164</v>
      </c>
      <c r="I20" s="33" t="s">
        <v>175</v>
      </c>
    </row>
    <row r="21" spans="2:9" x14ac:dyDescent="0.3">
      <c r="B21" s="31" t="s">
        <v>157</v>
      </c>
      <c r="D21" s="31" t="s">
        <v>163</v>
      </c>
      <c r="I21" s="33" t="s">
        <v>174</v>
      </c>
    </row>
    <row r="22" spans="2:9" x14ac:dyDescent="0.3">
      <c r="B22" s="31" t="s">
        <v>156</v>
      </c>
      <c r="D22" s="31" t="s">
        <v>162</v>
      </c>
      <c r="I22" s="33" t="s">
        <v>162</v>
      </c>
    </row>
    <row r="24" spans="2:9" x14ac:dyDescent="0.3">
      <c r="B24" s="31" t="s">
        <v>161</v>
      </c>
    </row>
    <row r="26" spans="2:9" x14ac:dyDescent="0.3">
      <c r="B26" s="31" t="s">
        <v>160</v>
      </c>
      <c r="C26" s="32">
        <v>1.2</v>
      </c>
    </row>
    <row r="27" spans="2:9" x14ac:dyDescent="0.3">
      <c r="B27" s="31" t="s">
        <v>159</v>
      </c>
      <c r="C27" s="32">
        <v>1.4</v>
      </c>
    </row>
    <row r="28" spans="2:9" x14ac:dyDescent="0.3">
      <c r="B28" s="31" t="s">
        <v>158</v>
      </c>
      <c r="C28" s="32">
        <v>3.3</v>
      </c>
    </row>
    <row r="29" spans="2:9" x14ac:dyDescent="0.3">
      <c r="B29" s="31" t="s">
        <v>157</v>
      </c>
      <c r="C29" s="32">
        <v>0.6</v>
      </c>
    </row>
    <row r="30" spans="2:9" x14ac:dyDescent="0.3">
      <c r="B30" s="31" t="s">
        <v>156</v>
      </c>
      <c r="C30" s="32">
        <v>1</v>
      </c>
    </row>
  </sheetData>
  <hyperlinks>
    <hyperlink ref="A1" r:id="rId1" display="More on fitting the model" xr:uid="{A76013EB-064A-7143-AEF8-B4CCDA33F15F}"/>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B4533-DDA2-1A4D-B5A3-0C594BCEB7B3}">
  <sheetPr>
    <tabColor rgb="FFFF0000"/>
  </sheetPr>
  <dimension ref="B15:G21"/>
  <sheetViews>
    <sheetView workbookViewId="0"/>
  </sheetViews>
  <sheetFormatPr baseColWidth="10" defaultRowHeight="26" x14ac:dyDescent="0.3"/>
  <cols>
    <col min="1" max="1" width="10.83203125" style="35"/>
    <col min="2" max="2" width="13.33203125" style="35" bestFit="1" customWidth="1"/>
    <col min="3" max="3" width="12.33203125" style="35" customWidth="1"/>
    <col min="4" max="4" width="10.83203125" style="35"/>
    <col min="5" max="5" width="13.1640625" style="35" bestFit="1" customWidth="1"/>
    <col min="6" max="6" width="2.6640625" style="35" bestFit="1" customWidth="1"/>
    <col min="7" max="7" width="11.5" style="35" bestFit="1" customWidth="1"/>
    <col min="8" max="16384" width="10.83203125" style="35"/>
  </cols>
  <sheetData>
    <row r="15" spans="2:7" x14ac:dyDescent="0.3">
      <c r="B15" s="31" t="s">
        <v>160</v>
      </c>
      <c r="C15" s="32">
        <v>1.2</v>
      </c>
      <c r="E15" s="35">
        <v>170000</v>
      </c>
      <c r="F15" s="35" t="s">
        <v>180</v>
      </c>
      <c r="G15" s="35">
        <v>670000</v>
      </c>
    </row>
    <row r="16" spans="2:7" x14ac:dyDescent="0.3">
      <c r="B16" s="31" t="s">
        <v>159</v>
      </c>
      <c r="C16" s="32">
        <v>1.4</v>
      </c>
      <c r="E16" s="35">
        <v>300000</v>
      </c>
      <c r="F16" s="35" t="s">
        <v>180</v>
      </c>
      <c r="G16" s="35">
        <v>670000</v>
      </c>
    </row>
    <row r="17" spans="2:7" x14ac:dyDescent="0.3">
      <c r="B17" s="31" t="s">
        <v>158</v>
      </c>
      <c r="C17" s="32">
        <v>3.3</v>
      </c>
      <c r="E17" s="35">
        <v>60000</v>
      </c>
      <c r="F17" s="35" t="s">
        <v>180</v>
      </c>
      <c r="G17" s="35">
        <v>670000</v>
      </c>
    </row>
    <row r="18" spans="2:7" x14ac:dyDescent="0.3">
      <c r="B18" s="31" t="s">
        <v>157</v>
      </c>
      <c r="C18" s="32">
        <v>0.6</v>
      </c>
      <c r="E18" s="35">
        <v>380000</v>
      </c>
      <c r="F18" s="35" t="s">
        <v>180</v>
      </c>
      <c r="G18" s="35">
        <v>240000</v>
      </c>
    </row>
    <row r="19" spans="2:7" x14ac:dyDescent="0.3">
      <c r="B19" s="31" t="s">
        <v>156</v>
      </c>
      <c r="C19" s="32">
        <v>1</v>
      </c>
      <c r="E19" s="35">
        <v>2200000</v>
      </c>
      <c r="F19" s="35" t="s">
        <v>180</v>
      </c>
      <c r="G19" s="35">
        <v>670000</v>
      </c>
    </row>
    <row r="21" spans="2:7" x14ac:dyDescent="0.3">
      <c r="E21" s="35" t="s">
        <v>179</v>
      </c>
      <c r="G21" s="36">
        <f t="array" ref="G21">SUM(C15:C19*E15:E19/G15:G19)</f>
        <v>5.4604477611940307</v>
      </c>
    </row>
  </sheetData>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sheetPr>
  <dimension ref="B2:N109"/>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16384" width="8.83203125" style="2"/>
  </cols>
  <sheetData>
    <row r="2" spans="2:14" x14ac:dyDescent="0.2">
      <c r="B2" s="2">
        <v>0</v>
      </c>
      <c r="C2" s="2" t="s">
        <v>99</v>
      </c>
    </row>
    <row r="3" spans="2:14" x14ac:dyDescent="0.2">
      <c r="B3" s="2">
        <v>0.2</v>
      </c>
      <c r="C3" s="2" t="s">
        <v>97</v>
      </c>
    </row>
    <row r="4" spans="2:14" x14ac:dyDescent="0.2">
      <c r="B4" s="2">
        <v>0.4</v>
      </c>
      <c r="C4" s="2" t="s">
        <v>95</v>
      </c>
    </row>
    <row r="5" spans="2:14" x14ac:dyDescent="0.2">
      <c r="B5" s="2">
        <v>0.6</v>
      </c>
      <c r="C5" s="2" t="s">
        <v>93</v>
      </c>
    </row>
    <row r="6" spans="2:14" x14ac:dyDescent="0.2">
      <c r="B6" s="2">
        <v>0.8</v>
      </c>
      <c r="C6" s="2" t="s">
        <v>91</v>
      </c>
    </row>
    <row r="7" spans="2:14" x14ac:dyDescent="0.2">
      <c r="B7" s="2">
        <v>1</v>
      </c>
      <c r="C7" s="2" t="s">
        <v>89</v>
      </c>
    </row>
    <row r="8" spans="2:14" x14ac:dyDescent="0.2">
      <c r="H8" s="2" t="s">
        <v>116</v>
      </c>
    </row>
    <row r="9" spans="2:14" x14ac:dyDescent="0.2">
      <c r="B9" s="2" t="s">
        <v>115</v>
      </c>
      <c r="C9" s="2" t="s">
        <v>114</v>
      </c>
      <c r="D9" s="2" t="s">
        <v>113</v>
      </c>
      <c r="E9" s="2" t="s">
        <v>112</v>
      </c>
      <c r="I9" s="13" t="s">
        <v>99</v>
      </c>
      <c r="J9" s="13" t="s">
        <v>97</v>
      </c>
      <c r="K9" s="13" t="s">
        <v>95</v>
      </c>
      <c r="L9" s="13" t="s">
        <v>93</v>
      </c>
      <c r="M9" s="13" t="s">
        <v>91</v>
      </c>
      <c r="N9" s="13" t="s">
        <v>89</v>
      </c>
    </row>
    <row r="10" spans="2:14" x14ac:dyDescent="0.2">
      <c r="B10" s="2" t="s">
        <v>111</v>
      </c>
      <c r="C10" s="2">
        <f t="shared" ref="C10:C41" ca="1" si="0">RAND()</f>
        <v>0.41969313547471154</v>
      </c>
      <c r="D10" s="2" t="str">
        <f t="shared" ref="D10:D41" ca="1" si="1">VLOOKUP(C10,ratingsTbl,2,1)</f>
        <v>C</v>
      </c>
      <c r="E10" s="2" t="str">
        <f t="shared" ref="E10:E41" ca="1" si="2">IFERROR(VLOOKUP(C10+(RAND()-0.25)/2,ratingsTbl,2,1),"A")</f>
        <v>D</v>
      </c>
      <c r="H10" s="2" t="s">
        <v>99</v>
      </c>
      <c r="I10" s="21">
        <f t="shared" ref="I10:N15" ca="1" si="3">COUNTIFS(RatingLast,$H10,RatingNow,I$9)</f>
        <v>9</v>
      </c>
      <c r="J10" s="20">
        <f t="shared" ca="1" si="3"/>
        <v>7</v>
      </c>
      <c r="K10" s="20">
        <f t="shared" ca="1" si="3"/>
        <v>3</v>
      </c>
      <c r="L10" s="20">
        <f t="shared" ca="1" si="3"/>
        <v>0</v>
      </c>
      <c r="M10" s="20">
        <f t="shared" ca="1" si="3"/>
        <v>0</v>
      </c>
      <c r="N10" s="19">
        <f t="shared" ca="1" si="3"/>
        <v>0</v>
      </c>
    </row>
    <row r="11" spans="2:14" x14ac:dyDescent="0.2">
      <c r="B11" s="2" t="s">
        <v>110</v>
      </c>
      <c r="C11" s="2">
        <f t="shared" ca="1" si="0"/>
        <v>0.66933867000547542</v>
      </c>
      <c r="D11" s="2" t="str">
        <f t="shared" ca="1" si="1"/>
        <v>D</v>
      </c>
      <c r="E11" s="2" t="str">
        <f t="shared" ca="1" si="2"/>
        <v>D</v>
      </c>
      <c r="H11" s="2" t="s">
        <v>97</v>
      </c>
      <c r="I11" s="18">
        <f t="shared" ca="1" si="3"/>
        <v>3</v>
      </c>
      <c r="J11" s="2">
        <f t="shared" ca="1" si="3"/>
        <v>8</v>
      </c>
      <c r="K11" s="2">
        <f t="shared" ca="1" si="3"/>
        <v>13</v>
      </c>
      <c r="L11" s="2">
        <f t="shared" ca="1" si="3"/>
        <v>3</v>
      </c>
      <c r="M11" s="2">
        <f t="shared" ca="1" si="3"/>
        <v>0</v>
      </c>
      <c r="N11" s="17">
        <f t="shared" ca="1" si="3"/>
        <v>0</v>
      </c>
    </row>
    <row r="12" spans="2:14" x14ac:dyDescent="0.2">
      <c r="B12" s="2" t="s">
        <v>109</v>
      </c>
      <c r="C12" s="2">
        <f t="shared" ca="1" si="0"/>
        <v>9.0082644339893214E-2</v>
      </c>
      <c r="D12" s="2" t="str">
        <f t="shared" ca="1" si="1"/>
        <v>A</v>
      </c>
      <c r="E12" s="2" t="str">
        <f t="shared" ca="1" si="2"/>
        <v>B</v>
      </c>
      <c r="H12" s="2" t="s">
        <v>95</v>
      </c>
      <c r="I12" s="18">
        <f t="shared" ca="1" si="3"/>
        <v>0</v>
      </c>
      <c r="J12" s="2">
        <f t="shared" ca="1" si="3"/>
        <v>3</v>
      </c>
      <c r="K12" s="2">
        <f t="shared" ca="1" si="3"/>
        <v>10</v>
      </c>
      <c r="L12" s="2">
        <f t="shared" ca="1" si="3"/>
        <v>5</v>
      </c>
      <c r="M12" s="2">
        <f t="shared" ca="1" si="3"/>
        <v>0</v>
      </c>
      <c r="N12" s="17">
        <f t="shared" ca="1" si="3"/>
        <v>0</v>
      </c>
    </row>
    <row r="13" spans="2:14" x14ac:dyDescent="0.2">
      <c r="B13" s="2" t="s">
        <v>108</v>
      </c>
      <c r="C13" s="2">
        <f t="shared" ca="1" si="0"/>
        <v>7.5835224924759692E-2</v>
      </c>
      <c r="D13" s="2" t="str">
        <f t="shared" ca="1" si="1"/>
        <v>A</v>
      </c>
      <c r="E13" s="2" t="str">
        <f t="shared" ca="1" si="2"/>
        <v>B</v>
      </c>
      <c r="H13" s="2" t="s">
        <v>93</v>
      </c>
      <c r="I13" s="18">
        <f t="shared" ca="1" si="3"/>
        <v>0</v>
      </c>
      <c r="J13" s="2">
        <f t="shared" ca="1" si="3"/>
        <v>0</v>
      </c>
      <c r="K13" s="2">
        <f t="shared" ca="1" si="3"/>
        <v>6</v>
      </c>
      <c r="L13" s="2">
        <f t="shared" ca="1" si="3"/>
        <v>8</v>
      </c>
      <c r="M13" s="2">
        <f t="shared" ca="1" si="3"/>
        <v>3</v>
      </c>
      <c r="N13" s="17">
        <f t="shared" ca="1" si="3"/>
        <v>1</v>
      </c>
    </row>
    <row r="14" spans="2:14" x14ac:dyDescent="0.2">
      <c r="B14" s="2" t="s">
        <v>107</v>
      </c>
      <c r="C14" s="2">
        <f t="shared" ca="1" si="0"/>
        <v>0.17468848674082693</v>
      </c>
      <c r="D14" s="2" t="str">
        <f t="shared" ca="1" si="1"/>
        <v>A</v>
      </c>
      <c r="E14" s="2" t="str">
        <f t="shared" ca="1" si="2"/>
        <v>C</v>
      </c>
      <c r="H14" s="2" t="s">
        <v>91</v>
      </c>
      <c r="I14" s="18">
        <f t="shared" ca="1" si="3"/>
        <v>0</v>
      </c>
      <c r="J14" s="2">
        <f t="shared" ca="1" si="3"/>
        <v>0</v>
      </c>
      <c r="K14" s="2">
        <f t="shared" ca="1" si="3"/>
        <v>0</v>
      </c>
      <c r="L14" s="2">
        <f t="shared" ca="1" si="3"/>
        <v>0</v>
      </c>
      <c r="M14" s="2">
        <f t="shared" ca="1" si="3"/>
        <v>7</v>
      </c>
      <c r="N14" s="17">
        <f t="shared" ca="1" si="3"/>
        <v>11</v>
      </c>
    </row>
    <row r="15" spans="2:14" x14ac:dyDescent="0.2">
      <c r="B15" s="2" t="s">
        <v>106</v>
      </c>
      <c r="C15" s="2">
        <f t="shared" ca="1" si="0"/>
        <v>0.94702075997048918</v>
      </c>
      <c r="D15" s="2" t="str">
        <f t="shared" ca="1" si="1"/>
        <v>E</v>
      </c>
      <c r="E15" s="2" t="str">
        <f t="shared" ca="1" si="2"/>
        <v>F</v>
      </c>
      <c r="H15" s="2" t="s">
        <v>89</v>
      </c>
      <c r="I15" s="16">
        <f t="shared" ca="1" si="3"/>
        <v>0</v>
      </c>
      <c r="J15" s="15">
        <f t="shared" ca="1" si="3"/>
        <v>0</v>
      </c>
      <c r="K15" s="15">
        <f t="shared" ca="1" si="3"/>
        <v>0</v>
      </c>
      <c r="L15" s="15">
        <f t="shared" ca="1" si="3"/>
        <v>0</v>
      </c>
      <c r="M15" s="15">
        <f t="shared" ca="1" si="3"/>
        <v>0</v>
      </c>
      <c r="N15" s="14">
        <f t="shared" ca="1" si="3"/>
        <v>0</v>
      </c>
    </row>
    <row r="16" spans="2:14" x14ac:dyDescent="0.2">
      <c r="B16" s="2" t="s">
        <v>105</v>
      </c>
      <c r="C16" s="2">
        <f t="shared" ca="1" si="0"/>
        <v>0.37823030445445527</v>
      </c>
      <c r="D16" s="2" t="str">
        <f t="shared" ca="1" si="1"/>
        <v>B</v>
      </c>
      <c r="E16" s="2" t="str">
        <f t="shared" ca="1" si="2"/>
        <v>C</v>
      </c>
    </row>
    <row r="17" spans="2:14" x14ac:dyDescent="0.2">
      <c r="B17" s="2" t="s">
        <v>104</v>
      </c>
      <c r="C17" s="2">
        <f t="shared" ca="1" si="0"/>
        <v>0.42212627570860972</v>
      </c>
      <c r="D17" s="2" t="str">
        <f t="shared" ca="1" si="1"/>
        <v>C</v>
      </c>
      <c r="E17" s="2" t="str">
        <f t="shared" ca="1" si="2"/>
        <v>B</v>
      </c>
    </row>
    <row r="18" spans="2:14" x14ac:dyDescent="0.2">
      <c r="B18" s="2" t="s">
        <v>103</v>
      </c>
      <c r="C18" s="2">
        <f t="shared" ca="1" si="0"/>
        <v>0.68089128884704198</v>
      </c>
      <c r="D18" s="2" t="str">
        <f t="shared" ca="1" si="1"/>
        <v>D</v>
      </c>
      <c r="E18" s="2" t="str">
        <f t="shared" ca="1" si="2"/>
        <v>C</v>
      </c>
      <c r="H18" s="2" t="s">
        <v>102</v>
      </c>
    </row>
    <row r="19" spans="2:14" x14ac:dyDescent="0.2">
      <c r="B19" s="2" t="s">
        <v>101</v>
      </c>
      <c r="C19" s="2">
        <f t="shared" ca="1" si="0"/>
        <v>0.3459313668151105</v>
      </c>
      <c r="D19" s="2" t="str">
        <f t="shared" ca="1" si="1"/>
        <v>B</v>
      </c>
      <c r="E19" s="2" t="str">
        <f t="shared" ca="1" si="2"/>
        <v>D</v>
      </c>
      <c r="I19" s="13" t="s">
        <v>99</v>
      </c>
      <c r="J19" s="13" t="s">
        <v>97</v>
      </c>
      <c r="K19" s="13" t="s">
        <v>95</v>
      </c>
      <c r="L19" s="13" t="s">
        <v>93</v>
      </c>
      <c r="M19" s="13" t="s">
        <v>91</v>
      </c>
      <c r="N19" s="13" t="s">
        <v>89</v>
      </c>
    </row>
    <row r="20" spans="2:14" ht="16" x14ac:dyDescent="0.2">
      <c r="B20" s="2" t="s">
        <v>100</v>
      </c>
      <c r="C20" s="2">
        <f t="shared" ca="1" si="0"/>
        <v>3.8662384959382234E-2</v>
      </c>
      <c r="D20" s="2" t="str">
        <f t="shared" ca="1" si="1"/>
        <v>A</v>
      </c>
      <c r="E20" s="2" t="str">
        <f t="shared" ca="1" si="2"/>
        <v>A</v>
      </c>
      <c r="H20" s="2" t="s">
        <v>99</v>
      </c>
      <c r="I20" s="12">
        <f t="array" aca="1" ref="I20:N20" ca="1">I10:N10/SUM(I10:N10)</f>
        <v>0.47368421052631576</v>
      </c>
      <c r="J20" s="11">
        <f ca="1"/>
        <v>0.36842105263157893</v>
      </c>
      <c r="K20" s="11">
        <f ca="1"/>
        <v>0.15789473684210525</v>
      </c>
      <c r="L20" s="11">
        <f ca="1"/>
        <v>0</v>
      </c>
      <c r="M20" s="11">
        <f ca="1"/>
        <v>0</v>
      </c>
      <c r="N20" s="10">
        <f ca="1"/>
        <v>0</v>
      </c>
    </row>
    <row r="21" spans="2:14" ht="16" x14ac:dyDescent="0.2">
      <c r="B21" s="2" t="s">
        <v>98</v>
      </c>
      <c r="C21" s="2">
        <f t="shared" ca="1" si="0"/>
        <v>0.65322298567052173</v>
      </c>
      <c r="D21" s="2" t="str">
        <f t="shared" ca="1" si="1"/>
        <v>D</v>
      </c>
      <c r="E21" s="2" t="str">
        <f t="shared" ca="1" si="2"/>
        <v>E</v>
      </c>
      <c r="H21" s="2" t="s">
        <v>97</v>
      </c>
      <c r="I21" s="9">
        <f t="array" aca="1" ref="I21:N21" ca="1">I11:N11/SUM(I11:N11)</f>
        <v>0.1111111111111111</v>
      </c>
      <c r="J21" s="7">
        <f ca="1"/>
        <v>0.29629629629629628</v>
      </c>
      <c r="K21" s="8">
        <f ca="1"/>
        <v>0.48148148148148145</v>
      </c>
      <c r="L21" s="8">
        <f ca="1"/>
        <v>0.1111111111111111</v>
      </c>
      <c r="M21" s="8">
        <f ca="1"/>
        <v>0</v>
      </c>
      <c r="N21" s="6">
        <f ca="1"/>
        <v>0</v>
      </c>
    </row>
    <row r="22" spans="2:14" ht="16" x14ac:dyDescent="0.2">
      <c r="B22" s="2" t="s">
        <v>96</v>
      </c>
      <c r="C22" s="2">
        <f t="shared" ca="1" si="0"/>
        <v>0.68174578786367135</v>
      </c>
      <c r="D22" s="2" t="str">
        <f t="shared" ca="1" si="1"/>
        <v>D</v>
      </c>
      <c r="E22" s="2" t="str">
        <f t="shared" ca="1" si="2"/>
        <v>C</v>
      </c>
      <c r="H22" s="2" t="s">
        <v>95</v>
      </c>
      <c r="I22" s="9">
        <f t="array" aca="1" ref="I22:N22" ca="1">I12:N12/SUM(I12:N12)</f>
        <v>0</v>
      </c>
      <c r="J22" s="8">
        <f ca="1"/>
        <v>0.16666666666666666</v>
      </c>
      <c r="K22" s="7">
        <f ca="1"/>
        <v>0.55555555555555558</v>
      </c>
      <c r="L22" s="8">
        <f ca="1"/>
        <v>0.27777777777777779</v>
      </c>
      <c r="M22" s="8">
        <f ca="1"/>
        <v>0</v>
      </c>
      <c r="N22" s="6">
        <f ca="1"/>
        <v>0</v>
      </c>
    </row>
    <row r="23" spans="2:14" ht="16" x14ac:dyDescent="0.2">
      <c r="B23" s="2" t="s">
        <v>94</v>
      </c>
      <c r="C23" s="2">
        <f t="shared" ca="1" si="0"/>
        <v>0.28203648014802785</v>
      </c>
      <c r="D23" s="2" t="str">
        <f t="shared" ca="1" si="1"/>
        <v>B</v>
      </c>
      <c r="E23" s="2" t="str">
        <f t="shared" ca="1" si="2"/>
        <v>B</v>
      </c>
      <c r="H23" s="2" t="s">
        <v>93</v>
      </c>
      <c r="I23" s="9">
        <f t="array" aca="1" ref="I23:N23" ca="1">I13:N13/SUM(I13:N13)</f>
        <v>0</v>
      </c>
      <c r="J23" s="8">
        <f ca="1"/>
        <v>0</v>
      </c>
      <c r="K23" s="8">
        <f ca="1"/>
        <v>0.33333333333333331</v>
      </c>
      <c r="L23" s="7">
        <f ca="1"/>
        <v>0.44444444444444442</v>
      </c>
      <c r="M23" s="8">
        <f ca="1"/>
        <v>0.16666666666666666</v>
      </c>
      <c r="N23" s="6">
        <f ca="1"/>
        <v>5.5555555555555552E-2</v>
      </c>
    </row>
    <row r="24" spans="2:14" ht="16" x14ac:dyDescent="0.2">
      <c r="B24" s="2" t="s">
        <v>92</v>
      </c>
      <c r="C24" s="2">
        <f t="shared" ca="1" si="0"/>
        <v>0.36620546480815153</v>
      </c>
      <c r="D24" s="2" t="str">
        <f t="shared" ca="1" si="1"/>
        <v>B</v>
      </c>
      <c r="E24" s="2" t="str">
        <f t="shared" ca="1" si="2"/>
        <v>B</v>
      </c>
      <c r="H24" s="2" t="s">
        <v>91</v>
      </c>
      <c r="I24" s="9">
        <f t="array" aca="1" ref="I24:N24" ca="1">I14:N14/SUM(I14:N14)</f>
        <v>0</v>
      </c>
      <c r="J24" s="8">
        <f ca="1"/>
        <v>0</v>
      </c>
      <c r="K24" s="8">
        <f ca="1"/>
        <v>0</v>
      </c>
      <c r="L24" s="8">
        <f ca="1"/>
        <v>0</v>
      </c>
      <c r="M24" s="7">
        <f ca="1"/>
        <v>0.3888888888888889</v>
      </c>
      <c r="N24" s="6">
        <f ca="1"/>
        <v>0.61111111111111116</v>
      </c>
    </row>
    <row r="25" spans="2:14" ht="16" x14ac:dyDescent="0.2">
      <c r="B25" s="2" t="s">
        <v>90</v>
      </c>
      <c r="C25" s="2">
        <f t="shared" ca="1" si="0"/>
        <v>0.22126076846623</v>
      </c>
      <c r="D25" s="2" t="str">
        <f t="shared" ca="1" si="1"/>
        <v>B</v>
      </c>
      <c r="E25" s="2" t="str">
        <f t="shared" ca="1" si="2"/>
        <v>A</v>
      </c>
      <c r="H25" s="2" t="s">
        <v>89</v>
      </c>
      <c r="I25" s="5">
        <f t="array" aca="1" ref="I25:N25" ca="1">IFERROR(I15:N15/SUM(I15:N15),0)</f>
        <v>0</v>
      </c>
      <c r="J25" s="4">
        <f ca="1"/>
        <v>0</v>
      </c>
      <c r="K25" s="4">
        <f ca="1"/>
        <v>0</v>
      </c>
      <c r="L25" s="4">
        <f ca="1"/>
        <v>0</v>
      </c>
      <c r="M25" s="4">
        <f ca="1"/>
        <v>0</v>
      </c>
      <c r="N25" s="3">
        <f ca="1"/>
        <v>0</v>
      </c>
    </row>
    <row r="26" spans="2:14" x14ac:dyDescent="0.2">
      <c r="B26" s="2" t="s">
        <v>88</v>
      </c>
      <c r="C26" s="2">
        <f t="shared" ca="1" si="0"/>
        <v>0.41287207252232505</v>
      </c>
      <c r="D26" s="2" t="str">
        <f t="shared" ca="1" si="1"/>
        <v>C</v>
      </c>
      <c r="E26" s="2" t="str">
        <f t="shared" ca="1" si="2"/>
        <v>C</v>
      </c>
    </row>
    <row r="27" spans="2:14" x14ac:dyDescent="0.2">
      <c r="B27" s="2" t="s">
        <v>87</v>
      </c>
      <c r="C27" s="2">
        <f t="shared" ca="1" si="0"/>
        <v>0.84518880571431598</v>
      </c>
      <c r="D27" s="2" t="str">
        <f t="shared" ca="1" si="1"/>
        <v>E</v>
      </c>
      <c r="E27" s="2" t="str">
        <f t="shared" ca="1" si="2"/>
        <v>E</v>
      </c>
    </row>
    <row r="28" spans="2:14" x14ac:dyDescent="0.2">
      <c r="B28" s="2" t="s">
        <v>86</v>
      </c>
      <c r="C28" s="2">
        <f t="shared" ca="1" si="0"/>
        <v>0.20027586055853996</v>
      </c>
      <c r="D28" s="2" t="str">
        <f t="shared" ca="1" si="1"/>
        <v>B</v>
      </c>
      <c r="E28" s="2" t="str">
        <f t="shared" ca="1" si="2"/>
        <v>A</v>
      </c>
    </row>
    <row r="29" spans="2:14" x14ac:dyDescent="0.2">
      <c r="B29" s="2" t="s">
        <v>85</v>
      </c>
      <c r="C29" s="2">
        <f t="shared" ca="1" si="0"/>
        <v>0.12418203196058308</v>
      </c>
      <c r="D29" s="2" t="str">
        <f t="shared" ca="1" si="1"/>
        <v>A</v>
      </c>
      <c r="E29" s="2" t="str">
        <f t="shared" ca="1" si="2"/>
        <v>B</v>
      </c>
    </row>
    <row r="30" spans="2:14" x14ac:dyDescent="0.2">
      <c r="B30" s="2" t="s">
        <v>84</v>
      </c>
      <c r="C30" s="2">
        <f t="shared" ca="1" si="0"/>
        <v>0.64610513028362759</v>
      </c>
      <c r="D30" s="2" t="str">
        <f t="shared" ca="1" si="1"/>
        <v>D</v>
      </c>
      <c r="E30" s="2" t="str">
        <f t="shared" ca="1" si="2"/>
        <v>C</v>
      </c>
    </row>
    <row r="31" spans="2:14" x14ac:dyDescent="0.2">
      <c r="B31" s="2" t="s">
        <v>83</v>
      </c>
      <c r="C31" s="2">
        <f t="shared" ca="1" si="0"/>
        <v>0.24714144648405911</v>
      </c>
      <c r="D31" s="2" t="str">
        <f t="shared" ca="1" si="1"/>
        <v>B</v>
      </c>
      <c r="E31" s="2" t="str">
        <f t="shared" ca="1" si="2"/>
        <v>C</v>
      </c>
    </row>
    <row r="32" spans="2:14" x14ac:dyDescent="0.2">
      <c r="B32" s="2" t="s">
        <v>82</v>
      </c>
      <c r="C32" s="2">
        <f t="shared" ca="1" si="0"/>
        <v>0.62126386899358199</v>
      </c>
      <c r="D32" s="2" t="str">
        <f t="shared" ca="1" si="1"/>
        <v>D</v>
      </c>
      <c r="E32" s="2" t="str">
        <f t="shared" ca="1" si="2"/>
        <v>D</v>
      </c>
    </row>
    <row r="33" spans="2:5" x14ac:dyDescent="0.2">
      <c r="B33" s="2" t="s">
        <v>81</v>
      </c>
      <c r="C33" s="2">
        <f t="shared" ca="1" si="0"/>
        <v>0.39344683998476715</v>
      </c>
      <c r="D33" s="2" t="str">
        <f t="shared" ca="1" si="1"/>
        <v>B</v>
      </c>
      <c r="E33" s="2" t="str">
        <f t="shared" ca="1" si="2"/>
        <v>D</v>
      </c>
    </row>
    <row r="34" spans="2:5" x14ac:dyDescent="0.2">
      <c r="B34" s="2" t="s">
        <v>80</v>
      </c>
      <c r="C34" s="2">
        <f t="shared" ca="1" si="0"/>
        <v>0.76928161593168465</v>
      </c>
      <c r="D34" s="2" t="str">
        <f t="shared" ca="1" si="1"/>
        <v>D</v>
      </c>
      <c r="E34" s="2" t="str">
        <f t="shared" ca="1" si="2"/>
        <v>E</v>
      </c>
    </row>
    <row r="35" spans="2:5" x14ac:dyDescent="0.2">
      <c r="B35" s="2" t="s">
        <v>79</v>
      </c>
      <c r="C35" s="2">
        <f t="shared" ca="1" si="0"/>
        <v>0.11268643674730683</v>
      </c>
      <c r="D35" s="2" t="str">
        <f t="shared" ca="1" si="1"/>
        <v>A</v>
      </c>
      <c r="E35" s="2" t="str">
        <f t="shared" ca="1" si="2"/>
        <v>A</v>
      </c>
    </row>
    <row r="36" spans="2:5" x14ac:dyDescent="0.2">
      <c r="B36" s="2" t="s">
        <v>78</v>
      </c>
      <c r="C36" s="2">
        <f t="shared" ca="1" si="0"/>
        <v>0.64107848140045098</v>
      </c>
      <c r="D36" s="2" t="str">
        <f t="shared" ca="1" si="1"/>
        <v>D</v>
      </c>
      <c r="E36" s="2" t="str">
        <f t="shared" ca="1" si="2"/>
        <v>C</v>
      </c>
    </row>
    <row r="37" spans="2:5" x14ac:dyDescent="0.2">
      <c r="B37" s="2" t="s">
        <v>77</v>
      </c>
      <c r="C37" s="2">
        <f t="shared" ca="1" si="0"/>
        <v>3.4000717317980378E-2</v>
      </c>
      <c r="D37" s="2" t="str">
        <f t="shared" ca="1" si="1"/>
        <v>A</v>
      </c>
      <c r="E37" s="2" t="str">
        <f t="shared" ca="1" si="2"/>
        <v>A</v>
      </c>
    </row>
    <row r="38" spans="2:5" x14ac:dyDescent="0.2">
      <c r="B38" s="2" t="s">
        <v>76</v>
      </c>
      <c r="C38" s="2">
        <f t="shared" ca="1" si="0"/>
        <v>0.49838952622147548</v>
      </c>
      <c r="D38" s="2" t="str">
        <f t="shared" ca="1" si="1"/>
        <v>C</v>
      </c>
      <c r="E38" s="2" t="str">
        <f t="shared" ca="1" si="2"/>
        <v>D</v>
      </c>
    </row>
    <row r="39" spans="2:5" x14ac:dyDescent="0.2">
      <c r="B39" s="2" t="s">
        <v>75</v>
      </c>
      <c r="C39" s="2">
        <f t="shared" ca="1" si="0"/>
        <v>0.46150671509507235</v>
      </c>
      <c r="D39" s="2" t="str">
        <f t="shared" ca="1" si="1"/>
        <v>C</v>
      </c>
      <c r="E39" s="2" t="str">
        <f t="shared" ca="1" si="2"/>
        <v>C</v>
      </c>
    </row>
    <row r="40" spans="2:5" x14ac:dyDescent="0.2">
      <c r="B40" s="2" t="s">
        <v>74</v>
      </c>
      <c r="C40" s="2">
        <f t="shared" ca="1" si="0"/>
        <v>0.49393426397771256</v>
      </c>
      <c r="D40" s="2" t="str">
        <f t="shared" ca="1" si="1"/>
        <v>C</v>
      </c>
      <c r="E40" s="2" t="str">
        <f t="shared" ca="1" si="2"/>
        <v>C</v>
      </c>
    </row>
    <row r="41" spans="2:5" x14ac:dyDescent="0.2">
      <c r="B41" s="2" t="s">
        <v>73</v>
      </c>
      <c r="C41" s="2">
        <f t="shared" ca="1" si="0"/>
        <v>0.8011318253521662</v>
      </c>
      <c r="D41" s="2" t="str">
        <f t="shared" ca="1" si="1"/>
        <v>E</v>
      </c>
      <c r="E41" s="2" t="str">
        <f t="shared" ca="1" si="2"/>
        <v>E</v>
      </c>
    </row>
    <row r="42" spans="2:5" x14ac:dyDescent="0.2">
      <c r="B42" s="2" t="s">
        <v>72</v>
      </c>
      <c r="C42" s="2">
        <f t="shared" ref="C42:C73" ca="1" si="4">RAND()</f>
        <v>3.606821099192159E-2</v>
      </c>
      <c r="D42" s="2" t="str">
        <f t="shared" ref="D42:D73" ca="1" si="5">VLOOKUP(C42,ratingsTbl,2,1)</f>
        <v>A</v>
      </c>
      <c r="E42" s="2" t="str">
        <f t="shared" ref="E42:E73" ca="1" si="6">IFERROR(VLOOKUP(C42+(RAND()-0.25)/2,ratingsTbl,2,1),"A")</f>
        <v>A</v>
      </c>
    </row>
    <row r="43" spans="2:5" x14ac:dyDescent="0.2">
      <c r="B43" s="2" t="s">
        <v>71</v>
      </c>
      <c r="C43" s="2">
        <f t="shared" ca="1" si="4"/>
        <v>0.78193665281433311</v>
      </c>
      <c r="D43" s="2" t="str">
        <f t="shared" ca="1" si="5"/>
        <v>D</v>
      </c>
      <c r="E43" s="2" t="str">
        <f t="shared" ca="1" si="6"/>
        <v>D</v>
      </c>
    </row>
    <row r="44" spans="2:5" x14ac:dyDescent="0.2">
      <c r="B44" s="2" t="s">
        <v>70</v>
      </c>
      <c r="C44" s="2">
        <f t="shared" ca="1" si="4"/>
        <v>0.66461434303583533</v>
      </c>
      <c r="D44" s="2" t="str">
        <f t="shared" ca="1" si="5"/>
        <v>D</v>
      </c>
      <c r="E44" s="2" t="str">
        <f t="shared" ca="1" si="6"/>
        <v>D</v>
      </c>
    </row>
    <row r="45" spans="2:5" x14ac:dyDescent="0.2">
      <c r="B45" s="2" t="s">
        <v>69</v>
      </c>
      <c r="C45" s="2">
        <f t="shared" ca="1" si="4"/>
        <v>0.70197836168678096</v>
      </c>
      <c r="D45" s="2" t="str">
        <f t="shared" ca="1" si="5"/>
        <v>D</v>
      </c>
      <c r="E45" s="2" t="str">
        <f t="shared" ca="1" si="6"/>
        <v>D</v>
      </c>
    </row>
    <row r="46" spans="2:5" x14ac:dyDescent="0.2">
      <c r="B46" s="2" t="s">
        <v>68</v>
      </c>
      <c r="C46" s="2">
        <f t="shared" ca="1" si="4"/>
        <v>0.83389592969362281</v>
      </c>
      <c r="D46" s="2" t="str">
        <f t="shared" ca="1" si="5"/>
        <v>E</v>
      </c>
      <c r="E46" s="2" t="str">
        <f t="shared" ca="1" si="6"/>
        <v>F</v>
      </c>
    </row>
    <row r="47" spans="2:5" x14ac:dyDescent="0.2">
      <c r="B47" s="2" t="s">
        <v>67</v>
      </c>
      <c r="C47" s="2">
        <f t="shared" ca="1" si="4"/>
        <v>0.87109786112193799</v>
      </c>
      <c r="D47" s="2" t="str">
        <f t="shared" ca="1" si="5"/>
        <v>E</v>
      </c>
      <c r="E47" s="2" t="str">
        <f t="shared" ca="1" si="6"/>
        <v>F</v>
      </c>
    </row>
    <row r="48" spans="2:5" x14ac:dyDescent="0.2">
      <c r="B48" s="2" t="s">
        <v>66</v>
      </c>
      <c r="C48" s="2">
        <f t="shared" ca="1" si="4"/>
        <v>0.87984864409066976</v>
      </c>
      <c r="D48" s="2" t="str">
        <f t="shared" ca="1" si="5"/>
        <v>E</v>
      </c>
      <c r="E48" s="2" t="str">
        <f t="shared" ca="1" si="6"/>
        <v>F</v>
      </c>
    </row>
    <row r="49" spans="2:5" x14ac:dyDescent="0.2">
      <c r="B49" s="2" t="s">
        <v>65</v>
      </c>
      <c r="C49" s="2">
        <f t="shared" ca="1" si="4"/>
        <v>0.39944925450416668</v>
      </c>
      <c r="D49" s="2" t="str">
        <f t="shared" ca="1" si="5"/>
        <v>B</v>
      </c>
      <c r="E49" s="2" t="str">
        <f t="shared" ca="1" si="6"/>
        <v>C</v>
      </c>
    </row>
    <row r="50" spans="2:5" x14ac:dyDescent="0.2">
      <c r="B50" s="2" t="s">
        <v>64</v>
      </c>
      <c r="C50" s="2">
        <f t="shared" ca="1" si="4"/>
        <v>0.4699615771186062</v>
      </c>
      <c r="D50" s="2" t="str">
        <f t="shared" ca="1" si="5"/>
        <v>C</v>
      </c>
      <c r="E50" s="2" t="str">
        <f t="shared" ca="1" si="6"/>
        <v>B</v>
      </c>
    </row>
    <row r="51" spans="2:5" x14ac:dyDescent="0.2">
      <c r="B51" s="2" t="s">
        <v>63</v>
      </c>
      <c r="C51" s="2">
        <f t="shared" ca="1" si="4"/>
        <v>0.5875135718909934</v>
      </c>
      <c r="D51" s="2" t="str">
        <f t="shared" ca="1" si="5"/>
        <v>C</v>
      </c>
      <c r="E51" s="2" t="str">
        <f t="shared" ca="1" si="6"/>
        <v>D</v>
      </c>
    </row>
    <row r="52" spans="2:5" x14ac:dyDescent="0.2">
      <c r="B52" s="2" t="s">
        <v>62</v>
      </c>
      <c r="C52" s="2">
        <f t="shared" ca="1" si="4"/>
        <v>0.3944346155429751</v>
      </c>
      <c r="D52" s="2" t="str">
        <f t="shared" ca="1" si="5"/>
        <v>B</v>
      </c>
      <c r="E52" s="2" t="str">
        <f t="shared" ca="1" si="6"/>
        <v>C</v>
      </c>
    </row>
    <row r="53" spans="2:5" x14ac:dyDescent="0.2">
      <c r="B53" s="2" t="s">
        <v>61</v>
      </c>
      <c r="C53" s="2">
        <f t="shared" ca="1" si="4"/>
        <v>1.6466341163435816E-3</v>
      </c>
      <c r="D53" s="2" t="str">
        <f t="shared" ca="1" si="5"/>
        <v>A</v>
      </c>
      <c r="E53" s="2" t="str">
        <f t="shared" ca="1" si="6"/>
        <v>A</v>
      </c>
    </row>
    <row r="54" spans="2:5" x14ac:dyDescent="0.2">
      <c r="B54" s="2" t="s">
        <v>60</v>
      </c>
      <c r="C54" s="2">
        <f t="shared" ca="1" si="4"/>
        <v>3.0525995263122052E-3</v>
      </c>
      <c r="D54" s="2" t="str">
        <f t="shared" ca="1" si="5"/>
        <v>A</v>
      </c>
      <c r="E54" s="2" t="str">
        <f t="shared" ca="1" si="6"/>
        <v>A</v>
      </c>
    </row>
    <row r="55" spans="2:5" x14ac:dyDescent="0.2">
      <c r="B55" s="2" t="s">
        <v>59</v>
      </c>
      <c r="C55" s="2">
        <f t="shared" ca="1" si="4"/>
        <v>0.35743868963698833</v>
      </c>
      <c r="D55" s="2" t="str">
        <f t="shared" ca="1" si="5"/>
        <v>B</v>
      </c>
      <c r="E55" s="2" t="str">
        <f t="shared" ca="1" si="6"/>
        <v>C</v>
      </c>
    </row>
    <row r="56" spans="2:5" x14ac:dyDescent="0.2">
      <c r="B56" s="2" t="s">
        <v>58</v>
      </c>
      <c r="C56" s="2">
        <f t="shared" ca="1" si="4"/>
        <v>0.20424219780176944</v>
      </c>
      <c r="D56" s="2" t="str">
        <f t="shared" ca="1" si="5"/>
        <v>B</v>
      </c>
      <c r="E56" s="2" t="str">
        <f t="shared" ca="1" si="6"/>
        <v>B</v>
      </c>
    </row>
    <row r="57" spans="2:5" x14ac:dyDescent="0.2">
      <c r="B57" s="2" t="s">
        <v>57</v>
      </c>
      <c r="C57" s="2">
        <f t="shared" ca="1" si="4"/>
        <v>9.4288296465057431E-2</v>
      </c>
      <c r="D57" s="2" t="str">
        <f t="shared" ca="1" si="5"/>
        <v>A</v>
      </c>
      <c r="E57" s="2" t="str">
        <f t="shared" ca="1" si="6"/>
        <v>A</v>
      </c>
    </row>
    <row r="58" spans="2:5" x14ac:dyDescent="0.2">
      <c r="B58" s="2" t="s">
        <v>56</v>
      </c>
      <c r="C58" s="2">
        <f t="shared" ca="1" si="4"/>
        <v>0.2184871666578565</v>
      </c>
      <c r="D58" s="2" t="str">
        <f t="shared" ca="1" si="5"/>
        <v>B</v>
      </c>
      <c r="E58" s="2" t="str">
        <f t="shared" ca="1" si="6"/>
        <v>C</v>
      </c>
    </row>
    <row r="59" spans="2:5" x14ac:dyDescent="0.2">
      <c r="B59" s="2" t="s">
        <v>55</v>
      </c>
      <c r="C59" s="2">
        <f t="shared" ca="1" si="4"/>
        <v>0.97138237317775189</v>
      </c>
      <c r="D59" s="2" t="str">
        <f t="shared" ca="1" si="5"/>
        <v>E</v>
      </c>
      <c r="E59" s="2" t="str">
        <f t="shared" ca="1" si="6"/>
        <v>F</v>
      </c>
    </row>
    <row r="60" spans="2:5" x14ac:dyDescent="0.2">
      <c r="B60" s="2" t="s">
        <v>54</v>
      </c>
      <c r="C60" s="2">
        <f t="shared" ca="1" si="4"/>
        <v>0.45925724104914289</v>
      </c>
      <c r="D60" s="2" t="str">
        <f t="shared" ca="1" si="5"/>
        <v>C</v>
      </c>
      <c r="E60" s="2" t="str">
        <f t="shared" ca="1" si="6"/>
        <v>C</v>
      </c>
    </row>
    <row r="61" spans="2:5" x14ac:dyDescent="0.2">
      <c r="B61" s="2" t="s">
        <v>53</v>
      </c>
      <c r="C61" s="2">
        <f t="shared" ca="1" si="4"/>
        <v>0.78852849387482982</v>
      </c>
      <c r="D61" s="2" t="str">
        <f t="shared" ca="1" si="5"/>
        <v>D</v>
      </c>
      <c r="E61" s="2" t="str">
        <f t="shared" ca="1" si="6"/>
        <v>E</v>
      </c>
    </row>
    <row r="62" spans="2:5" x14ac:dyDescent="0.2">
      <c r="B62" s="2" t="s">
        <v>52</v>
      </c>
      <c r="C62" s="2">
        <f t="shared" ca="1" si="4"/>
        <v>0.44343668624725185</v>
      </c>
      <c r="D62" s="2" t="str">
        <f t="shared" ca="1" si="5"/>
        <v>C</v>
      </c>
      <c r="E62" s="2" t="str">
        <f t="shared" ca="1" si="6"/>
        <v>C</v>
      </c>
    </row>
    <row r="63" spans="2:5" x14ac:dyDescent="0.2">
      <c r="B63" s="2" t="s">
        <v>51</v>
      </c>
      <c r="C63" s="2">
        <f t="shared" ca="1" si="4"/>
        <v>8.9191516151984174E-2</v>
      </c>
      <c r="D63" s="2" t="str">
        <f t="shared" ca="1" si="5"/>
        <v>A</v>
      </c>
      <c r="E63" s="2" t="str">
        <f t="shared" ca="1" si="6"/>
        <v>B</v>
      </c>
    </row>
    <row r="64" spans="2:5" x14ac:dyDescent="0.2">
      <c r="B64" s="2" t="s">
        <v>50</v>
      </c>
      <c r="C64" s="2">
        <f t="shared" ca="1" si="4"/>
        <v>0.28420685833733728</v>
      </c>
      <c r="D64" s="2" t="str">
        <f t="shared" ca="1" si="5"/>
        <v>B</v>
      </c>
      <c r="E64" s="2" t="str">
        <f t="shared" ca="1" si="6"/>
        <v>B</v>
      </c>
    </row>
    <row r="65" spans="2:5" x14ac:dyDescent="0.2">
      <c r="B65" s="2" t="s">
        <v>49</v>
      </c>
      <c r="C65" s="2">
        <f t="shared" ca="1" si="4"/>
        <v>0.9065288336341194</v>
      </c>
      <c r="D65" s="2" t="str">
        <f t="shared" ca="1" si="5"/>
        <v>E</v>
      </c>
      <c r="E65" s="2" t="str">
        <f t="shared" ca="1" si="6"/>
        <v>E</v>
      </c>
    </row>
    <row r="66" spans="2:5" x14ac:dyDescent="0.2">
      <c r="B66" s="2" t="s">
        <v>48</v>
      </c>
      <c r="C66" s="2">
        <f t="shared" ca="1" si="4"/>
        <v>0.41976242373094796</v>
      </c>
      <c r="D66" s="2" t="str">
        <f t="shared" ca="1" si="5"/>
        <v>C</v>
      </c>
      <c r="E66" s="2" t="str">
        <f t="shared" ca="1" si="6"/>
        <v>C</v>
      </c>
    </row>
    <row r="67" spans="2:5" x14ac:dyDescent="0.2">
      <c r="B67" s="2" t="s">
        <v>47</v>
      </c>
      <c r="C67" s="2">
        <f t="shared" ca="1" si="4"/>
        <v>0.13279217376707064</v>
      </c>
      <c r="D67" s="2" t="str">
        <f t="shared" ca="1" si="5"/>
        <v>A</v>
      </c>
      <c r="E67" s="2" t="str">
        <f t="shared" ca="1" si="6"/>
        <v>B</v>
      </c>
    </row>
    <row r="68" spans="2:5" x14ac:dyDescent="0.2">
      <c r="B68" s="2" t="s">
        <v>46</v>
      </c>
      <c r="C68" s="2">
        <f t="shared" ca="1" si="4"/>
        <v>0.36505409807275402</v>
      </c>
      <c r="D68" s="2" t="str">
        <f t="shared" ca="1" si="5"/>
        <v>B</v>
      </c>
      <c r="E68" s="2" t="str">
        <f t="shared" ca="1" si="6"/>
        <v>C</v>
      </c>
    </row>
    <row r="69" spans="2:5" x14ac:dyDescent="0.2">
      <c r="B69" s="2" t="s">
        <v>45</v>
      </c>
      <c r="C69" s="2">
        <f t="shared" ca="1" si="4"/>
        <v>0.84384600008721133</v>
      </c>
      <c r="D69" s="2" t="str">
        <f t="shared" ca="1" si="5"/>
        <v>E</v>
      </c>
      <c r="E69" s="2" t="str">
        <f t="shared" ca="1" si="6"/>
        <v>E</v>
      </c>
    </row>
    <row r="70" spans="2:5" x14ac:dyDescent="0.2">
      <c r="B70" s="2" t="s">
        <v>44</v>
      </c>
      <c r="C70" s="2">
        <f t="shared" ca="1" si="4"/>
        <v>0.25970078953427356</v>
      </c>
      <c r="D70" s="2" t="str">
        <f t="shared" ca="1" si="5"/>
        <v>B</v>
      </c>
      <c r="E70" s="2" t="str">
        <f t="shared" ca="1" si="6"/>
        <v>B</v>
      </c>
    </row>
    <row r="71" spans="2:5" x14ac:dyDescent="0.2">
      <c r="B71" s="2" t="s">
        <v>43</v>
      </c>
      <c r="C71" s="2">
        <f t="shared" ca="1" si="4"/>
        <v>0.99508954616110123</v>
      </c>
      <c r="D71" s="2" t="str">
        <f t="shared" ca="1" si="5"/>
        <v>E</v>
      </c>
      <c r="E71" s="2" t="str">
        <f t="shared" ca="1" si="6"/>
        <v>F</v>
      </c>
    </row>
    <row r="72" spans="2:5" x14ac:dyDescent="0.2">
      <c r="B72" s="2" t="s">
        <v>42</v>
      </c>
      <c r="C72" s="2">
        <f t="shared" ca="1" si="4"/>
        <v>0.28621182865199979</v>
      </c>
      <c r="D72" s="2" t="str">
        <f t="shared" ca="1" si="5"/>
        <v>B</v>
      </c>
      <c r="E72" s="2" t="str">
        <f t="shared" ca="1" si="6"/>
        <v>C</v>
      </c>
    </row>
    <row r="73" spans="2:5" x14ac:dyDescent="0.2">
      <c r="B73" s="2" t="s">
        <v>41</v>
      </c>
      <c r="C73" s="2">
        <f t="shared" ca="1" si="4"/>
        <v>0.49598488771354321</v>
      </c>
      <c r="D73" s="2" t="str">
        <f t="shared" ca="1" si="5"/>
        <v>C</v>
      </c>
      <c r="E73" s="2" t="str">
        <f t="shared" ca="1" si="6"/>
        <v>C</v>
      </c>
    </row>
    <row r="74" spans="2:5" x14ac:dyDescent="0.2">
      <c r="B74" s="2" t="s">
        <v>40</v>
      </c>
      <c r="C74" s="2">
        <f t="shared" ref="C74:C109" ca="1" si="7">RAND()</f>
        <v>0.89201943948561568</v>
      </c>
      <c r="D74" s="2" t="str">
        <f t="shared" ref="D74:D105" ca="1" si="8">VLOOKUP(C74,ratingsTbl,2,1)</f>
        <v>E</v>
      </c>
      <c r="E74" s="2" t="str">
        <f t="shared" ref="E74:E109" ca="1" si="9">IFERROR(VLOOKUP(C74+(RAND()-0.25)/2,ratingsTbl,2,1),"A")</f>
        <v>F</v>
      </c>
    </row>
    <row r="75" spans="2:5" x14ac:dyDescent="0.2">
      <c r="B75" s="2" t="s">
        <v>39</v>
      </c>
      <c r="C75" s="2">
        <f t="shared" ca="1" si="7"/>
        <v>0.6209802617768303</v>
      </c>
      <c r="D75" s="2" t="str">
        <f t="shared" ca="1" si="8"/>
        <v>D</v>
      </c>
      <c r="E75" s="2" t="str">
        <f t="shared" ca="1" si="9"/>
        <v>D</v>
      </c>
    </row>
    <row r="76" spans="2:5" x14ac:dyDescent="0.2">
      <c r="B76" s="2" t="s">
        <v>38</v>
      </c>
      <c r="C76" s="2">
        <f t="shared" ca="1" si="7"/>
        <v>0.86208808139544568</v>
      </c>
      <c r="D76" s="2" t="str">
        <f t="shared" ca="1" si="8"/>
        <v>E</v>
      </c>
      <c r="E76" s="2" t="str">
        <f t="shared" ca="1" si="9"/>
        <v>E</v>
      </c>
    </row>
    <row r="77" spans="2:5" x14ac:dyDescent="0.2">
      <c r="B77" s="2" t="s">
        <v>37</v>
      </c>
      <c r="C77" s="2">
        <f t="shared" ca="1" si="7"/>
        <v>0.39222699597527688</v>
      </c>
      <c r="D77" s="2" t="str">
        <f t="shared" ca="1" si="8"/>
        <v>B</v>
      </c>
      <c r="E77" s="2" t="str">
        <f t="shared" ca="1" si="9"/>
        <v>D</v>
      </c>
    </row>
    <row r="78" spans="2:5" x14ac:dyDescent="0.2">
      <c r="B78" s="2" t="s">
        <v>36</v>
      </c>
      <c r="C78" s="2">
        <f t="shared" ca="1" si="7"/>
        <v>0.3481444026511521</v>
      </c>
      <c r="D78" s="2" t="str">
        <f t="shared" ca="1" si="8"/>
        <v>B</v>
      </c>
      <c r="E78" s="2" t="str">
        <f t="shared" ca="1" si="9"/>
        <v>C</v>
      </c>
    </row>
    <row r="79" spans="2:5" x14ac:dyDescent="0.2">
      <c r="B79" s="2" t="s">
        <v>35</v>
      </c>
      <c r="C79" s="2">
        <f t="shared" ca="1" si="7"/>
        <v>0.40479316901538365</v>
      </c>
      <c r="D79" s="2" t="str">
        <f t="shared" ca="1" si="8"/>
        <v>C</v>
      </c>
      <c r="E79" s="2" t="str">
        <f t="shared" ca="1" si="9"/>
        <v>B</v>
      </c>
    </row>
    <row r="80" spans="2:5" x14ac:dyDescent="0.2">
      <c r="B80" s="2" t="s">
        <v>34</v>
      </c>
      <c r="C80" s="2">
        <f t="shared" ca="1" si="7"/>
        <v>0.37004471922632098</v>
      </c>
      <c r="D80" s="2" t="str">
        <f t="shared" ca="1" si="8"/>
        <v>B</v>
      </c>
      <c r="E80" s="2" t="str">
        <f t="shared" ca="1" si="9"/>
        <v>B</v>
      </c>
    </row>
    <row r="81" spans="2:5" x14ac:dyDescent="0.2">
      <c r="B81" s="2" t="s">
        <v>33</v>
      </c>
      <c r="C81" s="2">
        <f t="shared" ca="1" si="7"/>
        <v>0.40614088068851595</v>
      </c>
      <c r="D81" s="2" t="str">
        <f t="shared" ca="1" si="8"/>
        <v>C</v>
      </c>
      <c r="E81" s="2" t="str">
        <f t="shared" ca="1" si="9"/>
        <v>C</v>
      </c>
    </row>
    <row r="82" spans="2:5" x14ac:dyDescent="0.2">
      <c r="B82" s="2" t="s">
        <v>32</v>
      </c>
      <c r="C82" s="2">
        <f t="shared" ca="1" si="7"/>
        <v>0.33414698622415107</v>
      </c>
      <c r="D82" s="2" t="str">
        <f t="shared" ca="1" si="8"/>
        <v>B</v>
      </c>
      <c r="E82" s="2" t="str">
        <f t="shared" ca="1" si="9"/>
        <v>B</v>
      </c>
    </row>
    <row r="83" spans="2:5" x14ac:dyDescent="0.2">
      <c r="B83" s="2" t="s">
        <v>31</v>
      </c>
      <c r="C83" s="2">
        <f t="shared" ca="1" si="7"/>
        <v>0.48853403001467643</v>
      </c>
      <c r="D83" s="2" t="str">
        <f t="shared" ca="1" si="8"/>
        <v>C</v>
      </c>
      <c r="E83" s="2" t="str">
        <f t="shared" ca="1" si="9"/>
        <v>C</v>
      </c>
    </row>
    <row r="84" spans="2:5" x14ac:dyDescent="0.2">
      <c r="B84" s="2" t="s">
        <v>30</v>
      </c>
      <c r="C84" s="2">
        <f t="shared" ca="1" si="7"/>
        <v>0.16464183375112551</v>
      </c>
      <c r="D84" s="2" t="str">
        <f t="shared" ca="1" si="8"/>
        <v>A</v>
      </c>
      <c r="E84" s="2" t="str">
        <f t="shared" ca="1" si="9"/>
        <v>B</v>
      </c>
    </row>
    <row r="85" spans="2:5" x14ac:dyDescent="0.2">
      <c r="B85" s="2" t="s">
        <v>29</v>
      </c>
      <c r="C85" s="2">
        <f t="shared" ca="1" si="7"/>
        <v>0.33726367012680625</v>
      </c>
      <c r="D85" s="2" t="str">
        <f t="shared" ca="1" si="8"/>
        <v>B</v>
      </c>
      <c r="E85" s="2" t="str">
        <f t="shared" ca="1" si="9"/>
        <v>C</v>
      </c>
    </row>
    <row r="86" spans="2:5" x14ac:dyDescent="0.2">
      <c r="B86" s="2" t="s">
        <v>28</v>
      </c>
      <c r="C86" s="2">
        <f t="shared" ca="1" si="7"/>
        <v>0.74865097933210545</v>
      </c>
      <c r="D86" s="2" t="str">
        <f t="shared" ca="1" si="8"/>
        <v>D</v>
      </c>
      <c r="E86" s="2" t="str">
        <f t="shared" ca="1" si="9"/>
        <v>D</v>
      </c>
    </row>
    <row r="87" spans="2:5" x14ac:dyDescent="0.2">
      <c r="B87" s="2" t="s">
        <v>27</v>
      </c>
      <c r="C87" s="2">
        <f t="shared" ca="1" si="7"/>
        <v>0.84964465226413066</v>
      </c>
      <c r="D87" s="2" t="str">
        <f t="shared" ca="1" si="8"/>
        <v>E</v>
      </c>
      <c r="E87" s="2" t="str">
        <f t="shared" ca="1" si="9"/>
        <v>F</v>
      </c>
    </row>
    <row r="88" spans="2:5" x14ac:dyDescent="0.2">
      <c r="B88" s="2" t="s">
        <v>26</v>
      </c>
      <c r="C88" s="2">
        <f t="shared" ca="1" si="7"/>
        <v>0.67749970050095831</v>
      </c>
      <c r="D88" s="2" t="str">
        <f t="shared" ca="1" si="8"/>
        <v>D</v>
      </c>
      <c r="E88" s="2" t="str">
        <f t="shared" ca="1" si="9"/>
        <v>C</v>
      </c>
    </row>
    <row r="89" spans="2:5" x14ac:dyDescent="0.2">
      <c r="B89" s="2" t="s">
        <v>25</v>
      </c>
      <c r="C89" s="2">
        <f t="shared" ca="1" si="7"/>
        <v>0.62175873892457623</v>
      </c>
      <c r="D89" s="2" t="str">
        <f t="shared" ca="1" si="8"/>
        <v>D</v>
      </c>
      <c r="E89" s="2" t="str">
        <f t="shared" ca="1" si="9"/>
        <v>C</v>
      </c>
    </row>
    <row r="90" spans="2:5" x14ac:dyDescent="0.2">
      <c r="B90" s="2" t="s">
        <v>24</v>
      </c>
      <c r="C90" s="2">
        <f t="shared" ca="1" si="7"/>
        <v>3.8127887303945451E-2</v>
      </c>
      <c r="D90" s="2" t="str">
        <f t="shared" ca="1" si="8"/>
        <v>A</v>
      </c>
      <c r="E90" s="2" t="str">
        <f t="shared" ca="1" si="9"/>
        <v>A</v>
      </c>
    </row>
    <row r="91" spans="2:5" x14ac:dyDescent="0.2">
      <c r="B91" s="2" t="s">
        <v>23</v>
      </c>
      <c r="C91" s="2">
        <f t="shared" ca="1" si="7"/>
        <v>0.89306320595533684</v>
      </c>
      <c r="D91" s="2" t="str">
        <f t="shared" ca="1" si="8"/>
        <v>E</v>
      </c>
      <c r="E91" s="2" t="str">
        <f t="shared" ca="1" si="9"/>
        <v>F</v>
      </c>
    </row>
    <row r="92" spans="2:5" x14ac:dyDescent="0.2">
      <c r="B92" s="2" t="s">
        <v>22</v>
      </c>
      <c r="C92" s="2">
        <f t="shared" ca="1" si="7"/>
        <v>0.24834315736549517</v>
      </c>
      <c r="D92" s="2" t="str">
        <f t="shared" ca="1" si="8"/>
        <v>B</v>
      </c>
      <c r="E92" s="2" t="str">
        <f t="shared" ca="1" si="9"/>
        <v>C</v>
      </c>
    </row>
    <row r="93" spans="2:5" x14ac:dyDescent="0.2">
      <c r="B93" s="2" t="s">
        <v>21</v>
      </c>
      <c r="C93" s="2">
        <f t="shared" ca="1" si="7"/>
        <v>0.54403618141689758</v>
      </c>
      <c r="D93" s="2" t="str">
        <f t="shared" ca="1" si="8"/>
        <v>C</v>
      </c>
      <c r="E93" s="2" t="str">
        <f t="shared" ca="1" si="9"/>
        <v>D</v>
      </c>
    </row>
    <row r="94" spans="2:5" x14ac:dyDescent="0.2">
      <c r="B94" s="2" t="s">
        <v>20</v>
      </c>
      <c r="C94" s="2">
        <f t="shared" ca="1" si="7"/>
        <v>0.87656193660321791</v>
      </c>
      <c r="D94" s="2" t="str">
        <f t="shared" ca="1" si="8"/>
        <v>E</v>
      </c>
      <c r="E94" s="2" t="str">
        <f t="shared" ca="1" si="9"/>
        <v>F</v>
      </c>
    </row>
    <row r="95" spans="2:5" x14ac:dyDescent="0.2">
      <c r="B95" s="2" t="s">
        <v>19</v>
      </c>
      <c r="C95" s="2">
        <f t="shared" ca="1" si="7"/>
        <v>0.7733336412480456</v>
      </c>
      <c r="D95" s="2" t="str">
        <f t="shared" ca="1" si="8"/>
        <v>D</v>
      </c>
      <c r="E95" s="2" t="str">
        <f t="shared" ca="1" si="9"/>
        <v>D</v>
      </c>
    </row>
    <row r="96" spans="2:5" x14ac:dyDescent="0.2">
      <c r="B96" s="2" t="s">
        <v>18</v>
      </c>
      <c r="C96" s="2">
        <f t="shared" ca="1" si="7"/>
        <v>0.59891956640177257</v>
      </c>
      <c r="D96" s="2" t="str">
        <f t="shared" ca="1" si="8"/>
        <v>C</v>
      </c>
      <c r="E96" s="2" t="str">
        <f t="shared" ca="1" si="9"/>
        <v>D</v>
      </c>
    </row>
    <row r="97" spans="2:5" x14ac:dyDescent="0.2">
      <c r="B97" s="2" t="s">
        <v>17</v>
      </c>
      <c r="C97" s="2">
        <f t="shared" ca="1" si="7"/>
        <v>0.33602053959662592</v>
      </c>
      <c r="D97" s="2" t="str">
        <f t="shared" ca="1" si="8"/>
        <v>B</v>
      </c>
      <c r="E97" s="2" t="str">
        <f t="shared" ca="1" si="9"/>
        <v>B</v>
      </c>
    </row>
    <row r="98" spans="2:5" x14ac:dyDescent="0.2">
      <c r="B98" s="2" t="s">
        <v>16</v>
      </c>
      <c r="C98" s="2">
        <f t="shared" ca="1" si="7"/>
        <v>0.95944195217555617</v>
      </c>
      <c r="D98" s="2" t="str">
        <f t="shared" ca="1" si="8"/>
        <v>E</v>
      </c>
      <c r="E98" s="2" t="str">
        <f t="shared" ca="1" si="9"/>
        <v>E</v>
      </c>
    </row>
    <row r="99" spans="2:5" x14ac:dyDescent="0.2">
      <c r="B99" s="2" t="s">
        <v>15</v>
      </c>
      <c r="C99" s="2">
        <f t="shared" ca="1" si="7"/>
        <v>0.16052559839246627</v>
      </c>
      <c r="D99" s="2" t="str">
        <f t="shared" ca="1" si="8"/>
        <v>A</v>
      </c>
      <c r="E99" s="2" t="str">
        <f t="shared" ca="1" si="9"/>
        <v>C</v>
      </c>
    </row>
    <row r="100" spans="2:5" x14ac:dyDescent="0.2">
      <c r="B100" s="2" t="s">
        <v>14</v>
      </c>
      <c r="C100" s="2">
        <f t="shared" ca="1" si="7"/>
        <v>0.3504654535683821</v>
      </c>
      <c r="D100" s="2" t="str">
        <f t="shared" ca="1" si="8"/>
        <v>B</v>
      </c>
      <c r="E100" s="2" t="str">
        <f t="shared" ca="1" si="9"/>
        <v>C</v>
      </c>
    </row>
    <row r="101" spans="2:5" x14ac:dyDescent="0.2">
      <c r="B101" s="2" t="s">
        <v>13</v>
      </c>
      <c r="C101" s="2">
        <f t="shared" ca="1" si="7"/>
        <v>0.90538425345279139</v>
      </c>
      <c r="D101" s="2" t="str">
        <f t="shared" ca="1" si="8"/>
        <v>E</v>
      </c>
      <c r="E101" s="2" t="str">
        <f t="shared" ca="1" si="9"/>
        <v>E</v>
      </c>
    </row>
    <row r="102" spans="2:5" x14ac:dyDescent="0.2">
      <c r="B102" s="2" t="s">
        <v>12</v>
      </c>
      <c r="C102" s="2">
        <f t="shared" ca="1" si="7"/>
        <v>0.79028551709244577</v>
      </c>
      <c r="D102" s="2" t="str">
        <f t="shared" ca="1" si="8"/>
        <v>D</v>
      </c>
      <c r="E102" s="2" t="str">
        <f t="shared" ca="1" si="9"/>
        <v>F</v>
      </c>
    </row>
    <row r="103" spans="2:5" x14ac:dyDescent="0.2">
      <c r="B103" s="2" t="s">
        <v>11</v>
      </c>
      <c r="C103" s="2">
        <f t="shared" ca="1" si="7"/>
        <v>4.641833845772414E-2</v>
      </c>
      <c r="D103" s="2" t="str">
        <f t="shared" ca="1" si="8"/>
        <v>A</v>
      </c>
      <c r="E103" s="2" t="str">
        <f t="shared" ca="1" si="9"/>
        <v>A</v>
      </c>
    </row>
    <row r="104" spans="2:5" x14ac:dyDescent="0.2">
      <c r="B104" s="2" t="s">
        <v>10</v>
      </c>
      <c r="C104" s="2">
        <f t="shared" ca="1" si="7"/>
        <v>0.27773656508710143</v>
      </c>
      <c r="D104" s="2" t="str">
        <f t="shared" ca="1" si="8"/>
        <v>B</v>
      </c>
      <c r="E104" s="2" t="str">
        <f t="shared" ca="1" si="9"/>
        <v>A</v>
      </c>
    </row>
    <row r="105" spans="2:5" x14ac:dyDescent="0.2">
      <c r="B105" s="2" t="s">
        <v>9</v>
      </c>
      <c r="C105" s="2">
        <f t="shared" ca="1" si="7"/>
        <v>0.44461596113601554</v>
      </c>
      <c r="D105" s="2" t="str">
        <f t="shared" ca="1" si="8"/>
        <v>C</v>
      </c>
      <c r="E105" s="2" t="str">
        <f t="shared" ca="1" si="9"/>
        <v>C</v>
      </c>
    </row>
    <row r="106" spans="2:5" x14ac:dyDescent="0.2">
      <c r="B106" s="2" t="s">
        <v>8</v>
      </c>
      <c r="C106" s="2">
        <f t="shared" ca="1" si="7"/>
        <v>9.937940823102509E-2</v>
      </c>
      <c r="D106" s="2" t="str">
        <f t="shared" ref="D106:D109" ca="1" si="10">VLOOKUP(C106,ratingsTbl,2,1)</f>
        <v>A</v>
      </c>
      <c r="E106" s="2" t="str">
        <f t="shared" ca="1" si="9"/>
        <v>C</v>
      </c>
    </row>
    <row r="107" spans="2:5" x14ac:dyDescent="0.2">
      <c r="B107" s="2" t="s">
        <v>7</v>
      </c>
      <c r="C107" s="2">
        <f t="shared" ca="1" si="7"/>
        <v>9.4916598624970927E-2</v>
      </c>
      <c r="D107" s="2" t="str">
        <f t="shared" ca="1" si="10"/>
        <v>A</v>
      </c>
      <c r="E107" s="2" t="str">
        <f t="shared" ca="1" si="9"/>
        <v>B</v>
      </c>
    </row>
    <row r="108" spans="2:5" x14ac:dyDescent="0.2">
      <c r="B108" s="2" t="s">
        <v>6</v>
      </c>
      <c r="C108" s="2">
        <f t="shared" ca="1" si="7"/>
        <v>0.94348886047062475</v>
      </c>
      <c r="D108" s="2" t="str">
        <f t="shared" ca="1" si="10"/>
        <v>E</v>
      </c>
      <c r="E108" s="2" t="str">
        <f t="shared" ca="1" si="9"/>
        <v>F</v>
      </c>
    </row>
    <row r="109" spans="2:5" x14ac:dyDescent="0.2">
      <c r="B109" s="2" t="s">
        <v>5</v>
      </c>
      <c r="C109" s="2">
        <f t="shared" ca="1" si="7"/>
        <v>0.36350464279212558</v>
      </c>
      <c r="D109" s="2" t="str">
        <f t="shared" ca="1" si="10"/>
        <v>B</v>
      </c>
      <c r="E109" s="2" t="str">
        <f t="shared" ca="1" si="9"/>
        <v>C</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B2:O109"/>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6" width="10.6640625" style="2" customWidth="1"/>
    <col min="7" max="16384" width="8.83203125" style="2"/>
  </cols>
  <sheetData>
    <row r="2" spans="2:15" x14ac:dyDescent="0.2">
      <c r="B2" s="2">
        <v>0.1</v>
      </c>
      <c r="C2" s="2" t="s">
        <v>99</v>
      </c>
    </row>
    <row r="3" spans="2:15" x14ac:dyDescent="0.2">
      <c r="B3" s="2">
        <v>0.2</v>
      </c>
      <c r="C3" s="2" t="s">
        <v>97</v>
      </c>
    </row>
    <row r="4" spans="2:15" x14ac:dyDescent="0.2">
      <c r="B4" s="2">
        <v>0.4</v>
      </c>
      <c r="C4" s="2" t="s">
        <v>95</v>
      </c>
    </row>
    <row r="5" spans="2:15" x14ac:dyDescent="0.2">
      <c r="B5" s="2">
        <v>0.6</v>
      </c>
      <c r="C5" s="2" t="s">
        <v>93</v>
      </c>
    </row>
    <row r="6" spans="2:15" x14ac:dyDescent="0.2">
      <c r="B6" s="2">
        <v>0.7</v>
      </c>
      <c r="C6" s="2" t="s">
        <v>91</v>
      </c>
    </row>
    <row r="7" spans="2:15" x14ac:dyDescent="0.2">
      <c r="B7" s="2">
        <v>0.9</v>
      </c>
      <c r="C7" s="2" t="s">
        <v>89</v>
      </c>
    </row>
    <row r="8" spans="2:15" x14ac:dyDescent="0.2">
      <c r="I8" s="2" t="s">
        <v>116</v>
      </c>
    </row>
    <row r="9" spans="2:15" x14ac:dyDescent="0.2">
      <c r="B9" s="2" t="s">
        <v>115</v>
      </c>
      <c r="C9" s="13" t="s">
        <v>114</v>
      </c>
      <c r="D9" s="13" t="s">
        <v>113</v>
      </c>
      <c r="E9" s="13" t="s">
        <v>112</v>
      </c>
      <c r="F9" s="13" t="s">
        <v>117</v>
      </c>
      <c r="J9" s="13" t="s">
        <v>99</v>
      </c>
      <c r="K9" s="13" t="s">
        <v>97</v>
      </c>
      <c r="L9" s="13" t="s">
        <v>95</v>
      </c>
      <c r="M9" s="13" t="s">
        <v>93</v>
      </c>
      <c r="N9" s="13" t="s">
        <v>91</v>
      </c>
      <c r="O9" s="13" t="s">
        <v>89</v>
      </c>
    </row>
    <row r="10" spans="2:15" x14ac:dyDescent="0.2">
      <c r="B10" s="2" t="s">
        <v>111</v>
      </c>
      <c r="C10" s="2">
        <f t="shared" ref="C10:C41" ca="1" si="0">RAND()</f>
        <v>0.25477422190047094</v>
      </c>
      <c r="D10" s="2" t="str">
        <f t="shared" ref="D10:D41" ca="1" si="1">(IFERROR(VLOOKUP(C10,ratingsTbl,2,1),"F"))</f>
        <v>B</v>
      </c>
      <c r="E10" s="2" t="str">
        <f t="shared" ref="E10:E41" ca="1" si="2">IFERROR(IF(D10="F","F",VLOOKUP(C10+(RAND()-0.25)/2,ratingsTbl,2,1)),"A")</f>
        <v>C</v>
      </c>
      <c r="F10" s="2">
        <f t="shared" ref="F10:F41" ca="1" si="3">RANDBETWEEN(20,100)</f>
        <v>99</v>
      </c>
      <c r="I10" s="2" t="s">
        <v>99</v>
      </c>
      <c r="J10" s="21">
        <f t="shared" ref="J10:O15" ca="1" si="4">SUMIFS(weight,RatingLast,$I10,RatingNow,J$9)</f>
        <v>313</v>
      </c>
      <c r="K10" s="20">
        <f t="shared" ca="1" si="4"/>
        <v>295</v>
      </c>
      <c r="L10" s="20">
        <f t="shared" ca="1" si="4"/>
        <v>252</v>
      </c>
      <c r="M10" s="20">
        <f t="shared" ca="1" si="4"/>
        <v>0</v>
      </c>
      <c r="N10" s="20">
        <f t="shared" ca="1" si="4"/>
        <v>0</v>
      </c>
      <c r="O10" s="19">
        <f t="shared" ca="1" si="4"/>
        <v>0</v>
      </c>
    </row>
    <row r="11" spans="2:15" x14ac:dyDescent="0.2">
      <c r="B11" s="2" t="s">
        <v>110</v>
      </c>
      <c r="C11" s="2">
        <f t="shared" ca="1" si="0"/>
        <v>0.21585400108941666</v>
      </c>
      <c r="D11" s="2" t="str">
        <f t="shared" ca="1" si="1"/>
        <v>B</v>
      </c>
      <c r="E11" s="2" t="str">
        <f t="shared" ca="1" si="2"/>
        <v>A</v>
      </c>
      <c r="F11" s="2">
        <f t="shared" ca="1" si="3"/>
        <v>47</v>
      </c>
      <c r="I11" s="2" t="s">
        <v>97</v>
      </c>
      <c r="J11" s="18">
        <f t="shared" ca="1" si="4"/>
        <v>47</v>
      </c>
      <c r="K11" s="2">
        <f t="shared" ca="1" si="4"/>
        <v>702</v>
      </c>
      <c r="L11" s="2">
        <f t="shared" ca="1" si="4"/>
        <v>375</v>
      </c>
      <c r="M11" s="2">
        <f t="shared" ca="1" si="4"/>
        <v>111</v>
      </c>
      <c r="N11" s="2">
        <f t="shared" ca="1" si="4"/>
        <v>0</v>
      </c>
      <c r="O11" s="17">
        <f t="shared" ca="1" si="4"/>
        <v>0</v>
      </c>
    </row>
    <row r="12" spans="2:15" x14ac:dyDescent="0.2">
      <c r="B12" s="2" t="s">
        <v>109</v>
      </c>
      <c r="C12" s="2">
        <f t="shared" ca="1" si="0"/>
        <v>0.24991205024027885</v>
      </c>
      <c r="D12" s="2" t="str">
        <f t="shared" ca="1" si="1"/>
        <v>B</v>
      </c>
      <c r="E12" s="2" t="str">
        <f t="shared" ca="1" si="2"/>
        <v>B</v>
      </c>
      <c r="F12" s="2">
        <f t="shared" ca="1" si="3"/>
        <v>95</v>
      </c>
      <c r="I12" s="2" t="s">
        <v>95</v>
      </c>
      <c r="J12" s="18">
        <f t="shared" ca="1" si="4"/>
        <v>0</v>
      </c>
      <c r="K12" s="2">
        <f t="shared" ca="1" si="4"/>
        <v>139</v>
      </c>
      <c r="L12" s="2">
        <f t="shared" ca="1" si="4"/>
        <v>494</v>
      </c>
      <c r="M12" s="2">
        <f t="shared" ca="1" si="4"/>
        <v>176</v>
      </c>
      <c r="N12" s="2">
        <f t="shared" ca="1" si="4"/>
        <v>159</v>
      </c>
      <c r="O12" s="17">
        <f t="shared" ca="1" si="4"/>
        <v>87</v>
      </c>
    </row>
    <row r="13" spans="2:15" x14ac:dyDescent="0.2">
      <c r="B13" s="2" t="s">
        <v>108</v>
      </c>
      <c r="C13" s="2">
        <f t="shared" ca="1" si="0"/>
        <v>0.69435901828492608</v>
      </c>
      <c r="D13" s="2" t="str">
        <f t="shared" ca="1" si="1"/>
        <v>D</v>
      </c>
      <c r="E13" s="2" t="str">
        <f t="shared" ca="1" si="2"/>
        <v>F</v>
      </c>
      <c r="F13" s="2">
        <f t="shared" ca="1" si="3"/>
        <v>62</v>
      </c>
      <c r="I13" s="2" t="s">
        <v>93</v>
      </c>
      <c r="J13" s="18">
        <f t="shared" ca="1" si="4"/>
        <v>0</v>
      </c>
      <c r="K13" s="2">
        <f t="shared" ca="1" si="4"/>
        <v>0</v>
      </c>
      <c r="L13" s="2">
        <f t="shared" ca="1" si="4"/>
        <v>0</v>
      </c>
      <c r="M13" s="2">
        <f t="shared" ca="1" si="4"/>
        <v>251</v>
      </c>
      <c r="N13" s="2">
        <f t="shared" ca="1" si="4"/>
        <v>277</v>
      </c>
      <c r="O13" s="17">
        <f t="shared" ca="1" si="4"/>
        <v>203</v>
      </c>
    </row>
    <row r="14" spans="2:15" x14ac:dyDescent="0.2">
      <c r="B14" s="2" t="s">
        <v>107</v>
      </c>
      <c r="C14" s="2">
        <f t="shared" ca="1" si="0"/>
        <v>0.85473060047153449</v>
      </c>
      <c r="D14" s="2" t="str">
        <f t="shared" ca="1" si="1"/>
        <v>E</v>
      </c>
      <c r="E14" s="2" t="str">
        <f t="shared" ca="1" si="2"/>
        <v>F</v>
      </c>
      <c r="F14" s="2">
        <f t="shared" ca="1" si="3"/>
        <v>35</v>
      </c>
      <c r="I14" s="2" t="s">
        <v>91</v>
      </c>
      <c r="J14" s="18">
        <f t="shared" ca="1" si="4"/>
        <v>0</v>
      </c>
      <c r="K14" s="2">
        <f t="shared" ca="1" si="4"/>
        <v>0</v>
      </c>
      <c r="L14" s="2">
        <f t="shared" ca="1" si="4"/>
        <v>0</v>
      </c>
      <c r="M14" s="2">
        <f t="shared" ca="1" si="4"/>
        <v>77</v>
      </c>
      <c r="N14" s="2">
        <f t="shared" ca="1" si="4"/>
        <v>255</v>
      </c>
      <c r="O14" s="17">
        <f t="shared" ca="1" si="4"/>
        <v>866</v>
      </c>
    </row>
    <row r="15" spans="2:15" x14ac:dyDescent="0.2">
      <c r="B15" s="2" t="s">
        <v>106</v>
      </c>
      <c r="C15" s="2">
        <f t="shared" ca="1" si="0"/>
        <v>0.66156831159568863</v>
      </c>
      <c r="D15" s="2" t="str">
        <f t="shared" ca="1" si="1"/>
        <v>D</v>
      </c>
      <c r="E15" s="2" t="str">
        <f t="shared" ca="1" si="2"/>
        <v>E</v>
      </c>
      <c r="F15" s="2">
        <f t="shared" ca="1" si="3"/>
        <v>39</v>
      </c>
      <c r="I15" s="2" t="s">
        <v>89</v>
      </c>
      <c r="J15" s="16">
        <f t="shared" ca="1" si="4"/>
        <v>0</v>
      </c>
      <c r="K15" s="15">
        <f t="shared" ca="1" si="4"/>
        <v>0</v>
      </c>
      <c r="L15" s="15">
        <f t="shared" ca="1" si="4"/>
        <v>0</v>
      </c>
      <c r="M15" s="15">
        <f t="shared" ca="1" si="4"/>
        <v>0</v>
      </c>
      <c r="N15" s="15">
        <f t="shared" ca="1" si="4"/>
        <v>0</v>
      </c>
      <c r="O15" s="14">
        <f t="shared" ca="1" si="4"/>
        <v>1292</v>
      </c>
    </row>
    <row r="16" spans="2:15" x14ac:dyDescent="0.2">
      <c r="B16" s="2" t="s">
        <v>105</v>
      </c>
      <c r="C16" s="2">
        <f t="shared" ca="1" si="0"/>
        <v>0.83472592351781971</v>
      </c>
      <c r="D16" s="2" t="str">
        <f t="shared" ca="1" si="1"/>
        <v>E</v>
      </c>
      <c r="E16" s="2" t="str">
        <f t="shared" ca="1" si="2"/>
        <v>F</v>
      </c>
      <c r="F16" s="2">
        <f t="shared" ca="1" si="3"/>
        <v>86</v>
      </c>
    </row>
    <row r="17" spans="2:15" x14ac:dyDescent="0.2">
      <c r="B17" s="2" t="s">
        <v>104</v>
      </c>
      <c r="C17" s="2">
        <f t="shared" ca="1" si="0"/>
        <v>0.23479687840937458</v>
      </c>
      <c r="D17" s="2" t="str">
        <f t="shared" ca="1" si="1"/>
        <v>B</v>
      </c>
      <c r="E17" s="2" t="str">
        <f t="shared" ca="1" si="2"/>
        <v>B</v>
      </c>
      <c r="F17" s="2">
        <f t="shared" ca="1" si="3"/>
        <v>30</v>
      </c>
    </row>
    <row r="18" spans="2:15" x14ac:dyDescent="0.2">
      <c r="B18" s="2" t="s">
        <v>103</v>
      </c>
      <c r="C18" s="2">
        <f t="shared" ca="1" si="0"/>
        <v>0.10585619640820798</v>
      </c>
      <c r="D18" s="2" t="str">
        <f t="shared" ca="1" si="1"/>
        <v>A</v>
      </c>
      <c r="E18" s="2" t="str">
        <f t="shared" ca="1" si="2"/>
        <v>B</v>
      </c>
      <c r="F18" s="2">
        <f t="shared" ca="1" si="3"/>
        <v>74</v>
      </c>
      <c r="I18" s="2" t="s">
        <v>102</v>
      </c>
    </row>
    <row r="19" spans="2:15" x14ac:dyDescent="0.2">
      <c r="B19" s="2" t="s">
        <v>101</v>
      </c>
      <c r="C19" s="2">
        <f t="shared" ca="1" si="0"/>
        <v>0.39782685959848318</v>
      </c>
      <c r="D19" s="2" t="str">
        <f t="shared" ca="1" si="1"/>
        <v>B</v>
      </c>
      <c r="E19" s="2" t="str">
        <f t="shared" ca="1" si="2"/>
        <v>B</v>
      </c>
      <c r="F19" s="2">
        <f t="shared" ca="1" si="3"/>
        <v>87</v>
      </c>
      <c r="J19" s="13" t="s">
        <v>99</v>
      </c>
      <c r="K19" s="13" t="s">
        <v>97</v>
      </c>
      <c r="L19" s="13" t="s">
        <v>95</v>
      </c>
      <c r="M19" s="13" t="s">
        <v>93</v>
      </c>
      <c r="N19" s="13" t="s">
        <v>91</v>
      </c>
      <c r="O19" s="13" t="s">
        <v>89</v>
      </c>
    </row>
    <row r="20" spans="2:15" ht="16" x14ac:dyDescent="0.2">
      <c r="B20" s="2" t="s">
        <v>100</v>
      </c>
      <c r="C20" s="2">
        <f t="shared" ca="1" si="0"/>
        <v>0.83163217108591547</v>
      </c>
      <c r="D20" s="2" t="str">
        <f t="shared" ca="1" si="1"/>
        <v>E</v>
      </c>
      <c r="E20" s="2" t="str">
        <f t="shared" ca="1" si="2"/>
        <v>E</v>
      </c>
      <c r="F20" s="2">
        <f t="shared" ca="1" si="3"/>
        <v>87</v>
      </c>
      <c r="I20" s="2" t="s">
        <v>99</v>
      </c>
      <c r="J20" s="12">
        <f t="array" aca="1" ref="J20:O20" ca="1">J10:O10/SUM(J10:O10)</f>
        <v>0.36395348837209301</v>
      </c>
      <c r="K20" s="11">
        <f ca="1"/>
        <v>0.34302325581395349</v>
      </c>
      <c r="L20" s="11">
        <f ca="1"/>
        <v>0.2930232558139535</v>
      </c>
      <c r="M20" s="11">
        <f ca="1"/>
        <v>0</v>
      </c>
      <c r="N20" s="11">
        <f ca="1"/>
        <v>0</v>
      </c>
      <c r="O20" s="10">
        <f ca="1"/>
        <v>0</v>
      </c>
    </row>
    <row r="21" spans="2:15" ht="16" x14ac:dyDescent="0.2">
      <c r="B21" s="2" t="s">
        <v>98</v>
      </c>
      <c r="C21" s="2">
        <f t="shared" ca="1" si="0"/>
        <v>0.17514526942225916</v>
      </c>
      <c r="D21" s="2" t="str">
        <f t="shared" ca="1" si="1"/>
        <v>A</v>
      </c>
      <c r="E21" s="2" t="str">
        <f t="shared" ca="1" si="2"/>
        <v>B</v>
      </c>
      <c r="F21" s="2">
        <f t="shared" ca="1" si="3"/>
        <v>87</v>
      </c>
      <c r="I21" s="2" t="s">
        <v>97</v>
      </c>
      <c r="J21" s="9">
        <f t="array" aca="1" ref="J21:O21" ca="1">J11:O11/SUM(J11:O11)</f>
        <v>3.8056680161943322E-2</v>
      </c>
      <c r="K21" s="7">
        <f ca="1"/>
        <v>0.56842105263157894</v>
      </c>
      <c r="L21" s="8">
        <f ca="1"/>
        <v>0.30364372469635625</v>
      </c>
      <c r="M21" s="8">
        <f ca="1"/>
        <v>8.9878542510121451E-2</v>
      </c>
      <c r="N21" s="8">
        <f ca="1"/>
        <v>0</v>
      </c>
      <c r="O21" s="6">
        <f ca="1"/>
        <v>0</v>
      </c>
    </row>
    <row r="22" spans="2:15" ht="16" x14ac:dyDescent="0.2">
      <c r="B22" s="2" t="s">
        <v>96</v>
      </c>
      <c r="C22" s="2">
        <f t="shared" ca="1" si="0"/>
        <v>0.36585546282774606</v>
      </c>
      <c r="D22" s="2" t="str">
        <f t="shared" ca="1" si="1"/>
        <v>B</v>
      </c>
      <c r="E22" s="2" t="str">
        <f t="shared" ca="1" si="2"/>
        <v>B</v>
      </c>
      <c r="F22" s="2">
        <f t="shared" ca="1" si="3"/>
        <v>61</v>
      </c>
      <c r="I22" s="2" t="s">
        <v>95</v>
      </c>
      <c r="J22" s="9">
        <f t="array" aca="1" ref="J22:O22" ca="1">J12:O12/SUM(J12:O12)</f>
        <v>0</v>
      </c>
      <c r="K22" s="8">
        <f ca="1"/>
        <v>0.13175355450236967</v>
      </c>
      <c r="L22" s="7">
        <f ca="1"/>
        <v>0.46824644549763034</v>
      </c>
      <c r="M22" s="8">
        <f ca="1"/>
        <v>0.16682464454976303</v>
      </c>
      <c r="N22" s="8">
        <f ca="1"/>
        <v>0.15071090047393365</v>
      </c>
      <c r="O22" s="6">
        <f ca="1"/>
        <v>8.2464454976303322E-2</v>
      </c>
    </row>
    <row r="23" spans="2:15" ht="16" x14ac:dyDescent="0.2">
      <c r="B23" s="2" t="s">
        <v>94</v>
      </c>
      <c r="C23" s="2">
        <f t="shared" ca="1" si="0"/>
        <v>2.5861611463538381E-2</v>
      </c>
      <c r="D23" s="2" t="str">
        <f t="shared" ca="1" si="1"/>
        <v>F</v>
      </c>
      <c r="E23" s="2" t="str">
        <f t="shared" ca="1" si="2"/>
        <v>F</v>
      </c>
      <c r="F23" s="2">
        <f t="shared" ca="1" si="3"/>
        <v>37</v>
      </c>
      <c r="I23" s="2" t="s">
        <v>93</v>
      </c>
      <c r="J23" s="9">
        <f t="array" aca="1" ref="J23:O23" ca="1">J13:O13/SUM(J13:O13)</f>
        <v>0</v>
      </c>
      <c r="K23" s="8">
        <f ca="1"/>
        <v>0</v>
      </c>
      <c r="L23" s="8">
        <f ca="1"/>
        <v>0</v>
      </c>
      <c r="M23" s="7">
        <f ca="1"/>
        <v>0.34336525307797539</v>
      </c>
      <c r="N23" s="8">
        <f ca="1"/>
        <v>0.37893296853625169</v>
      </c>
      <c r="O23" s="6">
        <f ca="1"/>
        <v>0.27770177838577292</v>
      </c>
    </row>
    <row r="24" spans="2:15" ht="16" x14ac:dyDescent="0.2">
      <c r="B24" s="2" t="s">
        <v>92</v>
      </c>
      <c r="C24" s="2">
        <f t="shared" ca="1" si="0"/>
        <v>0.40829277626828109</v>
      </c>
      <c r="D24" s="2" t="str">
        <f t="shared" ca="1" si="1"/>
        <v>C</v>
      </c>
      <c r="E24" s="2" t="str">
        <f t="shared" ca="1" si="2"/>
        <v>B</v>
      </c>
      <c r="F24" s="2">
        <f t="shared" ca="1" si="3"/>
        <v>52</v>
      </c>
      <c r="I24" s="2" t="s">
        <v>91</v>
      </c>
      <c r="J24" s="9">
        <f t="array" aca="1" ref="J24:O24" ca="1">J14:O14/SUM(J14:O14)</f>
        <v>0</v>
      </c>
      <c r="K24" s="8">
        <f ca="1"/>
        <v>0</v>
      </c>
      <c r="L24" s="8">
        <f ca="1"/>
        <v>0</v>
      </c>
      <c r="M24" s="8">
        <f ca="1"/>
        <v>6.42737896494157E-2</v>
      </c>
      <c r="N24" s="7">
        <f ca="1"/>
        <v>0.21285475792988315</v>
      </c>
      <c r="O24" s="6">
        <f ca="1"/>
        <v>0.72287145242070117</v>
      </c>
    </row>
    <row r="25" spans="2:15" ht="16" x14ac:dyDescent="0.2">
      <c r="B25" s="2" t="s">
        <v>90</v>
      </c>
      <c r="C25" s="2">
        <f t="shared" ca="1" si="0"/>
        <v>0.59729094423240625</v>
      </c>
      <c r="D25" s="2" t="str">
        <f t="shared" ca="1" si="1"/>
        <v>C</v>
      </c>
      <c r="E25" s="2" t="str">
        <f t="shared" ca="1" si="2"/>
        <v>F</v>
      </c>
      <c r="F25" s="2">
        <f t="shared" ca="1" si="3"/>
        <v>87</v>
      </c>
      <c r="I25" s="2" t="s">
        <v>89</v>
      </c>
      <c r="J25" s="5">
        <f t="array" aca="1" ref="J25:O25" ca="1">IFERROR(J15:O15/SUM(J15:O15),0)</f>
        <v>0</v>
      </c>
      <c r="K25" s="4">
        <f ca="1"/>
        <v>0</v>
      </c>
      <c r="L25" s="4">
        <f ca="1"/>
        <v>0</v>
      </c>
      <c r="M25" s="4">
        <f ca="1"/>
        <v>0</v>
      </c>
      <c r="N25" s="4">
        <f ca="1"/>
        <v>0</v>
      </c>
      <c r="O25" s="3">
        <f ca="1"/>
        <v>1</v>
      </c>
    </row>
    <row r="26" spans="2:15" x14ac:dyDescent="0.2">
      <c r="B26" s="2" t="s">
        <v>88</v>
      </c>
      <c r="C26" s="2">
        <f t="shared" ca="1" si="0"/>
        <v>2.9308780090697706E-3</v>
      </c>
      <c r="D26" s="2" t="str">
        <f t="shared" ca="1" si="1"/>
        <v>F</v>
      </c>
      <c r="E26" s="2" t="str">
        <f t="shared" ca="1" si="2"/>
        <v>F</v>
      </c>
      <c r="F26" s="2">
        <f t="shared" ca="1" si="3"/>
        <v>69</v>
      </c>
    </row>
    <row r="27" spans="2:15" x14ac:dyDescent="0.2">
      <c r="B27" s="2" t="s">
        <v>87</v>
      </c>
      <c r="C27" s="2">
        <f t="shared" ca="1" si="0"/>
        <v>2.435986344767338E-2</v>
      </c>
      <c r="D27" s="2" t="str">
        <f t="shared" ca="1" si="1"/>
        <v>F</v>
      </c>
      <c r="E27" s="2" t="str">
        <f t="shared" ca="1" si="2"/>
        <v>F</v>
      </c>
      <c r="F27" s="2">
        <f t="shared" ca="1" si="3"/>
        <v>70</v>
      </c>
    </row>
    <row r="28" spans="2:15" x14ac:dyDescent="0.2">
      <c r="B28" s="2" t="s">
        <v>86</v>
      </c>
      <c r="C28" s="2">
        <f t="shared" ca="1" si="0"/>
        <v>0.47820350144201484</v>
      </c>
      <c r="D28" s="2" t="str">
        <f t="shared" ca="1" si="1"/>
        <v>C</v>
      </c>
      <c r="E28" s="2" t="str">
        <f t="shared" ca="1" si="2"/>
        <v>C</v>
      </c>
      <c r="F28" s="2">
        <f t="shared" ca="1" si="3"/>
        <v>66</v>
      </c>
    </row>
    <row r="29" spans="2:15" x14ac:dyDescent="0.2">
      <c r="B29" s="2" t="s">
        <v>85</v>
      </c>
      <c r="C29" s="2">
        <f t="shared" ca="1" si="0"/>
        <v>0.34650100791901994</v>
      </c>
      <c r="D29" s="2" t="str">
        <f t="shared" ca="1" si="1"/>
        <v>B</v>
      </c>
      <c r="E29" s="2" t="str">
        <f t="shared" ca="1" si="2"/>
        <v>B</v>
      </c>
      <c r="F29" s="2">
        <f t="shared" ca="1" si="3"/>
        <v>29</v>
      </c>
    </row>
    <row r="30" spans="2:15" x14ac:dyDescent="0.2">
      <c r="B30" s="2" t="s">
        <v>84</v>
      </c>
      <c r="C30" s="2">
        <f t="shared" ca="1" si="0"/>
        <v>0.13874698045753964</v>
      </c>
      <c r="D30" s="2" t="str">
        <f t="shared" ca="1" si="1"/>
        <v>A</v>
      </c>
      <c r="E30" s="2" t="str">
        <f t="shared" ca="1" si="2"/>
        <v>A</v>
      </c>
      <c r="F30" s="2">
        <f t="shared" ca="1" si="3"/>
        <v>34</v>
      </c>
    </row>
    <row r="31" spans="2:15" x14ac:dyDescent="0.2">
      <c r="B31" s="2" t="s">
        <v>83</v>
      </c>
      <c r="C31" s="2">
        <f t="shared" ca="1" si="0"/>
        <v>0.61955000401582672</v>
      </c>
      <c r="D31" s="2" t="str">
        <f t="shared" ca="1" si="1"/>
        <v>D</v>
      </c>
      <c r="E31" s="2" t="str">
        <f t="shared" ca="1" si="2"/>
        <v>E</v>
      </c>
      <c r="F31" s="2">
        <f t="shared" ca="1" si="3"/>
        <v>67</v>
      </c>
    </row>
    <row r="32" spans="2:15" x14ac:dyDescent="0.2">
      <c r="B32" s="2" t="s">
        <v>82</v>
      </c>
      <c r="C32" s="2">
        <f t="shared" ca="1" si="0"/>
        <v>0.89916851268347997</v>
      </c>
      <c r="D32" s="2" t="str">
        <f t="shared" ca="1" si="1"/>
        <v>E</v>
      </c>
      <c r="E32" s="2" t="str">
        <f t="shared" ca="1" si="2"/>
        <v>E</v>
      </c>
      <c r="F32" s="2">
        <f t="shared" ca="1" si="3"/>
        <v>32</v>
      </c>
    </row>
    <row r="33" spans="2:6" x14ac:dyDescent="0.2">
      <c r="B33" s="2" t="s">
        <v>81</v>
      </c>
      <c r="C33" s="2">
        <f t="shared" ca="1" si="0"/>
        <v>0.44630345151698381</v>
      </c>
      <c r="D33" s="2" t="str">
        <f t="shared" ca="1" si="1"/>
        <v>C</v>
      </c>
      <c r="E33" s="2" t="str">
        <f t="shared" ca="1" si="2"/>
        <v>B</v>
      </c>
      <c r="F33" s="2">
        <f t="shared" ca="1" si="3"/>
        <v>33</v>
      </c>
    </row>
    <row r="34" spans="2:6" x14ac:dyDescent="0.2">
      <c r="B34" s="2" t="s">
        <v>80</v>
      </c>
      <c r="C34" s="2">
        <f t="shared" ca="1" si="0"/>
        <v>0.86661888197230075</v>
      </c>
      <c r="D34" s="2" t="str">
        <f t="shared" ca="1" si="1"/>
        <v>E</v>
      </c>
      <c r="E34" s="2" t="str">
        <f t="shared" ca="1" si="2"/>
        <v>F</v>
      </c>
      <c r="F34" s="2">
        <f t="shared" ca="1" si="3"/>
        <v>94</v>
      </c>
    </row>
    <row r="35" spans="2:6" x14ac:dyDescent="0.2">
      <c r="B35" s="2" t="s">
        <v>79</v>
      </c>
      <c r="C35" s="2">
        <f t="shared" ca="1" si="0"/>
        <v>0.77144510940782296</v>
      </c>
      <c r="D35" s="2" t="str">
        <f t="shared" ca="1" si="1"/>
        <v>E</v>
      </c>
      <c r="E35" s="2" t="str">
        <f t="shared" ca="1" si="2"/>
        <v>F</v>
      </c>
      <c r="F35" s="2">
        <f t="shared" ca="1" si="3"/>
        <v>90</v>
      </c>
    </row>
    <row r="36" spans="2:6" x14ac:dyDescent="0.2">
      <c r="B36" s="2" t="s">
        <v>78</v>
      </c>
      <c r="C36" s="2">
        <f t="shared" ca="1" si="0"/>
        <v>0.65610795215201922</v>
      </c>
      <c r="D36" s="2" t="str">
        <f t="shared" ca="1" si="1"/>
        <v>D</v>
      </c>
      <c r="E36" s="2" t="str">
        <f t="shared" ca="1" si="2"/>
        <v>E</v>
      </c>
      <c r="F36" s="2">
        <f t="shared" ca="1" si="3"/>
        <v>84</v>
      </c>
    </row>
    <row r="37" spans="2:6" x14ac:dyDescent="0.2">
      <c r="B37" s="2" t="s">
        <v>77</v>
      </c>
      <c r="C37" s="2">
        <f t="shared" ca="1" si="0"/>
        <v>0.79202311974999129</v>
      </c>
      <c r="D37" s="2" t="str">
        <f t="shared" ca="1" si="1"/>
        <v>E</v>
      </c>
      <c r="E37" s="2" t="str">
        <f t="shared" ca="1" si="2"/>
        <v>F</v>
      </c>
      <c r="F37" s="2">
        <f t="shared" ca="1" si="3"/>
        <v>35</v>
      </c>
    </row>
    <row r="38" spans="2:6" x14ac:dyDescent="0.2">
      <c r="B38" s="2" t="s">
        <v>76</v>
      </c>
      <c r="C38" s="2">
        <f t="shared" ca="1" si="0"/>
        <v>0.38594081000922142</v>
      </c>
      <c r="D38" s="2" t="str">
        <f t="shared" ca="1" si="1"/>
        <v>B</v>
      </c>
      <c r="E38" s="2" t="str">
        <f t="shared" ca="1" si="2"/>
        <v>B</v>
      </c>
      <c r="F38" s="2">
        <f t="shared" ca="1" si="3"/>
        <v>75</v>
      </c>
    </row>
    <row r="39" spans="2:6" x14ac:dyDescent="0.2">
      <c r="B39" s="2" t="s">
        <v>75</v>
      </c>
      <c r="C39" s="2">
        <f t="shared" ca="1" si="0"/>
        <v>0.15712084001557547</v>
      </c>
      <c r="D39" s="2" t="str">
        <f t="shared" ca="1" si="1"/>
        <v>A</v>
      </c>
      <c r="E39" s="2" t="str">
        <f t="shared" ca="1" si="2"/>
        <v>A</v>
      </c>
      <c r="F39" s="2">
        <f t="shared" ca="1" si="3"/>
        <v>77</v>
      </c>
    </row>
    <row r="40" spans="2:6" x14ac:dyDescent="0.2">
      <c r="B40" s="2" t="s">
        <v>74</v>
      </c>
      <c r="C40" s="2">
        <f t="shared" ca="1" si="0"/>
        <v>0.42490201118616677</v>
      </c>
      <c r="D40" s="2" t="str">
        <f t="shared" ca="1" si="1"/>
        <v>C</v>
      </c>
      <c r="E40" s="2" t="str">
        <f t="shared" ca="1" si="2"/>
        <v>C</v>
      </c>
      <c r="F40" s="2">
        <f t="shared" ca="1" si="3"/>
        <v>67</v>
      </c>
    </row>
    <row r="41" spans="2:6" x14ac:dyDescent="0.2">
      <c r="B41" s="2" t="s">
        <v>73</v>
      </c>
      <c r="C41" s="2">
        <f t="shared" ca="1" si="0"/>
        <v>0.6835521590781668</v>
      </c>
      <c r="D41" s="2" t="str">
        <f t="shared" ca="1" si="1"/>
        <v>D</v>
      </c>
      <c r="E41" s="2" t="str">
        <f t="shared" ca="1" si="2"/>
        <v>D</v>
      </c>
      <c r="F41" s="2">
        <f t="shared" ca="1" si="3"/>
        <v>100</v>
      </c>
    </row>
    <row r="42" spans="2:6" x14ac:dyDescent="0.2">
      <c r="B42" s="2" t="s">
        <v>72</v>
      </c>
      <c r="C42" s="2">
        <f t="shared" ref="C42:C73" ca="1" si="5">RAND()</f>
        <v>0.56324935832770728</v>
      </c>
      <c r="D42" s="2" t="str">
        <f t="shared" ref="D42:D73" ca="1" si="6">(IFERROR(VLOOKUP(C42,ratingsTbl,2,1),"F"))</f>
        <v>C</v>
      </c>
      <c r="E42" s="2" t="str">
        <f t="shared" ref="E42:E73" ca="1" si="7">IFERROR(IF(D42="F","F",VLOOKUP(C42+(RAND()-0.25)/2,ratingsTbl,2,1)),"A")</f>
        <v>E</v>
      </c>
      <c r="F42" s="2">
        <f t="shared" ref="F42:F73" ca="1" si="8">RANDBETWEEN(20,100)</f>
        <v>78</v>
      </c>
    </row>
    <row r="43" spans="2:6" x14ac:dyDescent="0.2">
      <c r="B43" s="2" t="s">
        <v>71</v>
      </c>
      <c r="C43" s="2">
        <f t="shared" ca="1" si="5"/>
        <v>0.30376734304555064</v>
      </c>
      <c r="D43" s="2" t="str">
        <f t="shared" ca="1" si="6"/>
        <v>B</v>
      </c>
      <c r="E43" s="2" t="str">
        <f t="shared" ca="1" si="7"/>
        <v>B</v>
      </c>
      <c r="F43" s="2">
        <f t="shared" ca="1" si="8"/>
        <v>87</v>
      </c>
    </row>
    <row r="44" spans="2:6" x14ac:dyDescent="0.2">
      <c r="B44" s="2" t="s">
        <v>70</v>
      </c>
      <c r="C44" s="2">
        <f t="shared" ca="1" si="5"/>
        <v>0.89674520250967937</v>
      </c>
      <c r="D44" s="2" t="str">
        <f t="shared" ca="1" si="6"/>
        <v>E</v>
      </c>
      <c r="E44" s="2" t="str">
        <f t="shared" ca="1" si="7"/>
        <v>F</v>
      </c>
      <c r="F44" s="2">
        <f t="shared" ca="1" si="8"/>
        <v>69</v>
      </c>
    </row>
    <row r="45" spans="2:6" x14ac:dyDescent="0.2">
      <c r="B45" s="2" t="s">
        <v>69</v>
      </c>
      <c r="C45" s="2">
        <f t="shared" ca="1" si="5"/>
        <v>0.16875973222607155</v>
      </c>
      <c r="D45" s="2" t="str">
        <f t="shared" ca="1" si="6"/>
        <v>A</v>
      </c>
      <c r="E45" s="2" t="str">
        <f t="shared" ca="1" si="7"/>
        <v>C</v>
      </c>
      <c r="F45" s="2">
        <f t="shared" ca="1" si="8"/>
        <v>61</v>
      </c>
    </row>
    <row r="46" spans="2:6" x14ac:dyDescent="0.2">
      <c r="B46" s="2" t="s">
        <v>68</v>
      </c>
      <c r="C46" s="2">
        <f t="shared" ca="1" si="5"/>
        <v>0.7333299251592591</v>
      </c>
      <c r="D46" s="2" t="str">
        <f t="shared" ca="1" si="6"/>
        <v>E</v>
      </c>
      <c r="E46" s="2" t="str">
        <f t="shared" ca="1" si="7"/>
        <v>E</v>
      </c>
      <c r="F46" s="2">
        <f t="shared" ca="1" si="8"/>
        <v>84</v>
      </c>
    </row>
    <row r="47" spans="2:6" x14ac:dyDescent="0.2">
      <c r="B47" s="2" t="s">
        <v>67</v>
      </c>
      <c r="C47" s="2">
        <f t="shared" ca="1" si="5"/>
        <v>0.75606385074738125</v>
      </c>
      <c r="D47" s="2" t="str">
        <f t="shared" ca="1" si="6"/>
        <v>E</v>
      </c>
      <c r="E47" s="2" t="str">
        <f t="shared" ca="1" si="7"/>
        <v>D</v>
      </c>
      <c r="F47" s="2">
        <f t="shared" ca="1" si="8"/>
        <v>77</v>
      </c>
    </row>
    <row r="48" spans="2:6" x14ac:dyDescent="0.2">
      <c r="B48" s="2" t="s">
        <v>66</v>
      </c>
      <c r="C48" s="2">
        <f t="shared" ca="1" si="5"/>
        <v>0.31903657524729734</v>
      </c>
      <c r="D48" s="2" t="str">
        <f t="shared" ca="1" si="6"/>
        <v>B</v>
      </c>
      <c r="E48" s="2" t="str">
        <f t="shared" ca="1" si="7"/>
        <v>B</v>
      </c>
      <c r="F48" s="2">
        <f t="shared" ca="1" si="8"/>
        <v>75</v>
      </c>
    </row>
    <row r="49" spans="2:6" x14ac:dyDescent="0.2">
      <c r="B49" s="2" t="s">
        <v>65</v>
      </c>
      <c r="C49" s="2">
        <f t="shared" ca="1" si="5"/>
        <v>0.37672535121271389</v>
      </c>
      <c r="D49" s="2" t="str">
        <f t="shared" ca="1" si="6"/>
        <v>B</v>
      </c>
      <c r="E49" s="2" t="str">
        <f t="shared" ca="1" si="7"/>
        <v>C</v>
      </c>
      <c r="F49" s="2">
        <f t="shared" ca="1" si="8"/>
        <v>29</v>
      </c>
    </row>
    <row r="50" spans="2:6" x14ac:dyDescent="0.2">
      <c r="B50" s="2" t="s">
        <v>64</v>
      </c>
      <c r="C50" s="2">
        <f t="shared" ca="1" si="5"/>
        <v>0.63005759036205966</v>
      </c>
      <c r="D50" s="2" t="str">
        <f t="shared" ca="1" si="6"/>
        <v>D</v>
      </c>
      <c r="E50" s="2" t="str">
        <f t="shared" ca="1" si="7"/>
        <v>E</v>
      </c>
      <c r="F50" s="2">
        <f t="shared" ca="1" si="8"/>
        <v>57</v>
      </c>
    </row>
    <row r="51" spans="2:6" x14ac:dyDescent="0.2">
      <c r="B51" s="2" t="s">
        <v>63</v>
      </c>
      <c r="C51" s="2">
        <f t="shared" ca="1" si="5"/>
        <v>0.62336374592330512</v>
      </c>
      <c r="D51" s="2" t="str">
        <f t="shared" ca="1" si="6"/>
        <v>D</v>
      </c>
      <c r="E51" s="2" t="str">
        <f t="shared" ca="1" si="7"/>
        <v>D</v>
      </c>
      <c r="F51" s="2">
        <f t="shared" ca="1" si="8"/>
        <v>22</v>
      </c>
    </row>
    <row r="52" spans="2:6" x14ac:dyDescent="0.2">
      <c r="B52" s="2" t="s">
        <v>62</v>
      </c>
      <c r="C52" s="2">
        <f t="shared" ca="1" si="5"/>
        <v>0.74618576727241637</v>
      </c>
      <c r="D52" s="2" t="str">
        <f t="shared" ca="1" si="6"/>
        <v>E</v>
      </c>
      <c r="E52" s="2" t="str">
        <f t="shared" ca="1" si="7"/>
        <v>E</v>
      </c>
      <c r="F52" s="2">
        <f t="shared" ca="1" si="8"/>
        <v>52</v>
      </c>
    </row>
    <row r="53" spans="2:6" x14ac:dyDescent="0.2">
      <c r="B53" s="2" t="s">
        <v>61</v>
      </c>
      <c r="C53" s="2">
        <f t="shared" ca="1" si="5"/>
        <v>0.3596875504133471</v>
      </c>
      <c r="D53" s="2" t="str">
        <f t="shared" ca="1" si="6"/>
        <v>B</v>
      </c>
      <c r="E53" s="2" t="str">
        <f t="shared" ca="1" si="7"/>
        <v>D</v>
      </c>
      <c r="F53" s="2">
        <f t="shared" ca="1" si="8"/>
        <v>34</v>
      </c>
    </row>
    <row r="54" spans="2:6" x14ac:dyDescent="0.2">
      <c r="B54" s="2" t="s">
        <v>60</v>
      </c>
      <c r="C54" s="2">
        <f t="shared" ca="1" si="5"/>
        <v>0.27752566623645403</v>
      </c>
      <c r="D54" s="2" t="str">
        <f t="shared" ca="1" si="6"/>
        <v>B</v>
      </c>
      <c r="E54" s="2" t="str">
        <f t="shared" ca="1" si="7"/>
        <v>C</v>
      </c>
      <c r="F54" s="2">
        <f t="shared" ca="1" si="8"/>
        <v>88</v>
      </c>
    </row>
    <row r="55" spans="2:6" x14ac:dyDescent="0.2">
      <c r="B55" s="2" t="s">
        <v>59</v>
      </c>
      <c r="C55" s="2">
        <f t="shared" ca="1" si="5"/>
        <v>8.1760846940638787E-2</v>
      </c>
      <c r="D55" s="2" t="str">
        <f t="shared" ca="1" si="6"/>
        <v>F</v>
      </c>
      <c r="E55" s="2" t="str">
        <f t="shared" ca="1" si="7"/>
        <v>F</v>
      </c>
      <c r="F55" s="2">
        <f t="shared" ca="1" si="8"/>
        <v>65</v>
      </c>
    </row>
    <row r="56" spans="2:6" x14ac:dyDescent="0.2">
      <c r="B56" s="2" t="s">
        <v>58</v>
      </c>
      <c r="C56" s="2">
        <f t="shared" ca="1" si="5"/>
        <v>0.45443069182154538</v>
      </c>
      <c r="D56" s="2" t="str">
        <f t="shared" ca="1" si="6"/>
        <v>C</v>
      </c>
      <c r="E56" s="2" t="str">
        <f t="shared" ca="1" si="7"/>
        <v>C</v>
      </c>
      <c r="F56" s="2">
        <f t="shared" ca="1" si="8"/>
        <v>75</v>
      </c>
    </row>
    <row r="57" spans="2:6" x14ac:dyDescent="0.2">
      <c r="B57" s="2" t="s">
        <v>57</v>
      </c>
      <c r="C57" s="2">
        <f t="shared" ca="1" si="5"/>
        <v>0.11341953188368714</v>
      </c>
      <c r="D57" s="2" t="str">
        <f t="shared" ca="1" si="6"/>
        <v>A</v>
      </c>
      <c r="E57" s="2" t="str">
        <f t="shared" ca="1" si="7"/>
        <v>C</v>
      </c>
      <c r="F57" s="2">
        <f t="shared" ca="1" si="8"/>
        <v>51</v>
      </c>
    </row>
    <row r="58" spans="2:6" x14ac:dyDescent="0.2">
      <c r="B58" s="2" t="s">
        <v>56</v>
      </c>
      <c r="C58" s="2">
        <f t="shared" ca="1" si="5"/>
        <v>0.15488830516566232</v>
      </c>
      <c r="D58" s="2" t="str">
        <f t="shared" ca="1" si="6"/>
        <v>A</v>
      </c>
      <c r="E58" s="2" t="str">
        <f t="shared" ca="1" si="7"/>
        <v>B</v>
      </c>
      <c r="F58" s="2">
        <f t="shared" ca="1" si="8"/>
        <v>64</v>
      </c>
    </row>
    <row r="59" spans="2:6" x14ac:dyDescent="0.2">
      <c r="B59" s="2" t="s">
        <v>55</v>
      </c>
      <c r="C59" s="2">
        <f t="shared" ca="1" si="5"/>
        <v>0.1909927987541461</v>
      </c>
      <c r="D59" s="2" t="str">
        <f t="shared" ca="1" si="6"/>
        <v>A</v>
      </c>
      <c r="E59" s="2" t="str">
        <f t="shared" ca="1" si="7"/>
        <v>C</v>
      </c>
      <c r="F59" s="2">
        <f t="shared" ca="1" si="8"/>
        <v>65</v>
      </c>
    </row>
    <row r="60" spans="2:6" x14ac:dyDescent="0.2">
      <c r="B60" s="2" t="s">
        <v>54</v>
      </c>
      <c r="C60" s="2">
        <f t="shared" ca="1" si="5"/>
        <v>0.91708896338506318</v>
      </c>
      <c r="D60" s="2" t="str">
        <f t="shared" ca="1" si="6"/>
        <v>F</v>
      </c>
      <c r="E60" s="2" t="str">
        <f t="shared" ca="1" si="7"/>
        <v>F</v>
      </c>
      <c r="F60" s="2">
        <f t="shared" ca="1" si="8"/>
        <v>75</v>
      </c>
    </row>
    <row r="61" spans="2:6" x14ac:dyDescent="0.2">
      <c r="B61" s="2" t="s">
        <v>53</v>
      </c>
      <c r="C61" s="2">
        <f t="shared" ca="1" si="5"/>
        <v>0.8140207111913107</v>
      </c>
      <c r="D61" s="2" t="str">
        <f t="shared" ca="1" si="6"/>
        <v>E</v>
      </c>
      <c r="E61" s="2" t="str">
        <f t="shared" ca="1" si="7"/>
        <v>F</v>
      </c>
      <c r="F61" s="2">
        <f t="shared" ca="1" si="8"/>
        <v>98</v>
      </c>
    </row>
    <row r="62" spans="2:6" x14ac:dyDescent="0.2">
      <c r="B62" s="2" t="s">
        <v>52</v>
      </c>
      <c r="C62" s="2">
        <f t="shared" ca="1" si="5"/>
        <v>9.4447692142271999E-2</v>
      </c>
      <c r="D62" s="2" t="str">
        <f t="shared" ca="1" si="6"/>
        <v>F</v>
      </c>
      <c r="E62" s="2" t="str">
        <f t="shared" ca="1" si="7"/>
        <v>F</v>
      </c>
      <c r="F62" s="2">
        <f t="shared" ca="1" si="8"/>
        <v>62</v>
      </c>
    </row>
    <row r="63" spans="2:6" x14ac:dyDescent="0.2">
      <c r="B63" s="2" t="s">
        <v>51</v>
      </c>
      <c r="C63" s="2">
        <f t="shared" ca="1" si="5"/>
        <v>0.63803303660860244</v>
      </c>
      <c r="D63" s="2" t="str">
        <f t="shared" ca="1" si="6"/>
        <v>D</v>
      </c>
      <c r="E63" s="2" t="str">
        <f t="shared" ca="1" si="7"/>
        <v>F</v>
      </c>
      <c r="F63" s="2">
        <f t="shared" ca="1" si="8"/>
        <v>21</v>
      </c>
    </row>
    <row r="64" spans="2:6" x14ac:dyDescent="0.2">
      <c r="B64" s="2" t="s">
        <v>50</v>
      </c>
      <c r="C64" s="2">
        <f t="shared" ca="1" si="5"/>
        <v>0.17712742843909457</v>
      </c>
      <c r="D64" s="2" t="str">
        <f t="shared" ca="1" si="6"/>
        <v>A</v>
      </c>
      <c r="E64" s="2" t="str">
        <f t="shared" ca="1" si="7"/>
        <v>C</v>
      </c>
      <c r="F64" s="2">
        <f t="shared" ca="1" si="8"/>
        <v>75</v>
      </c>
    </row>
    <row r="65" spans="2:6" x14ac:dyDescent="0.2">
      <c r="B65" s="2" t="s">
        <v>49</v>
      </c>
      <c r="C65" s="2">
        <f t="shared" ca="1" si="5"/>
        <v>0.88597161413979142</v>
      </c>
      <c r="D65" s="2" t="str">
        <f t="shared" ca="1" si="6"/>
        <v>E</v>
      </c>
      <c r="E65" s="2" t="str">
        <f t="shared" ca="1" si="7"/>
        <v>F</v>
      </c>
      <c r="F65" s="2">
        <f t="shared" ca="1" si="8"/>
        <v>47</v>
      </c>
    </row>
    <row r="66" spans="2:6" x14ac:dyDescent="0.2">
      <c r="B66" s="2" t="s">
        <v>48</v>
      </c>
      <c r="C66" s="2">
        <f t="shared" ca="1" si="5"/>
        <v>0.76589756869419157</v>
      </c>
      <c r="D66" s="2" t="str">
        <f t="shared" ca="1" si="6"/>
        <v>E</v>
      </c>
      <c r="E66" s="2" t="str">
        <f t="shared" ca="1" si="7"/>
        <v>F</v>
      </c>
      <c r="F66" s="2">
        <f t="shared" ca="1" si="8"/>
        <v>58</v>
      </c>
    </row>
    <row r="67" spans="2:6" x14ac:dyDescent="0.2">
      <c r="B67" s="2" t="s">
        <v>47</v>
      </c>
      <c r="C67" s="2">
        <f t="shared" ca="1" si="5"/>
        <v>4.0928798578157122E-2</v>
      </c>
      <c r="D67" s="2" t="str">
        <f t="shared" ca="1" si="6"/>
        <v>F</v>
      </c>
      <c r="E67" s="2" t="str">
        <f t="shared" ca="1" si="7"/>
        <v>F</v>
      </c>
      <c r="F67" s="2">
        <f t="shared" ca="1" si="8"/>
        <v>98</v>
      </c>
    </row>
    <row r="68" spans="2:6" x14ac:dyDescent="0.2">
      <c r="B68" s="2" t="s">
        <v>46</v>
      </c>
      <c r="C68" s="2">
        <f t="shared" ca="1" si="5"/>
        <v>7.5826527194613469E-2</v>
      </c>
      <c r="D68" s="2" t="str">
        <f t="shared" ca="1" si="6"/>
        <v>F</v>
      </c>
      <c r="E68" s="2" t="str">
        <f t="shared" ca="1" si="7"/>
        <v>F</v>
      </c>
      <c r="F68" s="2">
        <f t="shared" ca="1" si="8"/>
        <v>77</v>
      </c>
    </row>
    <row r="69" spans="2:6" x14ac:dyDescent="0.2">
      <c r="B69" s="2" t="s">
        <v>45</v>
      </c>
      <c r="C69" s="2">
        <f t="shared" ca="1" si="5"/>
        <v>0.25730676429377763</v>
      </c>
      <c r="D69" s="2" t="str">
        <f t="shared" ca="1" si="6"/>
        <v>B</v>
      </c>
      <c r="E69" s="2" t="str">
        <f t="shared" ca="1" si="7"/>
        <v>D</v>
      </c>
      <c r="F69" s="2">
        <f t="shared" ca="1" si="8"/>
        <v>77</v>
      </c>
    </row>
    <row r="70" spans="2:6" x14ac:dyDescent="0.2">
      <c r="B70" s="2" t="s">
        <v>44</v>
      </c>
      <c r="C70" s="2">
        <f t="shared" ca="1" si="5"/>
        <v>5.4188507872602876E-2</v>
      </c>
      <c r="D70" s="2" t="str">
        <f t="shared" ca="1" si="6"/>
        <v>F</v>
      </c>
      <c r="E70" s="2" t="str">
        <f t="shared" ca="1" si="7"/>
        <v>F</v>
      </c>
      <c r="F70" s="2">
        <f t="shared" ca="1" si="8"/>
        <v>31</v>
      </c>
    </row>
    <row r="71" spans="2:6" x14ac:dyDescent="0.2">
      <c r="B71" s="2" t="s">
        <v>43</v>
      </c>
      <c r="C71" s="2">
        <f t="shared" ca="1" si="5"/>
        <v>0.92564719014921948</v>
      </c>
      <c r="D71" s="2" t="str">
        <f t="shared" ca="1" si="6"/>
        <v>F</v>
      </c>
      <c r="E71" s="2" t="str">
        <f t="shared" ca="1" si="7"/>
        <v>F</v>
      </c>
      <c r="F71" s="2">
        <f t="shared" ca="1" si="8"/>
        <v>55</v>
      </c>
    </row>
    <row r="72" spans="2:6" x14ac:dyDescent="0.2">
      <c r="B72" s="2" t="s">
        <v>42</v>
      </c>
      <c r="C72" s="2">
        <f t="shared" ca="1" si="5"/>
        <v>0.32436190806978071</v>
      </c>
      <c r="D72" s="2" t="str">
        <f t="shared" ca="1" si="6"/>
        <v>B</v>
      </c>
      <c r="E72" s="2" t="str">
        <f t="shared" ca="1" si="7"/>
        <v>B</v>
      </c>
      <c r="F72" s="2">
        <f t="shared" ca="1" si="8"/>
        <v>78</v>
      </c>
    </row>
    <row r="73" spans="2:6" x14ac:dyDescent="0.2">
      <c r="B73" s="2" t="s">
        <v>41</v>
      </c>
      <c r="C73" s="2">
        <f t="shared" ca="1" si="5"/>
        <v>0.64197276454934804</v>
      </c>
      <c r="D73" s="2" t="str">
        <f t="shared" ca="1" si="6"/>
        <v>D</v>
      </c>
      <c r="E73" s="2" t="str">
        <f t="shared" ca="1" si="7"/>
        <v>D</v>
      </c>
      <c r="F73" s="2">
        <f t="shared" ca="1" si="8"/>
        <v>32</v>
      </c>
    </row>
    <row r="74" spans="2:6" x14ac:dyDescent="0.2">
      <c r="B74" s="2" t="s">
        <v>40</v>
      </c>
      <c r="C74" s="2">
        <f t="shared" ref="C74:C109" ca="1" si="9">RAND()</f>
        <v>0.27818079911385829</v>
      </c>
      <c r="D74" s="2" t="str">
        <f t="shared" ref="D74:D105" ca="1" si="10">(IFERROR(VLOOKUP(C74,ratingsTbl,2,1),"F"))</f>
        <v>B</v>
      </c>
      <c r="E74" s="2" t="str">
        <f t="shared" ref="E74:E105" ca="1" si="11">IFERROR(IF(D74="F","F",VLOOKUP(C74+(RAND()-0.25)/2,ratingsTbl,2,1)),"A")</f>
        <v>B</v>
      </c>
      <c r="F74" s="2">
        <f t="shared" ref="F74:F109" ca="1" si="12">RANDBETWEEN(20,100)</f>
        <v>85</v>
      </c>
    </row>
    <row r="75" spans="2:6" x14ac:dyDescent="0.2">
      <c r="B75" s="2" t="s">
        <v>39</v>
      </c>
      <c r="C75" s="2">
        <f t="shared" ca="1" si="9"/>
        <v>0.52974708120463476</v>
      </c>
      <c r="D75" s="2" t="str">
        <f t="shared" ca="1" si="10"/>
        <v>C</v>
      </c>
      <c r="E75" s="2" t="str">
        <f t="shared" ca="1" si="11"/>
        <v>E</v>
      </c>
      <c r="F75" s="2">
        <f t="shared" ca="1" si="12"/>
        <v>81</v>
      </c>
    </row>
    <row r="76" spans="2:6" x14ac:dyDescent="0.2">
      <c r="B76" s="2" t="s">
        <v>38</v>
      </c>
      <c r="C76" s="2">
        <f t="shared" ca="1" si="9"/>
        <v>0.93450999872146545</v>
      </c>
      <c r="D76" s="2" t="str">
        <f t="shared" ca="1" si="10"/>
        <v>F</v>
      </c>
      <c r="E76" s="2" t="str">
        <f t="shared" ca="1" si="11"/>
        <v>F</v>
      </c>
      <c r="F76" s="2">
        <f t="shared" ca="1" si="12"/>
        <v>32</v>
      </c>
    </row>
    <row r="77" spans="2:6" x14ac:dyDescent="0.2">
      <c r="B77" s="2" t="s">
        <v>37</v>
      </c>
      <c r="C77" s="2">
        <f t="shared" ca="1" si="9"/>
        <v>0.68424341600511462</v>
      </c>
      <c r="D77" s="2" t="str">
        <f t="shared" ca="1" si="10"/>
        <v>D</v>
      </c>
      <c r="E77" s="2" t="str">
        <f t="shared" ca="1" si="11"/>
        <v>E</v>
      </c>
      <c r="F77" s="2">
        <f t="shared" ca="1" si="12"/>
        <v>30</v>
      </c>
    </row>
    <row r="78" spans="2:6" x14ac:dyDescent="0.2">
      <c r="B78" s="2" t="s">
        <v>36</v>
      </c>
      <c r="C78" s="2">
        <f t="shared" ca="1" si="9"/>
        <v>0.92188101969575642</v>
      </c>
      <c r="D78" s="2" t="str">
        <f t="shared" ca="1" si="10"/>
        <v>F</v>
      </c>
      <c r="E78" s="2" t="str">
        <f t="shared" ca="1" si="11"/>
        <v>F</v>
      </c>
      <c r="F78" s="2">
        <f t="shared" ca="1" si="12"/>
        <v>39</v>
      </c>
    </row>
    <row r="79" spans="2:6" x14ac:dyDescent="0.2">
      <c r="B79" s="2" t="s">
        <v>35</v>
      </c>
      <c r="C79" s="2">
        <f t="shared" ca="1" si="9"/>
        <v>0.84272726941638876</v>
      </c>
      <c r="D79" s="2" t="str">
        <f t="shared" ca="1" si="10"/>
        <v>E</v>
      </c>
      <c r="E79" s="2" t="str">
        <f t="shared" ca="1" si="11"/>
        <v>F</v>
      </c>
      <c r="F79" s="2">
        <f t="shared" ca="1" si="12"/>
        <v>90</v>
      </c>
    </row>
    <row r="80" spans="2:6" x14ac:dyDescent="0.2">
      <c r="B80" s="2" t="s">
        <v>34</v>
      </c>
      <c r="C80" s="2">
        <f t="shared" ca="1" si="9"/>
        <v>0.53730446591966752</v>
      </c>
      <c r="D80" s="2" t="str">
        <f t="shared" ca="1" si="10"/>
        <v>C</v>
      </c>
      <c r="E80" s="2" t="str">
        <f t="shared" ca="1" si="11"/>
        <v>C</v>
      </c>
      <c r="F80" s="2">
        <f t="shared" ca="1" si="12"/>
        <v>57</v>
      </c>
    </row>
    <row r="81" spans="2:6" x14ac:dyDescent="0.2">
      <c r="B81" s="2" t="s">
        <v>33</v>
      </c>
      <c r="C81" s="2">
        <f t="shared" ca="1" si="9"/>
        <v>0.78955746858737175</v>
      </c>
      <c r="D81" s="2" t="str">
        <f t="shared" ca="1" si="10"/>
        <v>E</v>
      </c>
      <c r="E81" s="2" t="str">
        <f t="shared" ca="1" si="11"/>
        <v>F</v>
      </c>
      <c r="F81" s="2">
        <f t="shared" ca="1" si="12"/>
        <v>52</v>
      </c>
    </row>
    <row r="82" spans="2:6" x14ac:dyDescent="0.2">
      <c r="B82" s="2" t="s">
        <v>32</v>
      </c>
      <c r="C82" s="2">
        <f t="shared" ca="1" si="9"/>
        <v>0.77557227826022379</v>
      </c>
      <c r="D82" s="2" t="str">
        <f t="shared" ca="1" si="10"/>
        <v>E</v>
      </c>
      <c r="E82" s="2" t="str">
        <f t="shared" ca="1" si="11"/>
        <v>F</v>
      </c>
      <c r="F82" s="2">
        <f t="shared" ca="1" si="12"/>
        <v>53</v>
      </c>
    </row>
    <row r="83" spans="2:6" x14ac:dyDescent="0.2">
      <c r="B83" s="2" t="s">
        <v>31</v>
      </c>
      <c r="C83" s="2">
        <f t="shared" ca="1" si="9"/>
        <v>0.39994797056105236</v>
      </c>
      <c r="D83" s="2" t="str">
        <f t="shared" ca="1" si="10"/>
        <v>B</v>
      </c>
      <c r="E83" s="2" t="str">
        <f t="shared" ca="1" si="11"/>
        <v>C</v>
      </c>
      <c r="F83" s="2">
        <f t="shared" ca="1" si="12"/>
        <v>51</v>
      </c>
    </row>
    <row r="84" spans="2:6" x14ac:dyDescent="0.2">
      <c r="B84" s="2" t="s">
        <v>30</v>
      </c>
      <c r="C84" s="2">
        <f t="shared" ca="1" si="9"/>
        <v>0.90349269500145379</v>
      </c>
      <c r="D84" s="2" t="str">
        <f t="shared" ca="1" si="10"/>
        <v>F</v>
      </c>
      <c r="E84" s="2" t="str">
        <f t="shared" ca="1" si="11"/>
        <v>F</v>
      </c>
      <c r="F84" s="2">
        <f t="shared" ca="1" si="12"/>
        <v>93</v>
      </c>
    </row>
    <row r="85" spans="2:6" x14ac:dyDescent="0.2">
      <c r="B85" s="2" t="s">
        <v>29</v>
      </c>
      <c r="C85" s="2">
        <f t="shared" ca="1" si="9"/>
        <v>1.0048928937124835E-2</v>
      </c>
      <c r="D85" s="2" t="str">
        <f t="shared" ca="1" si="10"/>
        <v>F</v>
      </c>
      <c r="E85" s="2" t="str">
        <f t="shared" ca="1" si="11"/>
        <v>F</v>
      </c>
      <c r="F85" s="2">
        <f t="shared" ca="1" si="12"/>
        <v>68</v>
      </c>
    </row>
    <row r="86" spans="2:6" x14ac:dyDescent="0.2">
      <c r="B86" s="2" t="s">
        <v>28</v>
      </c>
      <c r="C86" s="2">
        <f t="shared" ca="1" si="9"/>
        <v>0.35639433228640782</v>
      </c>
      <c r="D86" s="2" t="str">
        <f t="shared" ca="1" si="10"/>
        <v>B</v>
      </c>
      <c r="E86" s="2" t="str">
        <f t="shared" ca="1" si="11"/>
        <v>C</v>
      </c>
      <c r="F86" s="2">
        <f t="shared" ca="1" si="12"/>
        <v>46</v>
      </c>
    </row>
    <row r="87" spans="2:6" x14ac:dyDescent="0.2">
      <c r="B87" s="2" t="s">
        <v>27</v>
      </c>
      <c r="C87" s="2">
        <f t="shared" ca="1" si="9"/>
        <v>3.0763999052541458E-2</v>
      </c>
      <c r="D87" s="2" t="str">
        <f t="shared" ca="1" si="10"/>
        <v>F</v>
      </c>
      <c r="E87" s="2" t="str">
        <f t="shared" ca="1" si="11"/>
        <v>F</v>
      </c>
      <c r="F87" s="2">
        <f t="shared" ca="1" si="12"/>
        <v>55</v>
      </c>
    </row>
    <row r="88" spans="2:6" x14ac:dyDescent="0.2">
      <c r="B88" s="2" t="s">
        <v>26</v>
      </c>
      <c r="C88" s="2">
        <f t="shared" ca="1" si="9"/>
        <v>0.69109517133174536</v>
      </c>
      <c r="D88" s="2" t="str">
        <f t="shared" ca="1" si="10"/>
        <v>D</v>
      </c>
      <c r="E88" s="2" t="str">
        <f t="shared" ca="1" si="11"/>
        <v>D</v>
      </c>
      <c r="F88" s="2">
        <f t="shared" ca="1" si="12"/>
        <v>40</v>
      </c>
    </row>
    <row r="89" spans="2:6" x14ac:dyDescent="0.2">
      <c r="B89" s="2" t="s">
        <v>25</v>
      </c>
      <c r="C89" s="2">
        <f t="shared" ca="1" si="9"/>
        <v>0.12859458811823277</v>
      </c>
      <c r="D89" s="2" t="str">
        <f t="shared" ca="1" si="10"/>
        <v>A</v>
      </c>
      <c r="E89" s="2" t="str">
        <f t="shared" ca="1" si="11"/>
        <v>B</v>
      </c>
      <c r="F89" s="2">
        <f t="shared" ca="1" si="12"/>
        <v>70</v>
      </c>
    </row>
    <row r="90" spans="2:6" x14ac:dyDescent="0.2">
      <c r="B90" s="2" t="s">
        <v>24</v>
      </c>
      <c r="C90" s="2">
        <f t="shared" ca="1" si="9"/>
        <v>0.60685320538201393</v>
      </c>
      <c r="D90" s="2" t="str">
        <f t="shared" ca="1" si="10"/>
        <v>D</v>
      </c>
      <c r="E90" s="2" t="str">
        <f t="shared" ca="1" si="11"/>
        <v>F</v>
      </c>
      <c r="F90" s="2">
        <f t="shared" ca="1" si="12"/>
        <v>26</v>
      </c>
    </row>
    <row r="91" spans="2:6" x14ac:dyDescent="0.2">
      <c r="B91" s="2" t="s">
        <v>23</v>
      </c>
      <c r="C91" s="2">
        <f t="shared" ca="1" si="9"/>
        <v>0.67195676338141053</v>
      </c>
      <c r="D91" s="2" t="str">
        <f t="shared" ca="1" si="10"/>
        <v>D</v>
      </c>
      <c r="E91" s="2" t="str">
        <f t="shared" ca="1" si="11"/>
        <v>D</v>
      </c>
      <c r="F91" s="2">
        <f t="shared" ca="1" si="12"/>
        <v>57</v>
      </c>
    </row>
    <row r="92" spans="2:6" x14ac:dyDescent="0.2">
      <c r="B92" s="2" t="s">
        <v>22</v>
      </c>
      <c r="C92" s="2">
        <f t="shared" ca="1" si="9"/>
        <v>0.4152224012264546</v>
      </c>
      <c r="D92" s="2" t="str">
        <f t="shared" ca="1" si="10"/>
        <v>C</v>
      </c>
      <c r="E92" s="2" t="str">
        <f t="shared" ca="1" si="11"/>
        <v>B</v>
      </c>
      <c r="F92" s="2">
        <f t="shared" ca="1" si="12"/>
        <v>54</v>
      </c>
    </row>
    <row r="93" spans="2:6" x14ac:dyDescent="0.2">
      <c r="B93" s="2" t="s">
        <v>21</v>
      </c>
      <c r="C93" s="2">
        <f t="shared" ca="1" si="9"/>
        <v>5.2179795401117168E-3</v>
      </c>
      <c r="D93" s="2" t="str">
        <f t="shared" ca="1" si="10"/>
        <v>F</v>
      </c>
      <c r="E93" s="2" t="str">
        <f t="shared" ca="1" si="11"/>
        <v>F</v>
      </c>
      <c r="F93" s="2">
        <f t="shared" ca="1" si="12"/>
        <v>82</v>
      </c>
    </row>
    <row r="94" spans="2:6" x14ac:dyDescent="0.2">
      <c r="B94" s="2" t="s">
        <v>20</v>
      </c>
      <c r="C94" s="2">
        <f t="shared" ca="1" si="9"/>
        <v>0.57006572487008056</v>
      </c>
      <c r="D94" s="2" t="str">
        <f t="shared" ca="1" si="10"/>
        <v>C</v>
      </c>
      <c r="E94" s="2" t="str">
        <f t="shared" ca="1" si="11"/>
        <v>D</v>
      </c>
      <c r="F94" s="2">
        <f t="shared" ca="1" si="12"/>
        <v>85</v>
      </c>
    </row>
    <row r="95" spans="2:6" x14ac:dyDescent="0.2">
      <c r="B95" s="2" t="s">
        <v>19</v>
      </c>
      <c r="C95" s="2">
        <f t="shared" ca="1" si="9"/>
        <v>0.85817289545674524</v>
      </c>
      <c r="D95" s="2" t="str">
        <f t="shared" ca="1" si="10"/>
        <v>E</v>
      </c>
      <c r="E95" s="2" t="str">
        <f t="shared" ca="1" si="11"/>
        <v>F</v>
      </c>
      <c r="F95" s="2">
        <f t="shared" ca="1" si="12"/>
        <v>59</v>
      </c>
    </row>
    <row r="96" spans="2:6" x14ac:dyDescent="0.2">
      <c r="B96" s="2" t="s">
        <v>18</v>
      </c>
      <c r="C96" s="2">
        <f t="shared" ca="1" si="9"/>
        <v>0.91572834006741199</v>
      </c>
      <c r="D96" s="2" t="str">
        <f t="shared" ca="1" si="10"/>
        <v>F</v>
      </c>
      <c r="E96" s="2" t="str">
        <f t="shared" ca="1" si="11"/>
        <v>F</v>
      </c>
      <c r="F96" s="2">
        <f t="shared" ca="1" si="12"/>
        <v>99</v>
      </c>
    </row>
    <row r="97" spans="2:6" x14ac:dyDescent="0.2">
      <c r="B97" s="2" t="s">
        <v>17</v>
      </c>
      <c r="C97" s="2">
        <f t="shared" ca="1" si="9"/>
        <v>0.3462793135697162</v>
      </c>
      <c r="D97" s="2" t="str">
        <f t="shared" ca="1" si="10"/>
        <v>B</v>
      </c>
      <c r="E97" s="2" t="str">
        <f t="shared" ca="1" si="11"/>
        <v>C</v>
      </c>
      <c r="F97" s="2">
        <f t="shared" ca="1" si="12"/>
        <v>62</v>
      </c>
    </row>
    <row r="98" spans="2:6" x14ac:dyDescent="0.2">
      <c r="B98" s="2" t="s">
        <v>16</v>
      </c>
      <c r="C98" s="2">
        <f t="shared" ca="1" si="9"/>
        <v>0.95139950695386932</v>
      </c>
      <c r="D98" s="2" t="str">
        <f t="shared" ca="1" si="10"/>
        <v>F</v>
      </c>
      <c r="E98" s="2" t="str">
        <f t="shared" ca="1" si="11"/>
        <v>F</v>
      </c>
      <c r="F98" s="2">
        <f t="shared" ca="1" si="12"/>
        <v>38</v>
      </c>
    </row>
    <row r="99" spans="2:6" x14ac:dyDescent="0.2">
      <c r="B99" s="2" t="s">
        <v>15</v>
      </c>
      <c r="C99" s="2">
        <f t="shared" ca="1" si="9"/>
        <v>0.19025377164822999</v>
      </c>
      <c r="D99" s="2" t="str">
        <f t="shared" ca="1" si="10"/>
        <v>A</v>
      </c>
      <c r="E99" s="2" t="str">
        <f t="shared" ca="1" si="11"/>
        <v>A</v>
      </c>
      <c r="F99" s="2">
        <f t="shared" ca="1" si="12"/>
        <v>85</v>
      </c>
    </row>
    <row r="100" spans="2:6" x14ac:dyDescent="0.2">
      <c r="B100" s="2" t="s">
        <v>14</v>
      </c>
      <c r="C100" s="2">
        <f t="shared" ca="1" si="9"/>
        <v>0.97393273463846797</v>
      </c>
      <c r="D100" s="2" t="str">
        <f t="shared" ca="1" si="10"/>
        <v>F</v>
      </c>
      <c r="E100" s="2" t="str">
        <f t="shared" ca="1" si="11"/>
        <v>F</v>
      </c>
      <c r="F100" s="2">
        <f t="shared" ca="1" si="12"/>
        <v>34</v>
      </c>
    </row>
    <row r="101" spans="2:6" x14ac:dyDescent="0.2">
      <c r="B101" s="2" t="s">
        <v>13</v>
      </c>
      <c r="C101" s="2">
        <f t="shared" ca="1" si="9"/>
        <v>8.8019804883742614E-2</v>
      </c>
      <c r="D101" s="2" t="str">
        <f t="shared" ca="1" si="10"/>
        <v>F</v>
      </c>
      <c r="E101" s="2" t="str">
        <f t="shared" ca="1" si="11"/>
        <v>F</v>
      </c>
      <c r="F101" s="2">
        <f t="shared" ca="1" si="12"/>
        <v>60</v>
      </c>
    </row>
    <row r="102" spans="2:6" x14ac:dyDescent="0.2">
      <c r="B102" s="2" t="s">
        <v>12</v>
      </c>
      <c r="C102" s="2">
        <f t="shared" ca="1" si="9"/>
        <v>0.55970020214429439</v>
      </c>
      <c r="D102" s="2" t="str">
        <f t="shared" ca="1" si="10"/>
        <v>C</v>
      </c>
      <c r="E102" s="2" t="str">
        <f t="shared" ca="1" si="11"/>
        <v>C</v>
      </c>
      <c r="F102" s="2">
        <f t="shared" ca="1" si="12"/>
        <v>79</v>
      </c>
    </row>
    <row r="103" spans="2:6" x14ac:dyDescent="0.2">
      <c r="B103" s="2" t="s">
        <v>11</v>
      </c>
      <c r="C103" s="2">
        <f t="shared" ca="1" si="9"/>
        <v>0.69648785512528244</v>
      </c>
      <c r="D103" s="2" t="str">
        <f t="shared" ca="1" si="10"/>
        <v>D</v>
      </c>
      <c r="E103" s="2" t="str">
        <f t="shared" ca="1" si="11"/>
        <v>F</v>
      </c>
      <c r="F103" s="2">
        <f t="shared" ca="1" si="12"/>
        <v>94</v>
      </c>
    </row>
    <row r="104" spans="2:6" x14ac:dyDescent="0.2">
      <c r="B104" s="2" t="s">
        <v>10</v>
      </c>
      <c r="C104" s="2">
        <f t="shared" ca="1" si="9"/>
        <v>0.55500924993315426</v>
      </c>
      <c r="D104" s="2" t="str">
        <f t="shared" ca="1" si="10"/>
        <v>C</v>
      </c>
      <c r="E104" s="2" t="str">
        <f t="shared" ca="1" si="11"/>
        <v>C</v>
      </c>
      <c r="F104" s="2">
        <f t="shared" ca="1" si="12"/>
        <v>87</v>
      </c>
    </row>
    <row r="105" spans="2:6" x14ac:dyDescent="0.2">
      <c r="B105" s="2" t="s">
        <v>9</v>
      </c>
      <c r="C105" s="2">
        <f t="shared" ca="1" si="9"/>
        <v>0.59372563606986895</v>
      </c>
      <c r="D105" s="2" t="str">
        <f t="shared" ca="1" si="10"/>
        <v>C</v>
      </c>
      <c r="E105" s="2" t="str">
        <f t="shared" ca="1" si="11"/>
        <v>C</v>
      </c>
      <c r="F105" s="2">
        <f t="shared" ca="1" si="12"/>
        <v>63</v>
      </c>
    </row>
    <row r="106" spans="2:6" x14ac:dyDescent="0.2">
      <c r="B106" s="2" t="s">
        <v>8</v>
      </c>
      <c r="C106" s="2">
        <f t="shared" ca="1" si="9"/>
        <v>0.17312265859007736</v>
      </c>
      <c r="D106" s="2" t="str">
        <f t="shared" ref="D106:D109" ca="1" si="13">(IFERROR(VLOOKUP(C106,ratingsTbl,2,1),"F"))</f>
        <v>A</v>
      </c>
      <c r="E106" s="2" t="str">
        <f t="shared" ref="E106:E109" ca="1" si="14">IFERROR(IF(D106="F","F",VLOOKUP(C106+(RAND()-0.25)/2,ratingsTbl,2,1)),"A")</f>
        <v>A</v>
      </c>
      <c r="F106" s="2">
        <f t="shared" ca="1" si="12"/>
        <v>72</v>
      </c>
    </row>
    <row r="107" spans="2:6" x14ac:dyDescent="0.2">
      <c r="B107" s="2" t="s">
        <v>7</v>
      </c>
      <c r="C107" s="2">
        <f t="shared" ca="1" si="9"/>
        <v>0.44123525869247449</v>
      </c>
      <c r="D107" s="2" t="str">
        <f t="shared" ca="1" si="13"/>
        <v>C</v>
      </c>
      <c r="E107" s="2" t="str">
        <f t="shared" ca="1" si="14"/>
        <v>D</v>
      </c>
      <c r="F107" s="2">
        <f t="shared" ca="1" si="12"/>
        <v>91</v>
      </c>
    </row>
    <row r="108" spans="2:6" x14ac:dyDescent="0.2">
      <c r="B108" s="2" t="s">
        <v>6</v>
      </c>
      <c r="C108" s="2">
        <f t="shared" ca="1" si="9"/>
        <v>0.15599425912250964</v>
      </c>
      <c r="D108" s="2" t="str">
        <f t="shared" ca="1" si="13"/>
        <v>A</v>
      </c>
      <c r="E108" s="2" t="str">
        <f t="shared" ca="1" si="14"/>
        <v>A</v>
      </c>
      <c r="F108" s="2">
        <f t="shared" ca="1" si="12"/>
        <v>45</v>
      </c>
    </row>
    <row r="109" spans="2:6" x14ac:dyDescent="0.2">
      <c r="B109" s="2" t="s">
        <v>5</v>
      </c>
      <c r="C109" s="2">
        <f t="shared" ca="1" si="9"/>
        <v>0.9440718474627795</v>
      </c>
      <c r="D109" s="2" t="str">
        <f t="shared" ca="1" si="13"/>
        <v>F</v>
      </c>
      <c r="E109" s="2" t="str">
        <f t="shared" ca="1" si="14"/>
        <v>F</v>
      </c>
      <c r="F109" s="2">
        <f t="shared" ca="1" si="12"/>
        <v>53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B2:T109"/>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6" width="10.6640625" style="2" customWidth="1"/>
    <col min="7" max="16" width="8.83203125" style="2"/>
    <col min="17" max="17" width="11.1640625" style="2" bestFit="1" customWidth="1"/>
    <col min="18" max="18" width="12" style="2" bestFit="1" customWidth="1"/>
    <col min="19" max="19" width="12.33203125" style="2" bestFit="1" customWidth="1"/>
    <col min="20" max="20" width="10.5" style="2" bestFit="1" customWidth="1"/>
    <col min="21" max="16384" width="8.83203125" style="2"/>
  </cols>
  <sheetData>
    <row r="2" spans="2:15" x14ac:dyDescent="0.2">
      <c r="B2" s="2">
        <v>0.1</v>
      </c>
      <c r="C2" s="30" t="s">
        <v>99</v>
      </c>
      <c r="D2" s="2" t="s">
        <v>148</v>
      </c>
    </row>
    <row r="3" spans="2:15" x14ac:dyDescent="0.2">
      <c r="B3" s="2">
        <v>0.2</v>
      </c>
      <c r="C3" s="30" t="s">
        <v>97</v>
      </c>
      <c r="D3" s="2" t="s">
        <v>149</v>
      </c>
    </row>
    <row r="4" spans="2:15" x14ac:dyDescent="0.2">
      <c r="B4" s="2">
        <v>0.4</v>
      </c>
      <c r="C4" s="30" t="s">
        <v>95</v>
      </c>
      <c r="D4" s="2" t="s">
        <v>150</v>
      </c>
    </row>
    <row r="5" spans="2:15" x14ac:dyDescent="0.2">
      <c r="B5" s="2">
        <v>0.6</v>
      </c>
      <c r="C5" s="30" t="s">
        <v>93</v>
      </c>
      <c r="D5" s="2" t="s">
        <v>151</v>
      </c>
    </row>
    <row r="6" spans="2:15" x14ac:dyDescent="0.2">
      <c r="B6" s="2">
        <v>0.7</v>
      </c>
      <c r="C6" s="30" t="s">
        <v>91</v>
      </c>
      <c r="D6" s="2" t="s">
        <v>152</v>
      </c>
    </row>
    <row r="7" spans="2:15" x14ac:dyDescent="0.2">
      <c r="B7" s="2">
        <v>0.9</v>
      </c>
      <c r="C7" s="30" t="s">
        <v>89</v>
      </c>
      <c r="D7" s="2" t="s">
        <v>153</v>
      </c>
    </row>
    <row r="8" spans="2:15" x14ac:dyDescent="0.2">
      <c r="I8" s="2" t="s">
        <v>116</v>
      </c>
    </row>
    <row r="9" spans="2:15" x14ac:dyDescent="0.2">
      <c r="B9" s="2" t="s">
        <v>115</v>
      </c>
      <c r="C9" s="13" t="s">
        <v>114</v>
      </c>
      <c r="D9" s="13" t="s">
        <v>113</v>
      </c>
      <c r="E9" s="13" t="s">
        <v>112</v>
      </c>
      <c r="F9" s="13" t="s">
        <v>117</v>
      </c>
      <c r="J9" s="13" t="s">
        <v>99</v>
      </c>
      <c r="K9" s="13" t="s">
        <v>97</v>
      </c>
      <c r="L9" s="13" t="s">
        <v>95</v>
      </c>
      <c r="M9" s="13" t="s">
        <v>93</v>
      </c>
      <c r="N9" s="13" t="s">
        <v>91</v>
      </c>
      <c r="O9" s="13" t="s">
        <v>89</v>
      </c>
    </row>
    <row r="10" spans="2:15" x14ac:dyDescent="0.2">
      <c r="B10" s="2" t="s">
        <v>111</v>
      </c>
      <c r="C10" s="2">
        <f t="shared" ref="C10:C41" ca="1" si="0">RAND()</f>
        <v>0.63419778090756496</v>
      </c>
      <c r="D10" s="2" t="str">
        <f t="shared" ref="D10:D41" ca="1" si="1">(IFERROR(VLOOKUP(C10,ratingsTbl,2,1),"F"))</f>
        <v>D</v>
      </c>
      <c r="E10" s="2" t="str">
        <f t="shared" ref="E10:E41" ca="1" si="2">IFERROR(IF(D10="F","F",VLOOKUP(C10+(RAND()-0.25)/2,ratingsTbl,2,1)),"A")</f>
        <v>E</v>
      </c>
      <c r="F10" s="2">
        <f t="shared" ref="F10:F41" ca="1" si="3">RANDBETWEEN(20,100)</f>
        <v>83</v>
      </c>
      <c r="I10" s="2" t="s">
        <v>99</v>
      </c>
      <c r="J10" s="21">
        <f t="shared" ref="J10:O15" ca="1" si="4">SUMIFS(weight,RatingLast,$I10,RatingNow,J$9)</f>
        <v>235</v>
      </c>
      <c r="K10" s="20">
        <f t="shared" ca="1" si="4"/>
        <v>122</v>
      </c>
      <c r="L10" s="20">
        <f t="shared" ca="1" si="4"/>
        <v>119</v>
      </c>
      <c r="M10" s="20">
        <f t="shared" ca="1" si="4"/>
        <v>0</v>
      </c>
      <c r="N10" s="20">
        <f t="shared" ca="1" si="4"/>
        <v>0</v>
      </c>
      <c r="O10" s="19">
        <f t="shared" ca="1" si="4"/>
        <v>0</v>
      </c>
    </row>
    <row r="11" spans="2:15" x14ac:dyDescent="0.2">
      <c r="B11" s="2" t="s">
        <v>110</v>
      </c>
      <c r="C11" s="2">
        <f t="shared" ca="1" si="0"/>
        <v>0.52945174384003579</v>
      </c>
      <c r="D11" s="2" t="str">
        <f t="shared" ca="1" si="1"/>
        <v>C</v>
      </c>
      <c r="E11" s="2" t="str">
        <f t="shared" ca="1" si="2"/>
        <v>C</v>
      </c>
      <c r="F11" s="2">
        <f t="shared" ca="1" si="3"/>
        <v>37</v>
      </c>
      <c r="I11" s="2" t="s">
        <v>97</v>
      </c>
      <c r="J11" s="18">
        <f t="shared" ca="1" si="4"/>
        <v>111</v>
      </c>
      <c r="K11" s="2">
        <f t="shared" ca="1" si="4"/>
        <v>341</v>
      </c>
      <c r="L11" s="2">
        <f t="shared" ca="1" si="4"/>
        <v>419</v>
      </c>
      <c r="M11" s="2">
        <f t="shared" ca="1" si="4"/>
        <v>108</v>
      </c>
      <c r="N11" s="2">
        <f t="shared" ca="1" si="4"/>
        <v>0</v>
      </c>
      <c r="O11" s="17">
        <f t="shared" ca="1" si="4"/>
        <v>0</v>
      </c>
    </row>
    <row r="12" spans="2:15" x14ac:dyDescent="0.2">
      <c r="B12" s="2" t="s">
        <v>109</v>
      </c>
      <c r="C12" s="2">
        <f t="shared" ca="1" si="0"/>
        <v>0.43135854844046206</v>
      </c>
      <c r="D12" s="2" t="str">
        <f t="shared" ca="1" si="1"/>
        <v>C</v>
      </c>
      <c r="E12" s="2" t="str">
        <f t="shared" ca="1" si="2"/>
        <v>C</v>
      </c>
      <c r="F12" s="2">
        <f t="shared" ca="1" si="3"/>
        <v>20</v>
      </c>
      <c r="I12" s="2" t="s">
        <v>95</v>
      </c>
      <c r="J12" s="18">
        <f t="shared" ca="1" si="4"/>
        <v>0</v>
      </c>
      <c r="K12" s="2">
        <f t="shared" ca="1" si="4"/>
        <v>0</v>
      </c>
      <c r="L12" s="2">
        <f t="shared" ca="1" si="4"/>
        <v>313</v>
      </c>
      <c r="M12" s="2">
        <f t="shared" ca="1" si="4"/>
        <v>96</v>
      </c>
      <c r="N12" s="2">
        <f t="shared" ca="1" si="4"/>
        <v>655</v>
      </c>
      <c r="O12" s="17">
        <f t="shared" ca="1" si="4"/>
        <v>0</v>
      </c>
    </row>
    <row r="13" spans="2:15" x14ac:dyDescent="0.2">
      <c r="B13" s="2" t="s">
        <v>108</v>
      </c>
      <c r="C13" s="2">
        <f t="shared" ca="1" si="0"/>
        <v>0.1243073596403329</v>
      </c>
      <c r="D13" s="2" t="str">
        <f t="shared" ca="1" si="1"/>
        <v>A</v>
      </c>
      <c r="E13" s="2" t="str">
        <f t="shared" ca="1" si="2"/>
        <v>A</v>
      </c>
      <c r="F13" s="2">
        <f t="shared" ca="1" si="3"/>
        <v>23</v>
      </c>
      <c r="I13" s="2" t="s">
        <v>93</v>
      </c>
      <c r="J13" s="18">
        <f t="shared" ca="1" si="4"/>
        <v>0</v>
      </c>
      <c r="K13" s="2">
        <f t="shared" ca="1" si="4"/>
        <v>0</v>
      </c>
      <c r="L13" s="2">
        <f t="shared" ca="1" si="4"/>
        <v>0</v>
      </c>
      <c r="M13" s="2">
        <f t="shared" ca="1" si="4"/>
        <v>0</v>
      </c>
      <c r="N13" s="2">
        <f t="shared" ca="1" si="4"/>
        <v>498</v>
      </c>
      <c r="O13" s="17">
        <f t="shared" ca="1" si="4"/>
        <v>29</v>
      </c>
    </row>
    <row r="14" spans="2:15" x14ac:dyDescent="0.2">
      <c r="B14" s="2" t="s">
        <v>107</v>
      </c>
      <c r="C14" s="2">
        <f t="shared" ca="1" si="0"/>
        <v>7.7686417195847013E-2</v>
      </c>
      <c r="D14" s="2" t="str">
        <f t="shared" ca="1" si="1"/>
        <v>F</v>
      </c>
      <c r="E14" s="2" t="str">
        <f t="shared" ca="1" si="2"/>
        <v>F</v>
      </c>
      <c r="F14" s="2">
        <f t="shared" ca="1" si="3"/>
        <v>39</v>
      </c>
      <c r="I14" s="2" t="s">
        <v>91</v>
      </c>
      <c r="J14" s="18">
        <f t="shared" ca="1" si="4"/>
        <v>0</v>
      </c>
      <c r="K14" s="2">
        <f t="shared" ca="1" si="4"/>
        <v>0</v>
      </c>
      <c r="L14" s="2">
        <f t="shared" ca="1" si="4"/>
        <v>0</v>
      </c>
      <c r="M14" s="2">
        <f t="shared" ca="1" si="4"/>
        <v>30</v>
      </c>
      <c r="N14" s="2">
        <f t="shared" ca="1" si="4"/>
        <v>210</v>
      </c>
      <c r="O14" s="17">
        <f t="shared" ca="1" si="4"/>
        <v>1062</v>
      </c>
    </row>
    <row r="15" spans="2:15" x14ac:dyDescent="0.2">
      <c r="B15" s="2" t="s">
        <v>106</v>
      </c>
      <c r="C15" s="2">
        <f t="shared" ca="1" si="0"/>
        <v>0.1380939542078643</v>
      </c>
      <c r="D15" s="2" t="str">
        <f t="shared" ca="1" si="1"/>
        <v>A</v>
      </c>
      <c r="E15" s="2" t="str">
        <f t="shared" ca="1" si="2"/>
        <v>C</v>
      </c>
      <c r="F15" s="2">
        <f t="shared" ca="1" si="3"/>
        <v>63</v>
      </c>
      <c r="I15" s="2" t="s">
        <v>89</v>
      </c>
      <c r="J15" s="16">
        <f t="shared" ca="1" si="4"/>
        <v>0</v>
      </c>
      <c r="K15" s="15">
        <f t="shared" ca="1" si="4"/>
        <v>0</v>
      </c>
      <c r="L15" s="15">
        <f t="shared" ca="1" si="4"/>
        <v>0</v>
      </c>
      <c r="M15" s="15">
        <f t="shared" ca="1" si="4"/>
        <v>0</v>
      </c>
      <c r="N15" s="15">
        <f t="shared" ca="1" si="4"/>
        <v>0</v>
      </c>
      <c r="O15" s="14">
        <f t="shared" ca="1" si="4"/>
        <v>1704</v>
      </c>
    </row>
    <row r="16" spans="2:15" x14ac:dyDescent="0.2">
      <c r="B16" s="2" t="s">
        <v>105</v>
      </c>
      <c r="C16" s="2">
        <f t="shared" ca="1" si="0"/>
        <v>0.65946975266258101</v>
      </c>
      <c r="D16" s="2" t="str">
        <f t="shared" ca="1" si="1"/>
        <v>D</v>
      </c>
      <c r="E16" s="2" t="str">
        <f t="shared" ca="1" si="2"/>
        <v>E</v>
      </c>
      <c r="F16" s="2">
        <f t="shared" ca="1" si="3"/>
        <v>91</v>
      </c>
    </row>
    <row r="17" spans="2:20" x14ac:dyDescent="0.2">
      <c r="B17" s="2" t="s">
        <v>104</v>
      </c>
      <c r="C17" s="2">
        <f t="shared" ca="1" si="0"/>
        <v>0.7381413496616237</v>
      </c>
      <c r="D17" s="2" t="str">
        <f t="shared" ca="1" si="1"/>
        <v>E</v>
      </c>
      <c r="E17" s="2" t="str">
        <f t="shared" ca="1" si="2"/>
        <v>F</v>
      </c>
      <c r="F17" s="2">
        <f t="shared" ca="1" si="3"/>
        <v>42</v>
      </c>
    </row>
    <row r="18" spans="2:20" x14ac:dyDescent="0.2">
      <c r="B18" s="2" t="s">
        <v>103</v>
      </c>
      <c r="C18" s="2">
        <f t="shared" ca="1" si="0"/>
        <v>0.9238905518566588</v>
      </c>
      <c r="D18" s="2" t="str">
        <f t="shared" ca="1" si="1"/>
        <v>F</v>
      </c>
      <c r="E18" s="2" t="str">
        <f t="shared" ca="1" si="2"/>
        <v>F</v>
      </c>
      <c r="F18" s="2">
        <f t="shared" ca="1" si="3"/>
        <v>36</v>
      </c>
      <c r="I18" s="2" t="s">
        <v>102</v>
      </c>
    </row>
    <row r="19" spans="2:20" x14ac:dyDescent="0.2">
      <c r="B19" s="2" t="s">
        <v>101</v>
      </c>
      <c r="C19" s="2">
        <f t="shared" ca="1" si="0"/>
        <v>4.4864041858021064E-2</v>
      </c>
      <c r="D19" s="2" t="str">
        <f t="shared" ca="1" si="1"/>
        <v>F</v>
      </c>
      <c r="E19" s="2" t="str">
        <f t="shared" ca="1" si="2"/>
        <v>F</v>
      </c>
      <c r="F19" s="2">
        <f t="shared" ca="1" si="3"/>
        <v>68</v>
      </c>
      <c r="J19" s="13" t="s">
        <v>99</v>
      </c>
      <c r="K19" s="13" t="s">
        <v>97</v>
      </c>
      <c r="L19" s="13" t="s">
        <v>95</v>
      </c>
      <c r="M19" s="13" t="s">
        <v>93</v>
      </c>
      <c r="N19" s="13" t="s">
        <v>91</v>
      </c>
      <c r="O19" s="13" t="s">
        <v>89</v>
      </c>
    </row>
    <row r="20" spans="2:20" ht="16" x14ac:dyDescent="0.2">
      <c r="B20" s="2" t="s">
        <v>100</v>
      </c>
      <c r="C20" s="2">
        <f t="shared" ca="1" si="0"/>
        <v>0.87220434656546508</v>
      </c>
      <c r="D20" s="2" t="str">
        <f t="shared" ca="1" si="1"/>
        <v>E</v>
      </c>
      <c r="E20" s="2" t="str">
        <f t="shared" ca="1" si="2"/>
        <v>F</v>
      </c>
      <c r="F20" s="2">
        <f t="shared" ca="1" si="3"/>
        <v>67</v>
      </c>
      <c r="I20" s="2" t="s">
        <v>99</v>
      </c>
      <c r="J20" s="12">
        <f t="array" aca="1" ref="J20:O20" ca="1">J10:O10/SUM(J10:O10)</f>
        <v>0.49369747899159666</v>
      </c>
      <c r="K20" s="11">
        <f ca="1"/>
        <v>0.25630252100840334</v>
      </c>
      <c r="L20" s="11">
        <f ca="1"/>
        <v>0.25</v>
      </c>
      <c r="M20" s="11">
        <f ca="1"/>
        <v>0</v>
      </c>
      <c r="N20" s="11">
        <f ca="1"/>
        <v>0</v>
      </c>
      <c r="O20" s="10">
        <f ca="1"/>
        <v>0</v>
      </c>
    </row>
    <row r="21" spans="2:20" ht="16" x14ac:dyDescent="0.2">
      <c r="B21" s="2" t="s">
        <v>98</v>
      </c>
      <c r="C21" s="2">
        <f t="shared" ca="1" si="0"/>
        <v>0.16101243680007493</v>
      </c>
      <c r="D21" s="2" t="str">
        <f t="shared" ca="1" si="1"/>
        <v>A</v>
      </c>
      <c r="E21" s="2" t="str">
        <f t="shared" ca="1" si="2"/>
        <v>B</v>
      </c>
      <c r="F21" s="2">
        <f t="shared" ca="1" si="3"/>
        <v>31</v>
      </c>
      <c r="I21" s="2" t="s">
        <v>97</v>
      </c>
      <c r="J21" s="9">
        <f t="array" aca="1" ref="J21:O21" ca="1">J11:O11/SUM(J11:O11)</f>
        <v>0.11338100102145046</v>
      </c>
      <c r="K21" s="7">
        <f ca="1"/>
        <v>0.34831460674157305</v>
      </c>
      <c r="L21" s="8">
        <f ca="1"/>
        <v>0.42798774259448419</v>
      </c>
      <c r="M21" s="8">
        <f ca="1"/>
        <v>0.11031664964249234</v>
      </c>
      <c r="N21" s="8">
        <f ca="1"/>
        <v>0</v>
      </c>
      <c r="O21" s="6">
        <f ca="1"/>
        <v>0</v>
      </c>
    </row>
    <row r="22" spans="2:20" ht="16" x14ac:dyDescent="0.2">
      <c r="B22" s="2" t="s">
        <v>96</v>
      </c>
      <c r="C22" s="2">
        <f t="shared" ca="1" si="0"/>
        <v>0.71981567805657898</v>
      </c>
      <c r="D22" s="2" t="str">
        <f t="shared" ca="1" si="1"/>
        <v>E</v>
      </c>
      <c r="E22" s="2" t="str">
        <f t="shared" ca="1" si="2"/>
        <v>F</v>
      </c>
      <c r="F22" s="2">
        <f t="shared" ca="1" si="3"/>
        <v>100</v>
      </c>
      <c r="I22" s="2" t="s">
        <v>95</v>
      </c>
      <c r="J22" s="9">
        <f t="array" aca="1" ref="J22:O22" ca="1">J12:O12/SUM(J12:O12)</f>
        <v>0</v>
      </c>
      <c r="K22" s="8">
        <f ca="1"/>
        <v>0</v>
      </c>
      <c r="L22" s="7">
        <f ca="1"/>
        <v>0.29417293233082709</v>
      </c>
      <c r="M22" s="8">
        <f ca="1"/>
        <v>9.0225563909774431E-2</v>
      </c>
      <c r="N22" s="8">
        <f ca="1"/>
        <v>0.61560150375939848</v>
      </c>
      <c r="O22" s="6">
        <f ca="1"/>
        <v>0</v>
      </c>
    </row>
    <row r="23" spans="2:20" ht="16" x14ac:dyDescent="0.2">
      <c r="B23" s="2" t="s">
        <v>94</v>
      </c>
      <c r="C23" s="2">
        <f t="shared" ca="1" si="0"/>
        <v>0.46069112540005142</v>
      </c>
      <c r="D23" s="2" t="str">
        <f t="shared" ca="1" si="1"/>
        <v>C</v>
      </c>
      <c r="E23" s="2" t="str">
        <f t="shared" ca="1" si="2"/>
        <v>C</v>
      </c>
      <c r="F23" s="2">
        <f t="shared" ca="1" si="3"/>
        <v>65</v>
      </c>
      <c r="I23" s="2" t="s">
        <v>93</v>
      </c>
      <c r="J23" s="9">
        <f t="array" aca="1" ref="J23:O23" ca="1">J13:O13/SUM(J13:O13)</f>
        <v>0</v>
      </c>
      <c r="K23" s="8">
        <f ca="1"/>
        <v>0</v>
      </c>
      <c r="L23" s="8">
        <f ca="1"/>
        <v>0</v>
      </c>
      <c r="M23" s="7">
        <f ca="1"/>
        <v>0</v>
      </c>
      <c r="N23" s="8">
        <f ca="1"/>
        <v>0.94497153700189751</v>
      </c>
      <c r="O23" s="6">
        <f ca="1"/>
        <v>5.5028462998102469E-2</v>
      </c>
    </row>
    <row r="24" spans="2:20" ht="16" x14ac:dyDescent="0.2">
      <c r="B24" s="2" t="s">
        <v>92</v>
      </c>
      <c r="C24" s="2">
        <f t="shared" ca="1" si="0"/>
        <v>0.34737136107472733</v>
      </c>
      <c r="D24" s="2" t="str">
        <f t="shared" ca="1" si="1"/>
        <v>B</v>
      </c>
      <c r="E24" s="2" t="str">
        <f t="shared" ca="1" si="2"/>
        <v>D</v>
      </c>
      <c r="F24" s="2">
        <f t="shared" ca="1" si="3"/>
        <v>77</v>
      </c>
      <c r="I24" s="2" t="s">
        <v>91</v>
      </c>
      <c r="J24" s="9">
        <f t="array" aca="1" ref="J24:O24" ca="1">J14:O14/SUM(J14:O14)</f>
        <v>0</v>
      </c>
      <c r="K24" s="8">
        <f ca="1"/>
        <v>0</v>
      </c>
      <c r="L24" s="8">
        <f ca="1"/>
        <v>0</v>
      </c>
      <c r="M24" s="8">
        <f ca="1"/>
        <v>2.3041474654377881E-2</v>
      </c>
      <c r="N24" s="7">
        <f ca="1"/>
        <v>0.16129032258064516</v>
      </c>
      <c r="O24" s="6">
        <f ca="1"/>
        <v>0.81566820276497698</v>
      </c>
    </row>
    <row r="25" spans="2:20" ht="16" x14ac:dyDescent="0.2">
      <c r="B25" s="2" t="s">
        <v>90</v>
      </c>
      <c r="C25" s="2">
        <f t="shared" ca="1" si="0"/>
        <v>6.0901368408737833E-2</v>
      </c>
      <c r="D25" s="2" t="str">
        <f t="shared" ca="1" si="1"/>
        <v>F</v>
      </c>
      <c r="E25" s="2" t="str">
        <f t="shared" ca="1" si="2"/>
        <v>F</v>
      </c>
      <c r="F25" s="2">
        <f t="shared" ca="1" si="3"/>
        <v>47</v>
      </c>
      <c r="I25" s="2" t="s">
        <v>89</v>
      </c>
      <c r="J25" s="5">
        <f t="array" aca="1" ref="J25:O25" ca="1">IFERROR(J15:O15/SUM(J15:O15),0)</f>
        <v>0</v>
      </c>
      <c r="K25" s="4">
        <f ca="1"/>
        <v>0</v>
      </c>
      <c r="L25" s="4">
        <f ca="1"/>
        <v>0</v>
      </c>
      <c r="M25" s="4">
        <f ca="1"/>
        <v>0</v>
      </c>
      <c r="N25" s="4">
        <f ca="1"/>
        <v>0</v>
      </c>
      <c r="O25" s="3">
        <f ca="1"/>
        <v>1</v>
      </c>
    </row>
    <row r="26" spans="2:20" x14ac:dyDescent="0.2">
      <c r="B26" s="2" t="s">
        <v>88</v>
      </c>
      <c r="C26" s="2">
        <f t="shared" ca="1" si="0"/>
        <v>5.6700824092388968E-2</v>
      </c>
      <c r="D26" s="2" t="str">
        <f t="shared" ca="1" si="1"/>
        <v>F</v>
      </c>
      <c r="E26" s="2" t="str">
        <f t="shared" ca="1" si="2"/>
        <v>F</v>
      </c>
      <c r="F26" s="2">
        <f t="shared" ca="1" si="3"/>
        <v>75</v>
      </c>
    </row>
    <row r="27" spans="2:20" x14ac:dyDescent="0.2">
      <c r="B27" s="2" t="s">
        <v>87</v>
      </c>
      <c r="C27" s="2">
        <f t="shared" ca="1" si="0"/>
        <v>0.51450258104002566</v>
      </c>
      <c r="D27" s="2" t="str">
        <f t="shared" ca="1" si="1"/>
        <v>C</v>
      </c>
      <c r="E27" s="2" t="str">
        <f t="shared" ca="1" si="2"/>
        <v>E</v>
      </c>
      <c r="F27" s="2">
        <f t="shared" ca="1" si="3"/>
        <v>78</v>
      </c>
      <c r="J27" s="13" t="s">
        <v>123</v>
      </c>
      <c r="K27" s="13" t="s">
        <v>122</v>
      </c>
      <c r="L27" s="13" t="s">
        <v>121</v>
      </c>
      <c r="Q27" s="13" t="s">
        <v>120</v>
      </c>
      <c r="R27" s="13" t="s">
        <v>119</v>
      </c>
      <c r="S27" s="13" t="s">
        <v>374</v>
      </c>
      <c r="T27" s="2" t="s">
        <v>375</v>
      </c>
    </row>
    <row r="28" spans="2:20" ht="16" x14ac:dyDescent="0.2">
      <c r="B28" s="2" t="s">
        <v>86</v>
      </c>
      <c r="C28" s="2">
        <f t="shared" ca="1" si="0"/>
        <v>0.88892729384079772</v>
      </c>
      <c r="D28" s="2" t="str">
        <f t="shared" ca="1" si="1"/>
        <v>E</v>
      </c>
      <c r="E28" s="2" t="str">
        <f t="shared" ca="1" si="2"/>
        <v>F</v>
      </c>
      <c r="F28" s="2">
        <f t="shared" ca="1" si="3"/>
        <v>75</v>
      </c>
      <c r="I28" s="2" t="s">
        <v>99</v>
      </c>
      <c r="J28" s="22">
        <v>1E-3</v>
      </c>
      <c r="K28" s="22">
        <v>0.52800000000000002</v>
      </c>
      <c r="L28" s="27">
        <f t="shared" ref="L28:L33" si="5">1-K28</f>
        <v>0.47199999999999998</v>
      </c>
      <c r="P28" s="2" t="s">
        <v>99</v>
      </c>
      <c r="Q28" s="13">
        <v>20</v>
      </c>
      <c r="R28" s="28">
        <f t="array" aca="1" ref="R28:R33" ca="1">TRANSPOSE(MMULT(TRANSPOSE(Q28:Q33),J20:O25))</f>
        <v>17.243714646226213</v>
      </c>
      <c r="S28" s="28">
        <f t="shared" ref="S28:S33" ca="1" si="6">R28*J28</f>
        <v>1.7243714646226212E-2</v>
      </c>
      <c r="T28" s="23">
        <f ca="1">J28*R28*L28</f>
        <v>8.139033313018771E-3</v>
      </c>
    </row>
    <row r="29" spans="2:20" ht="16" x14ac:dyDescent="0.2">
      <c r="B29" s="2" t="s">
        <v>85</v>
      </c>
      <c r="C29" s="2">
        <f t="shared" ca="1" si="0"/>
        <v>0.75555590790267402</v>
      </c>
      <c r="D29" s="2" t="str">
        <f t="shared" ca="1" si="1"/>
        <v>E</v>
      </c>
      <c r="E29" s="2" t="str">
        <f t="shared" ca="1" si="2"/>
        <v>F</v>
      </c>
      <c r="F29" s="2">
        <f t="shared" ca="1" si="3"/>
        <v>78</v>
      </c>
      <c r="I29" s="2" t="s">
        <v>97</v>
      </c>
      <c r="J29" s="22">
        <f>J28*3</f>
        <v>3.0000000000000001E-3</v>
      </c>
      <c r="K29" s="22">
        <v>0.44600000000000001</v>
      </c>
      <c r="L29" s="27">
        <f t="shared" si="5"/>
        <v>0.55400000000000005</v>
      </c>
      <c r="P29" s="2" t="s">
        <v>97</v>
      </c>
      <c r="Q29" s="13">
        <v>65</v>
      </c>
      <c r="R29" s="28">
        <f ca="1"/>
        <v>27.766499858370317</v>
      </c>
      <c r="S29" s="28">
        <f t="shared" ca="1" si="6"/>
        <v>8.3299499575110958E-2</v>
      </c>
      <c r="T29" s="23">
        <f t="shared" ref="T29:T33" ca="1" si="7">J29*R29*L29</f>
        <v>4.6147922764611472E-2</v>
      </c>
    </row>
    <row r="30" spans="2:20" ht="16" x14ac:dyDescent="0.2">
      <c r="B30" s="2" t="s">
        <v>84</v>
      </c>
      <c r="C30" s="2">
        <f t="shared" ca="1" si="0"/>
        <v>0.34896352321365243</v>
      </c>
      <c r="D30" s="2" t="str">
        <f t="shared" ca="1" si="1"/>
        <v>B</v>
      </c>
      <c r="E30" s="2" t="str">
        <f t="shared" ca="1" si="2"/>
        <v>D</v>
      </c>
      <c r="F30" s="2">
        <f t="shared" ca="1" si="3"/>
        <v>31</v>
      </c>
      <c r="I30" s="2" t="s">
        <v>95</v>
      </c>
      <c r="J30" s="22">
        <f>J29*3</f>
        <v>9.0000000000000011E-3</v>
      </c>
      <c r="K30" s="22">
        <v>0.372</v>
      </c>
      <c r="L30" s="27">
        <f t="shared" si="5"/>
        <v>0.628</v>
      </c>
      <c r="P30" s="2" t="s">
        <v>95</v>
      </c>
      <c r="Q30" s="13">
        <v>50</v>
      </c>
      <c r="R30" s="28">
        <f ca="1"/>
        <v>47.527849885182832</v>
      </c>
      <c r="S30" s="28">
        <f t="shared" ca="1" si="6"/>
        <v>0.42775064896664555</v>
      </c>
      <c r="T30" s="23">
        <f t="shared" ca="1" si="7"/>
        <v>0.26862740755105341</v>
      </c>
    </row>
    <row r="31" spans="2:20" ht="16" x14ac:dyDescent="0.2">
      <c r="B31" s="2" t="s">
        <v>83</v>
      </c>
      <c r="C31" s="2">
        <f t="shared" ca="1" si="0"/>
        <v>5.7971474233851294E-2</v>
      </c>
      <c r="D31" s="2" t="str">
        <f t="shared" ca="1" si="1"/>
        <v>F</v>
      </c>
      <c r="E31" s="2" t="str">
        <f t="shared" ca="1" si="2"/>
        <v>F</v>
      </c>
      <c r="F31" s="2">
        <f t="shared" ca="1" si="3"/>
        <v>69</v>
      </c>
      <c r="I31" s="2" t="s">
        <v>93</v>
      </c>
      <c r="J31" s="22">
        <f>J30*3</f>
        <v>2.7000000000000003E-2</v>
      </c>
      <c r="K31" s="22">
        <v>0.311</v>
      </c>
      <c r="L31" s="27">
        <f t="shared" si="5"/>
        <v>0.68900000000000006</v>
      </c>
      <c r="P31" s="2" t="s">
        <v>93</v>
      </c>
      <c r="Q31" s="13">
        <v>50</v>
      </c>
      <c r="R31" s="28">
        <f ca="1"/>
        <v>11.912275168794503</v>
      </c>
      <c r="S31" s="28">
        <f t="shared" ca="1" si="6"/>
        <v>0.32163142955745161</v>
      </c>
      <c r="T31" s="23">
        <f t="shared" ca="1" si="7"/>
        <v>0.22160405496508417</v>
      </c>
    </row>
    <row r="32" spans="2:20" ht="16" x14ac:dyDescent="0.2">
      <c r="B32" s="2" t="s">
        <v>82</v>
      </c>
      <c r="C32" s="2">
        <f t="shared" ca="1" si="0"/>
        <v>0.81840987990697367</v>
      </c>
      <c r="D32" s="2" t="str">
        <f t="shared" ca="1" si="1"/>
        <v>E</v>
      </c>
      <c r="E32" s="2" t="str">
        <f t="shared" ca="1" si="2"/>
        <v>F</v>
      </c>
      <c r="F32" s="2">
        <f t="shared" ca="1" si="3"/>
        <v>23</v>
      </c>
      <c r="I32" s="2" t="s">
        <v>91</v>
      </c>
      <c r="J32" s="22">
        <f>J31*3</f>
        <v>8.1000000000000016E-2</v>
      </c>
      <c r="K32" s="22">
        <v>0.31900000000000001</v>
      </c>
      <c r="L32" s="27">
        <f t="shared" si="5"/>
        <v>0.68100000000000005</v>
      </c>
      <c r="P32" s="2" t="s">
        <v>91</v>
      </c>
      <c r="Q32" s="13">
        <v>10</v>
      </c>
      <c r="R32" s="28">
        <f ca="1"/>
        <v>79.641555263871254</v>
      </c>
      <c r="S32" s="28">
        <f t="shared" ca="1" si="6"/>
        <v>6.4509659763735732</v>
      </c>
      <c r="T32" s="23">
        <f t="shared" ca="1" si="7"/>
        <v>4.393107829910404</v>
      </c>
    </row>
    <row r="33" spans="2:20" ht="16" x14ac:dyDescent="0.2">
      <c r="B33" s="2" t="s">
        <v>81</v>
      </c>
      <c r="C33" s="2">
        <f t="shared" ca="1" si="0"/>
        <v>0.66016345557685285</v>
      </c>
      <c r="D33" s="2" t="str">
        <f t="shared" ca="1" si="1"/>
        <v>D</v>
      </c>
      <c r="E33" s="2" t="str">
        <f t="shared" ca="1" si="2"/>
        <v>E</v>
      </c>
      <c r="F33" s="2">
        <f t="shared" ca="1" si="3"/>
        <v>44</v>
      </c>
      <c r="I33" s="2" t="s">
        <v>89</v>
      </c>
      <c r="J33" s="22">
        <f>J32*3</f>
        <v>0.24300000000000005</v>
      </c>
      <c r="K33" s="22">
        <v>0.23200000000000001</v>
      </c>
      <c r="L33" s="27">
        <f t="shared" si="5"/>
        <v>0.76800000000000002</v>
      </c>
      <c r="P33" s="2" t="s">
        <v>89</v>
      </c>
      <c r="Q33" s="26">
        <v>5</v>
      </c>
      <c r="R33" s="25">
        <f ca="1"/>
        <v>15.908105177554894</v>
      </c>
      <c r="S33" s="25">
        <f t="shared" ca="1" si="6"/>
        <v>3.8656695581458402</v>
      </c>
      <c r="T33" s="24">
        <f t="shared" ca="1" si="7"/>
        <v>2.9688342206560052</v>
      </c>
    </row>
    <row r="34" spans="2:20" x14ac:dyDescent="0.2">
      <c r="B34" s="2" t="s">
        <v>80</v>
      </c>
      <c r="C34" s="2">
        <f t="shared" ca="1" si="0"/>
        <v>0.31335976997491877</v>
      </c>
      <c r="D34" s="2" t="str">
        <f t="shared" ca="1" si="1"/>
        <v>B</v>
      </c>
      <c r="E34" s="2" t="str">
        <f t="shared" ca="1" si="2"/>
        <v>B</v>
      </c>
      <c r="F34" s="2">
        <f t="shared" ca="1" si="3"/>
        <v>77</v>
      </c>
      <c r="Q34" s="2">
        <f>SUM(Q28:Q33)</f>
        <v>200</v>
      </c>
      <c r="R34" s="2">
        <f ca="1">SUM(R28:R33)</f>
        <v>200</v>
      </c>
      <c r="S34" s="23">
        <f ca="1">SUM(S28:S33)</f>
        <v>11.166560827264849</v>
      </c>
      <c r="T34" s="23">
        <f ca="1">SUM(T28:T33)</f>
        <v>7.9064604691601765</v>
      </c>
    </row>
    <row r="35" spans="2:20" x14ac:dyDescent="0.2">
      <c r="B35" s="2" t="s">
        <v>79</v>
      </c>
      <c r="C35" s="2">
        <f t="shared" ca="1" si="0"/>
        <v>0.88771708287127271</v>
      </c>
      <c r="D35" s="2" t="str">
        <f t="shared" ca="1" si="1"/>
        <v>E</v>
      </c>
      <c r="E35" s="2" t="str">
        <f t="shared" ca="1" si="2"/>
        <v>F</v>
      </c>
      <c r="F35" s="2">
        <f t="shared" ca="1" si="3"/>
        <v>38</v>
      </c>
    </row>
    <row r="36" spans="2:20" x14ac:dyDescent="0.2">
      <c r="B36" s="2" t="s">
        <v>78</v>
      </c>
      <c r="C36" s="2">
        <f t="shared" ca="1" si="0"/>
        <v>0.68434279589302749</v>
      </c>
      <c r="D36" s="2" t="str">
        <f t="shared" ca="1" si="1"/>
        <v>D</v>
      </c>
      <c r="E36" s="2" t="str">
        <f t="shared" ca="1" si="2"/>
        <v>E</v>
      </c>
      <c r="F36" s="2">
        <f t="shared" ca="1" si="3"/>
        <v>59</v>
      </c>
      <c r="J36" s="13" t="s">
        <v>122</v>
      </c>
      <c r="K36" s="2" t="s">
        <v>154</v>
      </c>
      <c r="T36" s="2" t="s">
        <v>118</v>
      </c>
    </row>
    <row r="37" spans="2:20" ht="16" x14ac:dyDescent="0.2">
      <c r="B37" s="2" t="s">
        <v>77</v>
      </c>
      <c r="C37" s="2">
        <f t="shared" ca="1" si="0"/>
        <v>0.4083382529608045</v>
      </c>
      <c r="D37" s="2" t="str">
        <f t="shared" ca="1" si="1"/>
        <v>C</v>
      </c>
      <c r="E37" s="2" t="str">
        <f t="shared" ca="1" si="2"/>
        <v>E</v>
      </c>
      <c r="F37" s="2">
        <f t="shared" ca="1" si="3"/>
        <v>58</v>
      </c>
      <c r="I37" s="2" t="s">
        <v>99</v>
      </c>
      <c r="J37" s="22">
        <v>0.52800000000000002</v>
      </c>
      <c r="K37" s="2" t="s">
        <v>148</v>
      </c>
      <c r="T37" s="22">
        <f ca="1">T34/Q34</f>
        <v>3.9532302345800879E-2</v>
      </c>
    </row>
    <row r="38" spans="2:20" ht="16" x14ac:dyDescent="0.2">
      <c r="B38" s="2" t="s">
        <v>76</v>
      </c>
      <c r="C38" s="2">
        <f t="shared" ca="1" si="0"/>
        <v>0.82579996696179492</v>
      </c>
      <c r="D38" s="2" t="str">
        <f t="shared" ca="1" si="1"/>
        <v>E</v>
      </c>
      <c r="E38" s="2" t="str">
        <f t="shared" ca="1" si="2"/>
        <v>F</v>
      </c>
      <c r="F38" s="2">
        <f t="shared" ca="1" si="3"/>
        <v>73</v>
      </c>
      <c r="I38" s="2" t="s">
        <v>97</v>
      </c>
      <c r="J38" s="22">
        <v>0.44600000000000001</v>
      </c>
      <c r="K38" s="2" t="s">
        <v>149</v>
      </c>
    </row>
    <row r="39" spans="2:20" ht="16" x14ac:dyDescent="0.2">
      <c r="B39" s="2" t="s">
        <v>75</v>
      </c>
      <c r="C39" s="2">
        <f t="shared" ca="1" si="0"/>
        <v>0.21751386892682867</v>
      </c>
      <c r="D39" s="2" t="str">
        <f t="shared" ca="1" si="1"/>
        <v>B</v>
      </c>
      <c r="E39" s="2" t="str">
        <f t="shared" ca="1" si="2"/>
        <v>C</v>
      </c>
      <c r="F39" s="2">
        <f t="shared" ca="1" si="3"/>
        <v>83</v>
      </c>
      <c r="I39" s="2" t="s">
        <v>95</v>
      </c>
      <c r="J39" s="22">
        <v>0.372</v>
      </c>
      <c r="K39" s="2" t="s">
        <v>150</v>
      </c>
    </row>
    <row r="40" spans="2:20" ht="16" x14ac:dyDescent="0.2">
      <c r="B40" s="2" t="s">
        <v>74</v>
      </c>
      <c r="C40" s="2">
        <f t="shared" ca="1" si="0"/>
        <v>0.13378146717701223</v>
      </c>
      <c r="D40" s="2" t="str">
        <f t="shared" ca="1" si="1"/>
        <v>A</v>
      </c>
      <c r="E40" s="2" t="str">
        <f t="shared" ca="1" si="2"/>
        <v>B</v>
      </c>
      <c r="F40" s="2">
        <f t="shared" ca="1" si="3"/>
        <v>29</v>
      </c>
      <c r="I40" s="2" t="s">
        <v>93</v>
      </c>
      <c r="J40" s="22">
        <v>0.311</v>
      </c>
      <c r="K40" s="2" t="s">
        <v>151</v>
      </c>
    </row>
    <row r="41" spans="2:20" ht="16" x14ac:dyDescent="0.2">
      <c r="B41" s="2" t="s">
        <v>73</v>
      </c>
      <c r="C41" s="2">
        <f t="shared" ca="1" si="0"/>
        <v>0.97298805750297457</v>
      </c>
      <c r="D41" s="2" t="str">
        <f t="shared" ca="1" si="1"/>
        <v>F</v>
      </c>
      <c r="E41" s="2" t="str">
        <f t="shared" ca="1" si="2"/>
        <v>F</v>
      </c>
      <c r="F41" s="2">
        <f t="shared" ca="1" si="3"/>
        <v>96</v>
      </c>
      <c r="I41" s="2" t="s">
        <v>91</v>
      </c>
      <c r="J41" s="22">
        <v>0.31900000000000001</v>
      </c>
      <c r="K41" s="2" t="s">
        <v>152</v>
      </c>
    </row>
    <row r="42" spans="2:20" ht="16" x14ac:dyDescent="0.2">
      <c r="B42" s="2" t="s">
        <v>72</v>
      </c>
      <c r="C42" s="2">
        <f t="shared" ref="C42:C73" ca="1" si="8">RAND()</f>
        <v>3.5949774462672335E-2</v>
      </c>
      <c r="D42" s="2" t="str">
        <f t="shared" ref="D42:D73" ca="1" si="9">(IFERROR(VLOOKUP(C42,ratingsTbl,2,1),"F"))</f>
        <v>F</v>
      </c>
      <c r="E42" s="2" t="str">
        <f t="shared" ref="E42:E73" ca="1" si="10">IFERROR(IF(D42="F","F",VLOOKUP(C42+(RAND()-0.25)/2,ratingsTbl,2,1)),"A")</f>
        <v>F</v>
      </c>
      <c r="F42" s="2">
        <f t="shared" ref="F42:F73" ca="1" si="11">RANDBETWEEN(20,100)</f>
        <v>30</v>
      </c>
      <c r="I42" s="2" t="s">
        <v>89</v>
      </c>
      <c r="J42" s="22">
        <v>0.23200000000000001</v>
      </c>
      <c r="K42" s="2" t="s">
        <v>153</v>
      </c>
    </row>
    <row r="43" spans="2:20" x14ac:dyDescent="0.2">
      <c r="B43" s="2" t="s">
        <v>71</v>
      </c>
      <c r="C43" s="2">
        <f t="shared" ca="1" si="8"/>
        <v>0.71168961385897678</v>
      </c>
      <c r="D43" s="2" t="str">
        <f t="shared" ca="1" si="9"/>
        <v>E</v>
      </c>
      <c r="E43" s="2" t="str">
        <f t="shared" ca="1" si="10"/>
        <v>F</v>
      </c>
      <c r="F43" s="2">
        <f t="shared" ca="1" si="11"/>
        <v>93</v>
      </c>
      <c r="I43" s="2" t="s">
        <v>306</v>
      </c>
    </row>
    <row r="44" spans="2:20" x14ac:dyDescent="0.2">
      <c r="B44" s="2" t="s">
        <v>70</v>
      </c>
      <c r="C44" s="2">
        <f t="shared" ca="1" si="8"/>
        <v>0.29202059796159541</v>
      </c>
      <c r="D44" s="2" t="str">
        <f t="shared" ca="1" si="9"/>
        <v>B</v>
      </c>
      <c r="E44" s="2" t="str">
        <f t="shared" ca="1" si="10"/>
        <v>C</v>
      </c>
      <c r="F44" s="2">
        <f t="shared" ca="1" si="11"/>
        <v>91</v>
      </c>
    </row>
    <row r="45" spans="2:20" x14ac:dyDescent="0.2">
      <c r="B45" s="2" t="s">
        <v>69</v>
      </c>
      <c r="C45" s="2">
        <f t="shared" ca="1" si="8"/>
        <v>0.92657671329318159</v>
      </c>
      <c r="D45" s="2" t="str">
        <f t="shared" ca="1" si="9"/>
        <v>F</v>
      </c>
      <c r="E45" s="2" t="str">
        <f t="shared" ca="1" si="10"/>
        <v>F</v>
      </c>
      <c r="F45" s="2">
        <f t="shared" ca="1" si="11"/>
        <v>98</v>
      </c>
    </row>
    <row r="46" spans="2:20" x14ac:dyDescent="0.2">
      <c r="B46" s="2" t="s">
        <v>68</v>
      </c>
      <c r="C46" s="2">
        <f t="shared" ca="1" si="8"/>
        <v>0.62963433974759975</v>
      </c>
      <c r="D46" s="2" t="str">
        <f t="shared" ca="1" si="9"/>
        <v>D</v>
      </c>
      <c r="E46" s="2" t="str">
        <f t="shared" ca="1" si="10"/>
        <v>E</v>
      </c>
      <c r="F46" s="2">
        <f t="shared" ca="1" si="11"/>
        <v>46</v>
      </c>
    </row>
    <row r="47" spans="2:20" x14ac:dyDescent="0.2">
      <c r="B47" s="2" t="s">
        <v>67</v>
      </c>
      <c r="C47" s="2">
        <f t="shared" ca="1" si="8"/>
        <v>0.54487066754413305</v>
      </c>
      <c r="D47" s="2" t="str">
        <f t="shared" ca="1" si="9"/>
        <v>C</v>
      </c>
      <c r="E47" s="2" t="str">
        <f t="shared" ca="1" si="10"/>
        <v>E</v>
      </c>
      <c r="F47" s="2">
        <f t="shared" ca="1" si="11"/>
        <v>25</v>
      </c>
    </row>
    <row r="48" spans="2:20" x14ac:dyDescent="0.2">
      <c r="B48" s="2" t="s">
        <v>66</v>
      </c>
      <c r="C48" s="2">
        <f t="shared" ca="1" si="8"/>
        <v>0.77238379766731458</v>
      </c>
      <c r="D48" s="2" t="str">
        <f t="shared" ca="1" si="9"/>
        <v>E</v>
      </c>
      <c r="E48" s="2" t="str">
        <f t="shared" ca="1" si="10"/>
        <v>E</v>
      </c>
      <c r="F48" s="2">
        <f t="shared" ca="1" si="11"/>
        <v>35</v>
      </c>
    </row>
    <row r="49" spans="2:6" x14ac:dyDescent="0.2">
      <c r="B49" s="2" t="s">
        <v>65</v>
      </c>
      <c r="C49" s="2">
        <f t="shared" ca="1" si="8"/>
        <v>0.45786261314282117</v>
      </c>
      <c r="D49" s="2" t="str">
        <f t="shared" ca="1" si="9"/>
        <v>C</v>
      </c>
      <c r="E49" s="2" t="str">
        <f t="shared" ca="1" si="10"/>
        <v>E</v>
      </c>
      <c r="F49" s="2">
        <f t="shared" ca="1" si="11"/>
        <v>85</v>
      </c>
    </row>
    <row r="50" spans="2:6" x14ac:dyDescent="0.2">
      <c r="B50" s="2" t="s">
        <v>64</v>
      </c>
      <c r="C50" s="2">
        <f t="shared" ca="1" si="8"/>
        <v>0.42950308475758225</v>
      </c>
      <c r="D50" s="2" t="str">
        <f t="shared" ca="1" si="9"/>
        <v>C</v>
      </c>
      <c r="E50" s="2" t="str">
        <f t="shared" ca="1" si="10"/>
        <v>E</v>
      </c>
      <c r="F50" s="2">
        <f t="shared" ca="1" si="11"/>
        <v>89</v>
      </c>
    </row>
    <row r="51" spans="2:6" x14ac:dyDescent="0.2">
      <c r="B51" s="2" t="s">
        <v>63</v>
      </c>
      <c r="C51" s="2">
        <f t="shared" ca="1" si="8"/>
        <v>0.70262050876248616</v>
      </c>
      <c r="D51" s="2" t="str">
        <f t="shared" ca="1" si="9"/>
        <v>E</v>
      </c>
      <c r="E51" s="2" t="str">
        <f t="shared" ca="1" si="10"/>
        <v>E</v>
      </c>
      <c r="F51" s="2">
        <f t="shared" ca="1" si="11"/>
        <v>69</v>
      </c>
    </row>
    <row r="52" spans="2:6" x14ac:dyDescent="0.2">
      <c r="B52" s="2" t="s">
        <v>62</v>
      </c>
      <c r="C52" s="2">
        <f t="shared" ca="1" si="8"/>
        <v>0.59598172856279674</v>
      </c>
      <c r="D52" s="2" t="str">
        <f t="shared" ca="1" si="9"/>
        <v>C</v>
      </c>
      <c r="E52" s="2" t="str">
        <f t="shared" ca="1" si="10"/>
        <v>C</v>
      </c>
      <c r="F52" s="2">
        <f t="shared" ca="1" si="11"/>
        <v>47</v>
      </c>
    </row>
    <row r="53" spans="2:6" x14ac:dyDescent="0.2">
      <c r="B53" s="2" t="s">
        <v>61</v>
      </c>
      <c r="C53" s="2">
        <f t="shared" ca="1" si="8"/>
        <v>0.85737541051775179</v>
      </c>
      <c r="D53" s="2" t="str">
        <f t="shared" ca="1" si="9"/>
        <v>E</v>
      </c>
      <c r="E53" s="2" t="str">
        <f t="shared" ca="1" si="10"/>
        <v>F</v>
      </c>
      <c r="F53" s="2">
        <f t="shared" ca="1" si="11"/>
        <v>81</v>
      </c>
    </row>
    <row r="54" spans="2:6" x14ac:dyDescent="0.2">
      <c r="B54" s="2" t="s">
        <v>60</v>
      </c>
      <c r="C54" s="2">
        <f t="shared" ca="1" si="8"/>
        <v>0.82982726873153634</v>
      </c>
      <c r="D54" s="2" t="str">
        <f t="shared" ca="1" si="9"/>
        <v>E</v>
      </c>
      <c r="E54" s="2" t="str">
        <f t="shared" ca="1" si="10"/>
        <v>F</v>
      </c>
      <c r="F54" s="2">
        <f t="shared" ca="1" si="11"/>
        <v>23</v>
      </c>
    </row>
    <row r="55" spans="2:6" x14ac:dyDescent="0.2">
      <c r="B55" s="2" t="s">
        <v>59</v>
      </c>
      <c r="C55" s="2">
        <f t="shared" ca="1" si="8"/>
        <v>0.95466708821788659</v>
      </c>
      <c r="D55" s="2" t="str">
        <f t="shared" ca="1" si="9"/>
        <v>F</v>
      </c>
      <c r="E55" s="2" t="str">
        <f t="shared" ca="1" si="10"/>
        <v>F</v>
      </c>
      <c r="F55" s="2">
        <f t="shared" ca="1" si="11"/>
        <v>80</v>
      </c>
    </row>
    <row r="56" spans="2:6" x14ac:dyDescent="0.2">
      <c r="B56" s="2" t="s">
        <v>58</v>
      </c>
      <c r="C56" s="2">
        <f t="shared" ca="1" si="8"/>
        <v>0.89354403938349469</v>
      </c>
      <c r="D56" s="2" t="str">
        <f t="shared" ca="1" si="9"/>
        <v>E</v>
      </c>
      <c r="E56" s="2" t="str">
        <f t="shared" ca="1" si="10"/>
        <v>E</v>
      </c>
      <c r="F56" s="2">
        <f t="shared" ca="1" si="11"/>
        <v>34</v>
      </c>
    </row>
    <row r="57" spans="2:6" x14ac:dyDescent="0.2">
      <c r="B57" s="2" t="s">
        <v>57</v>
      </c>
      <c r="C57" s="2">
        <f t="shared" ca="1" si="8"/>
        <v>0.11263259130810532</v>
      </c>
      <c r="D57" s="2" t="str">
        <f t="shared" ca="1" si="9"/>
        <v>A</v>
      </c>
      <c r="E57" s="2" t="str">
        <f t="shared" ca="1" si="10"/>
        <v>A</v>
      </c>
      <c r="F57" s="2">
        <f t="shared" ca="1" si="11"/>
        <v>29</v>
      </c>
    </row>
    <row r="58" spans="2:6" x14ac:dyDescent="0.2">
      <c r="B58" s="2" t="s">
        <v>56</v>
      </c>
      <c r="C58" s="2">
        <f t="shared" ca="1" si="8"/>
        <v>9.7568003075441889E-2</v>
      </c>
      <c r="D58" s="2" t="str">
        <f t="shared" ca="1" si="9"/>
        <v>F</v>
      </c>
      <c r="E58" s="2" t="str">
        <f t="shared" ca="1" si="10"/>
        <v>F</v>
      </c>
      <c r="F58" s="2">
        <f t="shared" ca="1" si="11"/>
        <v>49</v>
      </c>
    </row>
    <row r="59" spans="2:6" x14ac:dyDescent="0.2">
      <c r="B59" s="2" t="s">
        <v>55</v>
      </c>
      <c r="C59" s="2">
        <f t="shared" ca="1" si="8"/>
        <v>0.42996002380387921</v>
      </c>
      <c r="D59" s="2" t="str">
        <f t="shared" ca="1" si="9"/>
        <v>C</v>
      </c>
      <c r="E59" s="2" t="str">
        <f t="shared" ca="1" si="10"/>
        <v>C</v>
      </c>
      <c r="F59" s="2">
        <f t="shared" ca="1" si="11"/>
        <v>86</v>
      </c>
    </row>
    <row r="60" spans="2:6" x14ac:dyDescent="0.2">
      <c r="B60" s="2" t="s">
        <v>54</v>
      </c>
      <c r="C60" s="2">
        <f t="shared" ca="1" si="8"/>
        <v>0.9525312934823924</v>
      </c>
      <c r="D60" s="2" t="str">
        <f t="shared" ca="1" si="9"/>
        <v>F</v>
      </c>
      <c r="E60" s="2" t="str">
        <f t="shared" ca="1" si="10"/>
        <v>F</v>
      </c>
      <c r="F60" s="2">
        <f t="shared" ca="1" si="11"/>
        <v>86</v>
      </c>
    </row>
    <row r="61" spans="2:6" x14ac:dyDescent="0.2">
      <c r="B61" s="2" t="s">
        <v>53</v>
      </c>
      <c r="C61" s="2">
        <f t="shared" ca="1" si="8"/>
        <v>7.3958892567512979E-2</v>
      </c>
      <c r="D61" s="2" t="str">
        <f t="shared" ca="1" si="9"/>
        <v>F</v>
      </c>
      <c r="E61" s="2" t="str">
        <f t="shared" ca="1" si="10"/>
        <v>F</v>
      </c>
      <c r="F61" s="2">
        <f t="shared" ca="1" si="11"/>
        <v>57</v>
      </c>
    </row>
    <row r="62" spans="2:6" x14ac:dyDescent="0.2">
      <c r="B62" s="2" t="s">
        <v>52</v>
      </c>
      <c r="C62" s="2">
        <f t="shared" ca="1" si="8"/>
        <v>0.96686136122588018</v>
      </c>
      <c r="D62" s="2" t="str">
        <f t="shared" ca="1" si="9"/>
        <v>F</v>
      </c>
      <c r="E62" s="2" t="str">
        <f t="shared" ca="1" si="10"/>
        <v>F</v>
      </c>
      <c r="F62" s="2">
        <f t="shared" ca="1" si="11"/>
        <v>43</v>
      </c>
    </row>
    <row r="63" spans="2:6" x14ac:dyDescent="0.2">
      <c r="B63" s="2" t="s">
        <v>51</v>
      </c>
      <c r="C63" s="2">
        <f t="shared" ca="1" si="8"/>
        <v>0.60750166107389669</v>
      </c>
      <c r="D63" s="2" t="str">
        <f t="shared" ca="1" si="9"/>
        <v>D</v>
      </c>
      <c r="E63" s="2" t="str">
        <f t="shared" ca="1" si="10"/>
        <v>E</v>
      </c>
      <c r="F63" s="2">
        <f t="shared" ca="1" si="11"/>
        <v>84</v>
      </c>
    </row>
    <row r="64" spans="2:6" x14ac:dyDescent="0.2">
      <c r="B64" s="2" t="s">
        <v>50</v>
      </c>
      <c r="C64" s="2">
        <f t="shared" ca="1" si="8"/>
        <v>0.33134984464327777</v>
      </c>
      <c r="D64" s="2" t="str">
        <f t="shared" ca="1" si="9"/>
        <v>B</v>
      </c>
      <c r="E64" s="2" t="str">
        <f t="shared" ca="1" si="10"/>
        <v>C</v>
      </c>
      <c r="F64" s="2">
        <f t="shared" ca="1" si="11"/>
        <v>29</v>
      </c>
    </row>
    <row r="65" spans="2:6" x14ac:dyDescent="0.2">
      <c r="B65" s="2" t="s">
        <v>49</v>
      </c>
      <c r="C65" s="2">
        <f t="shared" ca="1" si="8"/>
        <v>0.69026231235850954</v>
      </c>
      <c r="D65" s="2" t="str">
        <f t="shared" ca="1" si="9"/>
        <v>D</v>
      </c>
      <c r="E65" s="2" t="str">
        <f t="shared" ca="1" si="10"/>
        <v>E</v>
      </c>
      <c r="F65" s="2">
        <f t="shared" ca="1" si="11"/>
        <v>50</v>
      </c>
    </row>
    <row r="66" spans="2:6" x14ac:dyDescent="0.2">
      <c r="B66" s="2" t="s">
        <v>48</v>
      </c>
      <c r="C66" s="2">
        <f t="shared" ca="1" si="8"/>
        <v>0.66898671878907812</v>
      </c>
      <c r="D66" s="2" t="str">
        <f t="shared" ca="1" si="9"/>
        <v>D</v>
      </c>
      <c r="E66" s="2" t="str">
        <f t="shared" ca="1" si="10"/>
        <v>E</v>
      </c>
      <c r="F66" s="2">
        <f t="shared" ca="1" si="11"/>
        <v>41</v>
      </c>
    </row>
    <row r="67" spans="2:6" x14ac:dyDescent="0.2">
      <c r="B67" s="2" t="s">
        <v>47</v>
      </c>
      <c r="C67" s="2">
        <f t="shared" ca="1" si="8"/>
        <v>0.13153857821078396</v>
      </c>
      <c r="D67" s="2" t="str">
        <f t="shared" ca="1" si="9"/>
        <v>A</v>
      </c>
      <c r="E67" s="2" t="str">
        <f t="shared" ca="1" si="10"/>
        <v>C</v>
      </c>
      <c r="F67" s="2">
        <f t="shared" ca="1" si="11"/>
        <v>56</v>
      </c>
    </row>
    <row r="68" spans="2:6" x14ac:dyDescent="0.2">
      <c r="B68" s="2" t="s">
        <v>46</v>
      </c>
      <c r="C68" s="2">
        <f t="shared" ca="1" si="8"/>
        <v>0.84567623692473692</v>
      </c>
      <c r="D68" s="2" t="str">
        <f t="shared" ca="1" si="9"/>
        <v>E</v>
      </c>
      <c r="E68" s="2" t="str">
        <f t="shared" ca="1" si="10"/>
        <v>F</v>
      </c>
      <c r="F68" s="2">
        <f t="shared" ca="1" si="11"/>
        <v>57</v>
      </c>
    </row>
    <row r="69" spans="2:6" x14ac:dyDescent="0.2">
      <c r="B69" s="2" t="s">
        <v>45</v>
      </c>
      <c r="C69" s="2">
        <f t="shared" ca="1" si="8"/>
        <v>0.68663872777114232</v>
      </c>
      <c r="D69" s="2" t="str">
        <f t="shared" ca="1" si="9"/>
        <v>D</v>
      </c>
      <c r="E69" s="2" t="str">
        <f t="shared" ca="1" si="10"/>
        <v>F</v>
      </c>
      <c r="F69" s="2">
        <f t="shared" ca="1" si="11"/>
        <v>29</v>
      </c>
    </row>
    <row r="70" spans="2:6" x14ac:dyDescent="0.2">
      <c r="B70" s="2" t="s">
        <v>44</v>
      </c>
      <c r="C70" s="2">
        <f t="shared" ca="1" si="8"/>
        <v>0.53422000898695576</v>
      </c>
      <c r="D70" s="2" t="str">
        <f t="shared" ca="1" si="9"/>
        <v>C</v>
      </c>
      <c r="E70" s="2" t="str">
        <f t="shared" ca="1" si="10"/>
        <v>E</v>
      </c>
      <c r="F70" s="2">
        <f t="shared" ca="1" si="11"/>
        <v>58</v>
      </c>
    </row>
    <row r="71" spans="2:6" x14ac:dyDescent="0.2">
      <c r="B71" s="2" t="s">
        <v>43</v>
      </c>
      <c r="C71" s="2">
        <f t="shared" ca="1" si="8"/>
        <v>6.5566128040644989E-2</v>
      </c>
      <c r="D71" s="2" t="str">
        <f t="shared" ca="1" si="9"/>
        <v>F</v>
      </c>
      <c r="E71" s="2" t="str">
        <f t="shared" ca="1" si="10"/>
        <v>F</v>
      </c>
      <c r="F71" s="2">
        <f t="shared" ca="1" si="11"/>
        <v>88</v>
      </c>
    </row>
    <row r="72" spans="2:6" x14ac:dyDescent="0.2">
      <c r="B72" s="2" t="s">
        <v>42</v>
      </c>
      <c r="C72" s="2">
        <f t="shared" ca="1" si="8"/>
        <v>0.80343001877856934</v>
      </c>
      <c r="D72" s="2" t="str">
        <f t="shared" ca="1" si="9"/>
        <v>E</v>
      </c>
      <c r="E72" s="2" t="str">
        <f t="shared" ca="1" si="10"/>
        <v>E</v>
      </c>
      <c r="F72" s="2">
        <f t="shared" ca="1" si="11"/>
        <v>31</v>
      </c>
    </row>
    <row r="73" spans="2:6" x14ac:dyDescent="0.2">
      <c r="B73" s="2" t="s">
        <v>41</v>
      </c>
      <c r="C73" s="2">
        <f t="shared" ca="1" si="8"/>
        <v>0.21098992233233582</v>
      </c>
      <c r="D73" s="2" t="str">
        <f t="shared" ca="1" si="9"/>
        <v>B</v>
      </c>
      <c r="E73" s="2" t="str">
        <f t="shared" ca="1" si="10"/>
        <v>C</v>
      </c>
      <c r="F73" s="2">
        <f t="shared" ca="1" si="11"/>
        <v>69</v>
      </c>
    </row>
    <row r="74" spans="2:6" x14ac:dyDescent="0.2">
      <c r="B74" s="2" t="s">
        <v>40</v>
      </c>
      <c r="C74" s="2">
        <f t="shared" ref="C74:C109" ca="1" si="12">RAND()</f>
        <v>0.23949001203754372</v>
      </c>
      <c r="D74" s="2" t="str">
        <f t="shared" ref="D74:D105" ca="1" si="13">(IFERROR(VLOOKUP(C74,ratingsTbl,2,1),"F"))</f>
        <v>B</v>
      </c>
      <c r="E74" s="2" t="str">
        <f t="shared" ref="E74:E105" ca="1" si="14">IFERROR(IF(D74="F","F",VLOOKUP(C74+(RAND()-0.25)/2,ratingsTbl,2,1)),"A")</f>
        <v>A</v>
      </c>
      <c r="F74" s="2">
        <f t="shared" ref="F74:F109" ca="1" si="15">RANDBETWEEN(20,100)</f>
        <v>74</v>
      </c>
    </row>
    <row r="75" spans="2:6" x14ac:dyDescent="0.2">
      <c r="B75" s="2" t="s">
        <v>39</v>
      </c>
      <c r="C75" s="2">
        <f t="shared" ca="1" si="12"/>
        <v>8.2369032379130069E-2</v>
      </c>
      <c r="D75" s="2" t="str">
        <f t="shared" ca="1" si="13"/>
        <v>F</v>
      </c>
      <c r="E75" s="2" t="str">
        <f t="shared" ca="1" si="14"/>
        <v>F</v>
      </c>
      <c r="F75" s="2">
        <f t="shared" ca="1" si="15"/>
        <v>50</v>
      </c>
    </row>
    <row r="76" spans="2:6" x14ac:dyDescent="0.2">
      <c r="B76" s="2" t="s">
        <v>38</v>
      </c>
      <c r="C76" s="2">
        <f t="shared" ca="1" si="12"/>
        <v>0.21785538665566206</v>
      </c>
      <c r="D76" s="2" t="str">
        <f t="shared" ca="1" si="13"/>
        <v>B</v>
      </c>
      <c r="E76" s="2" t="str">
        <f t="shared" ca="1" si="14"/>
        <v>A</v>
      </c>
      <c r="F76" s="2">
        <f t="shared" ca="1" si="15"/>
        <v>37</v>
      </c>
    </row>
    <row r="77" spans="2:6" x14ac:dyDescent="0.2">
      <c r="B77" s="2" t="s">
        <v>37</v>
      </c>
      <c r="C77" s="2">
        <f t="shared" ca="1" si="12"/>
        <v>0.79128768691082674</v>
      </c>
      <c r="D77" s="2" t="str">
        <f t="shared" ca="1" si="13"/>
        <v>E</v>
      </c>
      <c r="E77" s="2" t="str">
        <f t="shared" ca="1" si="14"/>
        <v>F</v>
      </c>
      <c r="F77" s="2">
        <f t="shared" ca="1" si="15"/>
        <v>67</v>
      </c>
    </row>
    <row r="78" spans="2:6" x14ac:dyDescent="0.2">
      <c r="B78" s="2" t="s">
        <v>36</v>
      </c>
      <c r="C78" s="2">
        <f t="shared" ca="1" si="12"/>
        <v>0.31029764225370193</v>
      </c>
      <c r="D78" s="2" t="str">
        <f t="shared" ca="1" si="13"/>
        <v>B</v>
      </c>
      <c r="E78" s="2" t="str">
        <f t="shared" ca="1" si="14"/>
        <v>C</v>
      </c>
      <c r="F78" s="2">
        <f t="shared" ca="1" si="15"/>
        <v>23</v>
      </c>
    </row>
    <row r="79" spans="2:6" x14ac:dyDescent="0.2">
      <c r="B79" s="2" t="s">
        <v>35</v>
      </c>
      <c r="C79" s="2">
        <f t="shared" ca="1" si="12"/>
        <v>0.88914987570440485</v>
      </c>
      <c r="D79" s="2" t="str">
        <f t="shared" ca="1" si="13"/>
        <v>E</v>
      </c>
      <c r="E79" s="2" t="str">
        <f t="shared" ca="1" si="14"/>
        <v>F</v>
      </c>
      <c r="F79" s="2">
        <f t="shared" ca="1" si="15"/>
        <v>36</v>
      </c>
    </row>
    <row r="80" spans="2:6" x14ac:dyDescent="0.2">
      <c r="B80" s="2" t="s">
        <v>34</v>
      </c>
      <c r="C80" s="2">
        <f t="shared" ca="1" si="12"/>
        <v>0.23474553553395372</v>
      </c>
      <c r="D80" s="2" t="str">
        <f t="shared" ca="1" si="13"/>
        <v>B</v>
      </c>
      <c r="E80" s="2" t="str">
        <f t="shared" ca="1" si="14"/>
        <v>B</v>
      </c>
      <c r="F80" s="2">
        <f t="shared" ca="1" si="15"/>
        <v>67</v>
      </c>
    </row>
    <row r="81" spans="2:6" x14ac:dyDescent="0.2">
      <c r="B81" s="2" t="s">
        <v>33</v>
      </c>
      <c r="C81" s="2">
        <f t="shared" ca="1" si="12"/>
        <v>0.30582557304568503</v>
      </c>
      <c r="D81" s="2" t="str">
        <f t="shared" ca="1" si="13"/>
        <v>B</v>
      </c>
      <c r="E81" s="2" t="str">
        <f t="shared" ca="1" si="14"/>
        <v>B</v>
      </c>
      <c r="F81" s="2">
        <f t="shared" ca="1" si="15"/>
        <v>67</v>
      </c>
    </row>
    <row r="82" spans="2:6" x14ac:dyDescent="0.2">
      <c r="B82" s="2" t="s">
        <v>32</v>
      </c>
      <c r="C82" s="2">
        <f t="shared" ca="1" si="12"/>
        <v>0.53227505238738326</v>
      </c>
      <c r="D82" s="2" t="str">
        <f t="shared" ca="1" si="13"/>
        <v>C</v>
      </c>
      <c r="E82" s="2" t="str">
        <f t="shared" ca="1" si="14"/>
        <v>E</v>
      </c>
      <c r="F82" s="2">
        <f t="shared" ca="1" si="15"/>
        <v>43</v>
      </c>
    </row>
    <row r="83" spans="2:6" x14ac:dyDescent="0.2">
      <c r="B83" s="2" t="s">
        <v>31</v>
      </c>
      <c r="C83" s="2">
        <f t="shared" ca="1" si="12"/>
        <v>0.11232698029860788</v>
      </c>
      <c r="D83" s="2" t="str">
        <f t="shared" ca="1" si="13"/>
        <v>A</v>
      </c>
      <c r="E83" s="2" t="str">
        <f t="shared" ca="1" si="14"/>
        <v>A</v>
      </c>
      <c r="F83" s="2">
        <f t="shared" ca="1" si="15"/>
        <v>94</v>
      </c>
    </row>
    <row r="84" spans="2:6" x14ac:dyDescent="0.2">
      <c r="B84" s="2" t="s">
        <v>30</v>
      </c>
      <c r="C84" s="2">
        <f t="shared" ca="1" si="12"/>
        <v>0.49910996088756532</v>
      </c>
      <c r="D84" s="2" t="str">
        <f t="shared" ca="1" si="13"/>
        <v>C</v>
      </c>
      <c r="E84" s="2" t="str">
        <f t="shared" ca="1" si="14"/>
        <v>E</v>
      </c>
      <c r="F84" s="2">
        <f t="shared" ca="1" si="15"/>
        <v>92</v>
      </c>
    </row>
    <row r="85" spans="2:6" x14ac:dyDescent="0.2">
      <c r="B85" s="2" t="s">
        <v>29</v>
      </c>
      <c r="C85" s="2">
        <f t="shared" ca="1" si="12"/>
        <v>0.72123089137601604</v>
      </c>
      <c r="D85" s="2" t="str">
        <f t="shared" ca="1" si="13"/>
        <v>E</v>
      </c>
      <c r="E85" s="2" t="str">
        <f t="shared" ca="1" si="14"/>
        <v>F</v>
      </c>
      <c r="F85" s="2">
        <f t="shared" ca="1" si="15"/>
        <v>37</v>
      </c>
    </row>
    <row r="86" spans="2:6" x14ac:dyDescent="0.2">
      <c r="B86" s="2" t="s">
        <v>28</v>
      </c>
      <c r="C86" s="2">
        <f t="shared" ca="1" si="12"/>
        <v>0.50069375587832954</v>
      </c>
      <c r="D86" s="2" t="str">
        <f t="shared" ca="1" si="13"/>
        <v>C</v>
      </c>
      <c r="E86" s="2" t="str">
        <f t="shared" ca="1" si="14"/>
        <v>C</v>
      </c>
      <c r="F86" s="2">
        <f t="shared" ca="1" si="15"/>
        <v>58</v>
      </c>
    </row>
    <row r="87" spans="2:6" x14ac:dyDescent="0.2">
      <c r="B87" s="2" t="s">
        <v>27</v>
      </c>
      <c r="C87" s="2">
        <f t="shared" ca="1" si="12"/>
        <v>0.17845440313595262</v>
      </c>
      <c r="D87" s="2" t="str">
        <f t="shared" ca="1" si="13"/>
        <v>A</v>
      </c>
      <c r="E87" s="2" t="str">
        <f t="shared" ca="1" si="14"/>
        <v>B</v>
      </c>
      <c r="F87" s="2">
        <f t="shared" ca="1" si="15"/>
        <v>62</v>
      </c>
    </row>
    <row r="88" spans="2:6" x14ac:dyDescent="0.2">
      <c r="B88" s="2" t="s">
        <v>26</v>
      </c>
      <c r="C88" s="2">
        <f t="shared" ca="1" si="12"/>
        <v>0.77916577959846545</v>
      </c>
      <c r="D88" s="2" t="str">
        <f t="shared" ca="1" si="13"/>
        <v>E</v>
      </c>
      <c r="E88" s="2" t="str">
        <f t="shared" ca="1" si="14"/>
        <v>D</v>
      </c>
      <c r="F88" s="2">
        <f t="shared" ca="1" si="15"/>
        <v>30</v>
      </c>
    </row>
    <row r="89" spans="2:6" x14ac:dyDescent="0.2">
      <c r="B89" s="2" t="s">
        <v>25</v>
      </c>
      <c r="C89" s="2">
        <f t="shared" ca="1" si="12"/>
        <v>0.52160554521010605</v>
      </c>
      <c r="D89" s="2" t="str">
        <f t="shared" ca="1" si="13"/>
        <v>C</v>
      </c>
      <c r="E89" s="2" t="str">
        <f t="shared" ca="1" si="14"/>
        <v>E</v>
      </c>
      <c r="F89" s="2">
        <f t="shared" ca="1" si="15"/>
        <v>54</v>
      </c>
    </row>
    <row r="90" spans="2:6" x14ac:dyDescent="0.2">
      <c r="B90" s="2" t="s">
        <v>24</v>
      </c>
      <c r="C90" s="2">
        <f t="shared" ca="1" si="12"/>
        <v>0.29569977592287222</v>
      </c>
      <c r="D90" s="2" t="str">
        <f t="shared" ca="1" si="13"/>
        <v>B</v>
      </c>
      <c r="E90" s="2" t="str">
        <f t="shared" ca="1" si="14"/>
        <v>B</v>
      </c>
      <c r="F90" s="2">
        <f t="shared" ca="1" si="15"/>
        <v>81</v>
      </c>
    </row>
    <row r="91" spans="2:6" x14ac:dyDescent="0.2">
      <c r="B91" s="2" t="s">
        <v>23</v>
      </c>
      <c r="C91" s="2">
        <f t="shared" ca="1" si="12"/>
        <v>4.9955131242558348E-2</v>
      </c>
      <c r="D91" s="2" t="str">
        <f t="shared" ca="1" si="13"/>
        <v>F</v>
      </c>
      <c r="E91" s="2" t="str">
        <f t="shared" ca="1" si="14"/>
        <v>F</v>
      </c>
      <c r="F91" s="2">
        <f t="shared" ca="1" si="15"/>
        <v>88</v>
      </c>
    </row>
    <row r="92" spans="2:6" x14ac:dyDescent="0.2">
      <c r="B92" s="2" t="s">
        <v>22</v>
      </c>
      <c r="C92" s="2">
        <f t="shared" ca="1" si="12"/>
        <v>0.36868064023418823</v>
      </c>
      <c r="D92" s="2" t="str">
        <f t="shared" ca="1" si="13"/>
        <v>B</v>
      </c>
      <c r="E92" s="2" t="str">
        <f t="shared" ca="1" si="14"/>
        <v>C</v>
      </c>
      <c r="F92" s="2">
        <f t="shared" ca="1" si="15"/>
        <v>23</v>
      </c>
    </row>
    <row r="93" spans="2:6" x14ac:dyDescent="0.2">
      <c r="B93" s="2" t="s">
        <v>21</v>
      </c>
      <c r="C93" s="2">
        <f t="shared" ca="1" si="12"/>
        <v>0.38124477713831251</v>
      </c>
      <c r="D93" s="2" t="str">
        <f t="shared" ca="1" si="13"/>
        <v>B</v>
      </c>
      <c r="E93" s="2" t="str">
        <f t="shared" ca="1" si="14"/>
        <v>B</v>
      </c>
      <c r="F93" s="2">
        <f t="shared" ca="1" si="15"/>
        <v>49</v>
      </c>
    </row>
    <row r="94" spans="2:6" x14ac:dyDescent="0.2">
      <c r="B94" s="2" t="s">
        <v>20</v>
      </c>
      <c r="C94" s="2">
        <f t="shared" ca="1" si="12"/>
        <v>0.20792451767299336</v>
      </c>
      <c r="D94" s="2" t="str">
        <f t="shared" ca="1" si="13"/>
        <v>B</v>
      </c>
      <c r="E94" s="2" t="str">
        <f t="shared" ca="1" si="14"/>
        <v>C</v>
      </c>
      <c r="F94" s="2">
        <f t="shared" ca="1" si="15"/>
        <v>60</v>
      </c>
    </row>
    <row r="95" spans="2:6" x14ac:dyDescent="0.2">
      <c r="B95" s="2" t="s">
        <v>19</v>
      </c>
      <c r="C95" s="2">
        <f t="shared" ca="1" si="12"/>
        <v>0.98544945581334553</v>
      </c>
      <c r="D95" s="2" t="str">
        <f t="shared" ca="1" si="13"/>
        <v>F</v>
      </c>
      <c r="E95" s="2" t="str">
        <f t="shared" ca="1" si="14"/>
        <v>F</v>
      </c>
      <c r="F95" s="2">
        <f t="shared" ca="1" si="15"/>
        <v>91</v>
      </c>
    </row>
    <row r="96" spans="2:6" x14ac:dyDescent="0.2">
      <c r="B96" s="2" t="s">
        <v>18</v>
      </c>
      <c r="C96" s="2">
        <f t="shared" ca="1" si="12"/>
        <v>7.8767375622119551E-2</v>
      </c>
      <c r="D96" s="2" t="str">
        <f t="shared" ca="1" si="13"/>
        <v>F</v>
      </c>
      <c r="E96" s="2" t="str">
        <f t="shared" ca="1" si="14"/>
        <v>F</v>
      </c>
      <c r="F96" s="2">
        <f t="shared" ca="1" si="15"/>
        <v>75</v>
      </c>
    </row>
    <row r="97" spans="2:6" x14ac:dyDescent="0.2">
      <c r="B97" s="2" t="s">
        <v>17</v>
      </c>
      <c r="C97" s="2">
        <f t="shared" ca="1" si="12"/>
        <v>0.7368609454611974</v>
      </c>
      <c r="D97" s="2" t="str">
        <f t="shared" ca="1" si="13"/>
        <v>E</v>
      </c>
      <c r="E97" s="2" t="str">
        <f t="shared" ca="1" si="14"/>
        <v>F</v>
      </c>
      <c r="F97" s="2">
        <f t="shared" ca="1" si="15"/>
        <v>94</v>
      </c>
    </row>
    <row r="98" spans="2:6" x14ac:dyDescent="0.2">
      <c r="B98" s="2" t="s">
        <v>16</v>
      </c>
      <c r="C98" s="2">
        <f t="shared" ca="1" si="12"/>
        <v>0.94652419967773505</v>
      </c>
      <c r="D98" s="2" t="str">
        <f t="shared" ca="1" si="13"/>
        <v>F</v>
      </c>
      <c r="E98" s="2" t="str">
        <f t="shared" ca="1" si="14"/>
        <v>F</v>
      </c>
      <c r="F98" s="2">
        <f t="shared" ca="1" si="15"/>
        <v>90</v>
      </c>
    </row>
    <row r="99" spans="2:6" x14ac:dyDescent="0.2">
      <c r="B99" s="2" t="s">
        <v>15</v>
      </c>
      <c r="C99" s="2">
        <f t="shared" ca="1" si="12"/>
        <v>0.44385132786897774</v>
      </c>
      <c r="D99" s="2" t="str">
        <f t="shared" ca="1" si="13"/>
        <v>C</v>
      </c>
      <c r="E99" s="2" t="str">
        <f t="shared" ca="1" si="14"/>
        <v>D</v>
      </c>
      <c r="F99" s="2">
        <f t="shared" ca="1" si="15"/>
        <v>73</v>
      </c>
    </row>
    <row r="100" spans="2:6" x14ac:dyDescent="0.2">
      <c r="B100" s="2" t="s">
        <v>14</v>
      </c>
      <c r="C100" s="2">
        <f t="shared" ca="1" si="12"/>
        <v>0.2828014471377378</v>
      </c>
      <c r="D100" s="2" t="str">
        <f t="shared" ca="1" si="13"/>
        <v>B</v>
      </c>
      <c r="E100" s="2" t="str">
        <f t="shared" ca="1" si="14"/>
        <v>C</v>
      </c>
      <c r="F100" s="2">
        <f t="shared" ca="1" si="15"/>
        <v>41</v>
      </c>
    </row>
    <row r="101" spans="2:6" x14ac:dyDescent="0.2">
      <c r="B101" s="2" t="s">
        <v>13</v>
      </c>
      <c r="C101" s="2">
        <f t="shared" ca="1" si="12"/>
        <v>0.53832402460772943</v>
      </c>
      <c r="D101" s="2" t="str">
        <f t="shared" ca="1" si="13"/>
        <v>C</v>
      </c>
      <c r="E101" s="2" t="str">
        <f t="shared" ca="1" si="14"/>
        <v>D</v>
      </c>
      <c r="F101" s="2">
        <f t="shared" ca="1" si="15"/>
        <v>23</v>
      </c>
    </row>
    <row r="102" spans="2:6" x14ac:dyDescent="0.2">
      <c r="B102" s="2" t="s">
        <v>12</v>
      </c>
      <c r="C102" s="2">
        <f t="shared" ca="1" si="12"/>
        <v>0.74376656996514823</v>
      </c>
      <c r="D102" s="2" t="str">
        <f t="shared" ca="1" si="13"/>
        <v>E</v>
      </c>
      <c r="E102" s="2" t="str">
        <f t="shared" ca="1" si="14"/>
        <v>F</v>
      </c>
      <c r="F102" s="2">
        <f t="shared" ca="1" si="15"/>
        <v>78</v>
      </c>
    </row>
    <row r="103" spans="2:6" x14ac:dyDescent="0.2">
      <c r="B103" s="2" t="s">
        <v>11</v>
      </c>
      <c r="C103" s="2">
        <f t="shared" ca="1" si="12"/>
        <v>3.4054216867151599E-2</v>
      </c>
      <c r="D103" s="2" t="str">
        <f t="shared" ca="1" si="13"/>
        <v>F</v>
      </c>
      <c r="E103" s="2" t="str">
        <f t="shared" ca="1" si="14"/>
        <v>F</v>
      </c>
      <c r="F103" s="2">
        <f t="shared" ca="1" si="15"/>
        <v>97</v>
      </c>
    </row>
    <row r="104" spans="2:6" x14ac:dyDescent="0.2">
      <c r="B104" s="2" t="s">
        <v>10</v>
      </c>
      <c r="C104" s="2">
        <f t="shared" ca="1" si="12"/>
        <v>0.10342567941719338</v>
      </c>
      <c r="D104" s="2" t="str">
        <f t="shared" ca="1" si="13"/>
        <v>A</v>
      </c>
      <c r="E104" s="2" t="str">
        <f t="shared" ca="1" si="14"/>
        <v>A</v>
      </c>
      <c r="F104" s="2">
        <f t="shared" ca="1" si="15"/>
        <v>89</v>
      </c>
    </row>
    <row r="105" spans="2:6" x14ac:dyDescent="0.2">
      <c r="B105" s="2" t="s">
        <v>9</v>
      </c>
      <c r="C105" s="2">
        <f t="shared" ca="1" si="12"/>
        <v>0.99626355072297701</v>
      </c>
      <c r="D105" s="2" t="str">
        <f t="shared" ca="1" si="13"/>
        <v>F</v>
      </c>
      <c r="E105" s="2" t="str">
        <f t="shared" ca="1" si="14"/>
        <v>F</v>
      </c>
      <c r="F105" s="2">
        <f t="shared" ca="1" si="15"/>
        <v>100</v>
      </c>
    </row>
    <row r="106" spans="2:6" x14ac:dyDescent="0.2">
      <c r="B106" s="2" t="s">
        <v>8</v>
      </c>
      <c r="C106" s="2">
        <f t="shared" ca="1" si="12"/>
        <v>0.50926322715653194</v>
      </c>
      <c r="D106" s="2" t="str">
        <f t="shared" ref="D106:D109" ca="1" si="16">(IFERROR(VLOOKUP(C106,ratingsTbl,2,1),"F"))</f>
        <v>C</v>
      </c>
      <c r="E106" s="2" t="str">
        <f t="shared" ref="E106:E109" ca="1" si="17">IFERROR(IF(D106="F","F",VLOOKUP(C106+(RAND()-0.25)/2,ratingsTbl,2,1)),"A")</f>
        <v>E</v>
      </c>
      <c r="F106" s="2">
        <f t="shared" ca="1" si="15"/>
        <v>73</v>
      </c>
    </row>
    <row r="107" spans="2:6" x14ac:dyDescent="0.2">
      <c r="B107" s="2" t="s">
        <v>7</v>
      </c>
      <c r="C107" s="2">
        <f t="shared" ca="1" si="12"/>
        <v>0.74756808351875048</v>
      </c>
      <c r="D107" s="2" t="str">
        <f t="shared" ca="1" si="16"/>
        <v>E</v>
      </c>
      <c r="E107" s="2" t="str">
        <f t="shared" ca="1" si="17"/>
        <v>E</v>
      </c>
      <c r="F107" s="2">
        <f t="shared" ca="1" si="15"/>
        <v>41</v>
      </c>
    </row>
    <row r="108" spans="2:6" x14ac:dyDescent="0.2">
      <c r="B108" s="2" t="s">
        <v>6</v>
      </c>
      <c r="C108" s="2">
        <f t="shared" ca="1" si="12"/>
        <v>0.94466528784226012</v>
      </c>
      <c r="D108" s="2" t="str">
        <f t="shared" ca="1" si="16"/>
        <v>F</v>
      </c>
      <c r="E108" s="2" t="str">
        <f t="shared" ca="1" si="17"/>
        <v>F</v>
      </c>
      <c r="F108" s="2">
        <f t="shared" ca="1" si="15"/>
        <v>69</v>
      </c>
    </row>
    <row r="109" spans="2:6" x14ac:dyDescent="0.2">
      <c r="B109" s="2" t="s">
        <v>5</v>
      </c>
      <c r="C109" s="2">
        <f t="shared" ca="1" si="12"/>
        <v>7.3776576851278475E-2</v>
      </c>
      <c r="D109" s="2" t="str">
        <f t="shared" ca="1" si="16"/>
        <v>F</v>
      </c>
      <c r="E109" s="2" t="str">
        <f t="shared" ca="1" si="17"/>
        <v>F</v>
      </c>
      <c r="F109" s="2">
        <f t="shared" ca="1" si="15"/>
        <v>83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B2:C26"/>
  <sheetViews>
    <sheetView zoomScale="80" zoomScaleNormal="80" workbookViewId="0"/>
  </sheetViews>
  <sheetFormatPr baseColWidth="10" defaultRowHeight="26" x14ac:dyDescent="0.3"/>
  <cols>
    <col min="1" max="16384" width="10.83203125" style="37"/>
  </cols>
  <sheetData>
    <row r="2" spans="2:2" x14ac:dyDescent="0.3">
      <c r="B2" s="37" t="s">
        <v>185</v>
      </c>
    </row>
    <row r="3" spans="2:2" x14ac:dyDescent="0.3">
      <c r="B3" s="37" t="s">
        <v>307</v>
      </c>
    </row>
    <row r="5" spans="2:2" x14ac:dyDescent="0.3">
      <c r="B5" s="37" t="s">
        <v>308</v>
      </c>
    </row>
    <row r="6" spans="2:2" x14ac:dyDescent="0.3">
      <c r="B6" s="37" t="s">
        <v>146</v>
      </c>
    </row>
    <row r="7" spans="2:2" x14ac:dyDescent="0.3">
      <c r="B7" s="37" t="s">
        <v>145</v>
      </c>
    </row>
    <row r="8" spans="2:2" x14ac:dyDescent="0.3">
      <c r="B8" s="37" t="s">
        <v>144</v>
      </c>
    </row>
    <row r="10" spans="2:2" x14ac:dyDescent="0.3">
      <c r="B10" s="37" t="s">
        <v>143</v>
      </c>
    </row>
    <row r="12" spans="2:2" x14ac:dyDescent="0.3">
      <c r="B12" s="37" t="s">
        <v>181</v>
      </c>
    </row>
    <row r="13" spans="2:2" x14ac:dyDescent="0.3">
      <c r="B13" s="37" t="s">
        <v>142</v>
      </c>
    </row>
    <row r="15" spans="2:2" x14ac:dyDescent="0.3">
      <c r="B15" s="37" t="s">
        <v>141</v>
      </c>
    </row>
    <row r="16" spans="2:2" x14ac:dyDescent="0.3">
      <c r="B16" s="37" t="s">
        <v>140</v>
      </c>
    </row>
    <row r="18" spans="2:3" x14ac:dyDescent="0.3">
      <c r="B18" s="37" t="s">
        <v>139</v>
      </c>
    </row>
    <row r="19" spans="2:3" x14ac:dyDescent="0.3">
      <c r="C19" s="37" t="s">
        <v>311</v>
      </c>
    </row>
    <row r="20" spans="2:3" x14ac:dyDescent="0.3">
      <c r="C20" s="37" t="s">
        <v>138</v>
      </c>
    </row>
    <row r="21" spans="2:3" x14ac:dyDescent="0.3">
      <c r="C21" s="37" t="s">
        <v>137</v>
      </c>
    </row>
    <row r="23" spans="2:3" x14ac:dyDescent="0.3">
      <c r="B23" s="37" t="s">
        <v>136</v>
      </c>
    </row>
    <row r="24" spans="2:3" x14ac:dyDescent="0.3">
      <c r="C24" s="37" t="s">
        <v>135</v>
      </c>
    </row>
    <row r="25" spans="2:3" x14ac:dyDescent="0.3">
      <c r="C25" s="37" t="s">
        <v>134</v>
      </c>
    </row>
    <row r="26" spans="2:3" x14ac:dyDescent="0.3">
      <c r="C26" s="37" t="s">
        <v>155</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BA792-07E9-3A49-A9CA-4292ABDC054E}">
  <sheetPr>
    <tabColor rgb="FFFF0000"/>
  </sheetPr>
  <dimension ref="B2:K21"/>
  <sheetViews>
    <sheetView workbookViewId="0"/>
  </sheetViews>
  <sheetFormatPr baseColWidth="10" defaultRowHeight="26" x14ac:dyDescent="0.3"/>
  <cols>
    <col min="1" max="2" width="10.83203125" style="37"/>
    <col min="3" max="3" width="9.6640625" style="37" bestFit="1" customWidth="1"/>
    <col min="4" max="8" width="10.83203125" style="37"/>
    <col min="9" max="9" width="11.5" style="37" bestFit="1" customWidth="1"/>
    <col min="10" max="16384" width="10.83203125" style="37"/>
  </cols>
  <sheetData>
    <row r="2" spans="2:10" x14ac:dyDescent="0.3">
      <c r="B2" s="37" t="s">
        <v>337</v>
      </c>
    </row>
    <row r="3" spans="2:10" x14ac:dyDescent="0.3">
      <c r="B3" s="37" t="s">
        <v>336</v>
      </c>
    </row>
    <row r="10" spans="2:10" ht="30" x14ac:dyDescent="0.4">
      <c r="C10" s="37" t="s">
        <v>335</v>
      </c>
      <c r="D10" s="128">
        <v>12.395382884314756</v>
      </c>
      <c r="H10" s="37" t="s">
        <v>334</v>
      </c>
      <c r="I10" s="37">
        <f>(LN(V0/D)+(r_+sV^2/2)*T ) / (sV*SQRT(T))</f>
        <v>1.3531251320769953</v>
      </c>
    </row>
    <row r="11" spans="2:10" ht="30" x14ac:dyDescent="0.4">
      <c r="C11" s="37" t="s">
        <v>333</v>
      </c>
      <c r="D11" s="127" t="s">
        <v>329</v>
      </c>
      <c r="H11" s="37" t="s">
        <v>332</v>
      </c>
      <c r="I11" s="37">
        <f>_xlfn.NORM.S.DIST(I10,TRUE)</f>
        <v>0.91199217101185837</v>
      </c>
    </row>
    <row r="12" spans="2:10" ht="30" x14ac:dyDescent="0.4">
      <c r="C12" s="37" t="s">
        <v>324</v>
      </c>
      <c r="D12" s="38">
        <v>3</v>
      </c>
      <c r="H12" s="37" t="s">
        <v>331</v>
      </c>
      <c r="I12" s="37">
        <f>I10-sV*SQRT(T)</f>
        <v>1.1408197485055416</v>
      </c>
    </row>
    <row r="13" spans="2:10" ht="30" x14ac:dyDescent="0.4">
      <c r="C13" s="37" t="s">
        <v>330</v>
      </c>
      <c r="D13" s="127" t="s">
        <v>329</v>
      </c>
      <c r="H13" s="37" t="s">
        <v>328</v>
      </c>
      <c r="I13" s="37">
        <f>_xlfn.NORM.S.DIST(I12,TRUE)</f>
        <v>0.87302752965377795</v>
      </c>
    </row>
    <row r="14" spans="2:10" x14ac:dyDescent="0.3">
      <c r="C14" s="37" t="s">
        <v>93</v>
      </c>
      <c r="D14" s="38">
        <v>10</v>
      </c>
      <c r="I14" s="126" t="s">
        <v>327</v>
      </c>
      <c r="J14" s="126" t="s">
        <v>326</v>
      </c>
    </row>
    <row r="15" spans="2:10" ht="30" x14ac:dyDescent="0.4">
      <c r="C15" s="124" t="s">
        <v>325</v>
      </c>
      <c r="D15" s="125">
        <v>0.21230538357145357</v>
      </c>
      <c r="H15" s="37" t="s">
        <v>324</v>
      </c>
      <c r="I15" s="37">
        <f>E0</f>
        <v>3</v>
      </c>
      <c r="J15" s="37">
        <f>V0*N_d1-D*EXP(-r_*T)*N_d2</f>
        <v>2.9999974011310133</v>
      </c>
    </row>
    <row r="16" spans="2:10" ht="30" x14ac:dyDescent="0.4">
      <c r="C16" s="124" t="s">
        <v>323</v>
      </c>
      <c r="D16" s="39">
        <v>0.8</v>
      </c>
      <c r="H16" s="124" t="s">
        <v>322</v>
      </c>
      <c r="I16" s="37">
        <f>sE*E0</f>
        <v>2.4000000000000004</v>
      </c>
      <c r="J16" s="37">
        <f>N_d1*sV*V0</f>
        <v>2.4000045413895399</v>
      </c>
    </row>
    <row r="17" spans="3:11" x14ac:dyDescent="0.3">
      <c r="C17" s="37" t="s">
        <v>321</v>
      </c>
      <c r="D17" s="39">
        <v>0.05</v>
      </c>
    </row>
    <row r="18" spans="3:11" x14ac:dyDescent="0.3">
      <c r="C18" s="37" t="s">
        <v>320</v>
      </c>
      <c r="D18" s="38">
        <v>1</v>
      </c>
      <c r="H18" s="37" t="s">
        <v>319</v>
      </c>
      <c r="I18" s="37">
        <f>SUMXMY2(I15:I16,J15:J16)</f>
        <v>2.7378338959740668E-11</v>
      </c>
      <c r="K18" s="37" t="s">
        <v>318</v>
      </c>
    </row>
    <row r="20" spans="3:11" ht="30" x14ac:dyDescent="0.4">
      <c r="C20" s="37" t="s">
        <v>317</v>
      </c>
      <c r="D20" s="37">
        <f>V0-E0</f>
        <v>9.3953828843147562</v>
      </c>
      <c r="H20" s="37" t="s">
        <v>123</v>
      </c>
      <c r="I20" s="123">
        <f>1-N_d2</f>
        <v>0.12697247034622205</v>
      </c>
    </row>
    <row r="21" spans="3:11" ht="30" x14ac:dyDescent="0.4">
      <c r="C21" s="37" t="s">
        <v>316</v>
      </c>
      <c r="D21" s="37">
        <f>D*EXP(-r_*T)</f>
        <v>9.5122942450071406</v>
      </c>
      <c r="H21" s="37" t="s">
        <v>315</v>
      </c>
      <c r="I21" s="37">
        <f>D0-Dmarket</f>
        <v>0.11691136069238439</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8020E-720C-C64F-83A4-6EC2264F73AA}">
  <sheetPr>
    <tabColor rgb="FFC00000"/>
  </sheetPr>
  <dimension ref="A1:F18"/>
  <sheetViews>
    <sheetView workbookViewId="0"/>
  </sheetViews>
  <sheetFormatPr baseColWidth="10" defaultRowHeight="92" x14ac:dyDescent="1"/>
  <cols>
    <col min="1" max="16384" width="10.83203125" style="130"/>
  </cols>
  <sheetData>
    <row r="1" spans="1:2" x14ac:dyDescent="1">
      <c r="A1" s="129" t="s">
        <v>347</v>
      </c>
    </row>
    <row r="2" spans="1:2" x14ac:dyDescent="1">
      <c r="B2" s="130" t="s">
        <v>348</v>
      </c>
    </row>
    <row r="4" spans="1:2" x14ac:dyDescent="1">
      <c r="B4" s="130" t="s">
        <v>349</v>
      </c>
    </row>
    <row r="18" spans="2:6" x14ac:dyDescent="1">
      <c r="B18" s="131"/>
      <c r="C18" s="131"/>
      <c r="D18" s="131"/>
      <c r="E18" s="131"/>
      <c r="F18" s="13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0168B-03FF-6D46-9D4A-9176FBEE682E}">
  <sheetPr>
    <tabColor rgb="FF00B050"/>
  </sheetPr>
  <dimension ref="A1"/>
  <sheetViews>
    <sheetView workbookViewId="0"/>
  </sheetViews>
  <sheetFormatPr baseColWidth="10" defaultRowHeight="26" x14ac:dyDescent="0.3"/>
  <cols>
    <col min="1" max="16384" width="10.83203125" style="119"/>
  </cols>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F7C78-F27E-CB4E-8D9F-864A05B29941}">
  <sheetPr>
    <tabColor rgb="FF00B050"/>
  </sheetPr>
  <dimension ref="B2:O47"/>
  <sheetViews>
    <sheetView workbookViewId="0"/>
  </sheetViews>
  <sheetFormatPr baseColWidth="10" defaultRowHeight="26" x14ac:dyDescent="0.3"/>
  <cols>
    <col min="1" max="2" width="10.83203125" style="113"/>
    <col min="3" max="3" width="13.33203125" style="113" bestFit="1" customWidth="1"/>
    <col min="4" max="16384" width="10.83203125" style="113"/>
  </cols>
  <sheetData>
    <row r="2" spans="2:15" x14ac:dyDescent="0.3">
      <c r="B2" s="113" t="s">
        <v>299</v>
      </c>
    </row>
    <row r="3" spans="2:15" x14ac:dyDescent="0.3">
      <c r="B3" s="113" t="s">
        <v>300</v>
      </c>
    </row>
    <row r="4" spans="2:15" x14ac:dyDescent="0.3">
      <c r="B4" s="113" t="s">
        <v>298</v>
      </c>
    </row>
    <row r="6" spans="2:15" x14ac:dyDescent="0.3">
      <c r="B6" s="113" t="s">
        <v>297</v>
      </c>
      <c r="C6" s="113">
        <v>30</v>
      </c>
    </row>
    <row r="7" spans="2:15" x14ac:dyDescent="0.3">
      <c r="B7" s="113" t="s">
        <v>296</v>
      </c>
      <c r="C7" s="118">
        <v>0.01</v>
      </c>
    </row>
    <row r="8" spans="2:15" x14ac:dyDescent="0.3">
      <c r="B8" s="113" t="s">
        <v>295</v>
      </c>
      <c r="C8" s="118">
        <v>3.5000000000000003E-2</v>
      </c>
    </row>
    <row r="9" spans="2:15" x14ac:dyDescent="0.3">
      <c r="C9" s="120" t="s">
        <v>301</v>
      </c>
      <c r="D9" s="120"/>
      <c r="E9" s="120"/>
      <c r="F9" s="120"/>
      <c r="G9" s="120"/>
      <c r="H9" s="120"/>
      <c r="I9" s="120"/>
      <c r="J9" s="120"/>
      <c r="K9" s="120"/>
      <c r="L9" s="120"/>
      <c r="M9" s="120"/>
      <c r="N9" s="120"/>
      <c r="O9" s="120"/>
    </row>
    <row r="10" spans="2:15" x14ac:dyDescent="0.3">
      <c r="B10" s="113" t="s">
        <v>283</v>
      </c>
      <c r="C10" s="113">
        <v>0</v>
      </c>
      <c r="D10" s="113">
        <v>1</v>
      </c>
      <c r="E10" s="113">
        <v>2</v>
      </c>
      <c r="F10" s="113">
        <v>3</v>
      </c>
      <c r="G10" s="113">
        <v>4</v>
      </c>
      <c r="H10" s="113">
        <v>5</v>
      </c>
      <c r="I10" s="113">
        <v>6</v>
      </c>
      <c r="J10" s="113">
        <v>7</v>
      </c>
      <c r="K10" s="113">
        <v>8</v>
      </c>
      <c r="L10" s="113">
        <v>9</v>
      </c>
      <c r="M10" s="113">
        <v>10</v>
      </c>
      <c r="N10" s="113">
        <v>11</v>
      </c>
      <c r="O10" s="113">
        <v>12</v>
      </c>
    </row>
    <row r="11" spans="2:15" x14ac:dyDescent="0.3">
      <c r="C11" s="117" t="s">
        <v>282</v>
      </c>
      <c r="D11" s="117" t="s">
        <v>281</v>
      </c>
      <c r="E11" s="117" t="s">
        <v>280</v>
      </c>
      <c r="F11" s="117" t="s">
        <v>279</v>
      </c>
      <c r="G11" s="117" t="s">
        <v>278</v>
      </c>
      <c r="H11" s="117" t="s">
        <v>277</v>
      </c>
      <c r="I11" s="117" t="s">
        <v>276</v>
      </c>
      <c r="J11" s="117" t="s">
        <v>275</v>
      </c>
      <c r="K11" s="117" t="s">
        <v>274</v>
      </c>
      <c r="L11" s="117" t="s">
        <v>273</v>
      </c>
      <c r="M11" s="117" t="s">
        <v>272</v>
      </c>
      <c r="N11" s="117" t="s">
        <v>271</v>
      </c>
      <c r="O11" s="117" t="s">
        <v>270</v>
      </c>
    </row>
    <row r="12" spans="2:15" x14ac:dyDescent="0.3">
      <c r="B12" s="113" t="s">
        <v>294</v>
      </c>
      <c r="C12" s="113">
        <f t="shared" ref="C12:C21" si="0">P0</f>
        <v>30</v>
      </c>
      <c r="D12" s="113">
        <v>29.656016504447692</v>
      </c>
      <c r="E12" s="113">
        <v>29.969927675876267</v>
      </c>
      <c r="F12" s="113">
        <v>30.529189256774032</v>
      </c>
      <c r="G12" s="113">
        <v>31.298482576374042</v>
      </c>
      <c r="H12" s="113">
        <v>32.980794881940888</v>
      </c>
      <c r="I12" s="113">
        <v>34.310864504806787</v>
      </c>
      <c r="J12" s="113">
        <v>34.211540131158529</v>
      </c>
      <c r="K12" s="113">
        <v>33.79169757239363</v>
      </c>
      <c r="L12" s="113">
        <v>34.230138145339282</v>
      </c>
      <c r="M12" s="113">
        <v>35.165741298950138</v>
      </c>
      <c r="N12" s="113">
        <v>34.712348495344131</v>
      </c>
      <c r="O12" s="113">
        <v>34.670816017333614</v>
      </c>
    </row>
    <row r="13" spans="2:15" x14ac:dyDescent="0.3">
      <c r="B13" s="113" t="s">
        <v>293</v>
      </c>
      <c r="C13" s="113">
        <f t="shared" si="0"/>
        <v>30</v>
      </c>
      <c r="D13" s="113">
        <v>30.269363753678295</v>
      </c>
      <c r="E13" s="113">
        <v>31.386273494029755</v>
      </c>
      <c r="F13" s="113">
        <v>33.367071503423425</v>
      </c>
      <c r="G13" s="113">
        <v>34.173010862619257</v>
      </c>
      <c r="H13" s="113">
        <v>35.327717287497926</v>
      </c>
      <c r="I13" s="113">
        <v>35.311203792657153</v>
      </c>
      <c r="J13" s="113">
        <v>35.606133171815166</v>
      </c>
      <c r="K13" s="113">
        <v>36.711030590981537</v>
      </c>
      <c r="L13" s="113">
        <v>37.417962990145355</v>
      </c>
      <c r="M13" s="113">
        <v>37.791144658806907</v>
      </c>
      <c r="N13" s="113">
        <v>39.396713144020914</v>
      </c>
      <c r="O13" s="113">
        <v>40.381519173080427</v>
      </c>
    </row>
    <row r="14" spans="2:15" x14ac:dyDescent="0.3">
      <c r="B14" s="113" t="s">
        <v>292</v>
      </c>
      <c r="C14" s="113">
        <f t="shared" si="0"/>
        <v>30</v>
      </c>
      <c r="D14" s="113">
        <v>31.405953112531606</v>
      </c>
      <c r="E14" s="113">
        <v>32.510158059856359</v>
      </c>
      <c r="F14" s="113">
        <v>32.73351866161525</v>
      </c>
      <c r="G14" s="113">
        <v>33.064253268866182</v>
      </c>
      <c r="H14" s="113">
        <v>34.404132845580584</v>
      </c>
      <c r="I14" s="113">
        <v>34.215972740043362</v>
      </c>
      <c r="J14" s="113">
        <v>35.5974463954648</v>
      </c>
      <c r="K14" s="113">
        <v>34.899051537573435</v>
      </c>
      <c r="L14" s="113">
        <v>37.111325354108374</v>
      </c>
      <c r="M14" s="113">
        <v>38.172898357133995</v>
      </c>
      <c r="N14" s="113">
        <v>38.922126394893368</v>
      </c>
      <c r="O14" s="113">
        <v>39.569641939990568</v>
      </c>
    </row>
    <row r="15" spans="2:15" x14ac:dyDescent="0.3">
      <c r="B15" s="113" t="s">
        <v>291</v>
      </c>
      <c r="C15" s="113">
        <f t="shared" si="0"/>
        <v>30</v>
      </c>
      <c r="D15" s="113">
        <v>30.315964976141878</v>
      </c>
      <c r="E15" s="113">
        <v>30.672063787708918</v>
      </c>
      <c r="F15" s="113">
        <v>31.851219569654813</v>
      </c>
      <c r="G15" s="113">
        <v>32.102991573262308</v>
      </c>
      <c r="H15" s="113">
        <v>32.860311061123362</v>
      </c>
      <c r="I15" s="113">
        <v>33.727139872366124</v>
      </c>
      <c r="J15" s="113">
        <v>35.148729342652231</v>
      </c>
      <c r="K15" s="113">
        <v>36.028654153010848</v>
      </c>
      <c r="L15" s="113">
        <v>35.124380489018506</v>
      </c>
      <c r="M15" s="113">
        <v>35.407440341550512</v>
      </c>
      <c r="N15" s="113">
        <v>35.619690000574735</v>
      </c>
      <c r="O15" s="113">
        <v>37.213066535830094</v>
      </c>
    </row>
    <row r="16" spans="2:15" x14ac:dyDescent="0.3">
      <c r="B16" s="113" t="s">
        <v>290</v>
      </c>
      <c r="C16" s="113">
        <f t="shared" si="0"/>
        <v>30</v>
      </c>
      <c r="D16" s="113">
        <v>30.413451939914999</v>
      </c>
      <c r="E16" s="113">
        <v>30.221564504357961</v>
      </c>
      <c r="F16" s="113">
        <v>30.650293433976685</v>
      </c>
      <c r="G16" s="113">
        <v>31.402312008040802</v>
      </c>
      <c r="H16" s="113">
        <v>31.264121546560055</v>
      </c>
      <c r="I16" s="113">
        <v>30.767125459401619</v>
      </c>
      <c r="J16" s="113">
        <v>30.272470405441336</v>
      </c>
      <c r="K16" s="113">
        <v>31.556337528397204</v>
      </c>
      <c r="L16" s="113">
        <v>31.297912331589373</v>
      </c>
      <c r="M16" s="113">
        <v>32.324148905513518</v>
      </c>
      <c r="N16" s="113">
        <v>32.081233883773599</v>
      </c>
      <c r="O16" s="113">
        <v>33.30125243233222</v>
      </c>
    </row>
    <row r="17" spans="2:15" x14ac:dyDescent="0.3">
      <c r="B17" s="113" t="s">
        <v>289</v>
      </c>
      <c r="C17" s="113">
        <f t="shared" si="0"/>
        <v>30</v>
      </c>
      <c r="D17" s="113">
        <v>30.765888582416345</v>
      </c>
      <c r="E17" s="113">
        <v>31.329856043397296</v>
      </c>
      <c r="F17" s="113">
        <v>31.939990459830256</v>
      </c>
      <c r="G17" s="113">
        <v>32.195176775998036</v>
      </c>
      <c r="H17" s="113">
        <v>32.935355560114161</v>
      </c>
      <c r="I17" s="113">
        <v>33.280798902885749</v>
      </c>
      <c r="J17" s="113">
        <v>33.40255858052528</v>
      </c>
      <c r="K17" s="113">
        <v>33.998428383945154</v>
      </c>
      <c r="L17" s="113">
        <v>34.3809768527614</v>
      </c>
      <c r="M17" s="113">
        <v>36.148422180856222</v>
      </c>
      <c r="N17" s="113">
        <v>37.203275469750075</v>
      </c>
      <c r="O17" s="113">
        <v>38.921132638100353</v>
      </c>
    </row>
    <row r="18" spans="2:15" x14ac:dyDescent="0.3">
      <c r="B18" s="113" t="s">
        <v>288</v>
      </c>
      <c r="C18" s="113">
        <f t="shared" si="0"/>
        <v>30</v>
      </c>
      <c r="D18" s="113">
        <v>30.893956650581792</v>
      </c>
      <c r="E18" s="113">
        <v>31.479738712712852</v>
      </c>
      <c r="F18" s="113">
        <v>32.088287360836574</v>
      </c>
      <c r="G18" s="113">
        <v>33.845873502044618</v>
      </c>
      <c r="H18" s="113">
        <v>34.161086717485922</v>
      </c>
      <c r="I18" s="113">
        <v>36.28731596967986</v>
      </c>
      <c r="J18" s="113">
        <v>37.30995521832687</v>
      </c>
      <c r="K18" s="113">
        <v>37.899099767226289</v>
      </c>
      <c r="L18" s="113">
        <v>38.551166894661364</v>
      </c>
      <c r="M18" s="113">
        <v>38.577943676874547</v>
      </c>
      <c r="N18" s="113">
        <v>39.961993529418756</v>
      </c>
      <c r="O18" s="113">
        <v>40.496830577346238</v>
      </c>
    </row>
    <row r="19" spans="2:15" x14ac:dyDescent="0.3">
      <c r="B19" s="113" t="s">
        <v>287</v>
      </c>
      <c r="C19" s="113">
        <f t="shared" si="0"/>
        <v>30</v>
      </c>
      <c r="D19" s="113">
        <v>32.151208236236748</v>
      </c>
      <c r="E19" s="113">
        <v>32.512156041867968</v>
      </c>
      <c r="F19" s="113">
        <v>32.859819738686575</v>
      </c>
      <c r="G19" s="113">
        <v>33.347404355129747</v>
      </c>
      <c r="H19" s="113">
        <v>33.719405413789346</v>
      </c>
      <c r="I19" s="113">
        <v>34.486163937962793</v>
      </c>
      <c r="J19" s="113">
        <v>35.021994305214548</v>
      </c>
      <c r="K19" s="113">
        <v>37.039451168054043</v>
      </c>
      <c r="L19" s="113">
        <v>37.571302407363973</v>
      </c>
      <c r="M19" s="113">
        <v>37.908586710972585</v>
      </c>
      <c r="N19" s="113">
        <v>38.233801173105277</v>
      </c>
      <c r="O19" s="113">
        <v>39.724503481497187</v>
      </c>
    </row>
    <row r="20" spans="2:15" x14ac:dyDescent="0.3">
      <c r="B20" s="113" t="s">
        <v>286</v>
      </c>
      <c r="C20" s="113">
        <f t="shared" si="0"/>
        <v>30</v>
      </c>
      <c r="D20" s="113">
        <v>30.865743773195817</v>
      </c>
      <c r="E20" s="113">
        <v>32.207166030344524</v>
      </c>
      <c r="F20" s="113">
        <v>32.946665347475864</v>
      </c>
      <c r="G20" s="113">
        <v>33.210017960174596</v>
      </c>
      <c r="H20" s="113">
        <v>33.667446202079319</v>
      </c>
      <c r="I20" s="113">
        <v>35.265465502599149</v>
      </c>
      <c r="J20" s="113">
        <v>36.632435066605296</v>
      </c>
      <c r="K20" s="113">
        <v>37.47832460192992</v>
      </c>
      <c r="L20" s="113">
        <v>38.433473544692838</v>
      </c>
      <c r="M20" s="113">
        <v>39.144993778428308</v>
      </c>
      <c r="N20" s="113">
        <v>38.767743708417392</v>
      </c>
      <c r="O20" s="113">
        <v>40.302745921693898</v>
      </c>
    </row>
    <row r="21" spans="2:15" x14ac:dyDescent="0.3">
      <c r="B21" s="113" t="s">
        <v>285</v>
      </c>
      <c r="C21" s="113">
        <f t="shared" si="0"/>
        <v>30</v>
      </c>
      <c r="D21" s="113">
        <v>30.431886750348863</v>
      </c>
      <c r="E21" s="113">
        <v>31.19900347293974</v>
      </c>
      <c r="F21" s="113">
        <v>31.945966770762794</v>
      </c>
      <c r="G21" s="113">
        <v>31.280898837239839</v>
      </c>
      <c r="H21" s="113">
        <v>32.034577691829917</v>
      </c>
      <c r="I21" s="113">
        <v>34.417406427492786</v>
      </c>
      <c r="J21" s="113">
        <v>35.906025743355848</v>
      </c>
      <c r="K21" s="113">
        <v>35.948860856957957</v>
      </c>
      <c r="L21" s="113">
        <v>36.057056588413928</v>
      </c>
      <c r="M21" s="113">
        <v>35.0094404977119</v>
      </c>
      <c r="N21" s="113">
        <v>35.737606844533666</v>
      </c>
      <c r="O21" s="113">
        <v>35.860941603962175</v>
      </c>
    </row>
    <row r="23" spans="2:15" x14ac:dyDescent="0.3">
      <c r="B23" s="113" t="s">
        <v>284</v>
      </c>
      <c r="C23" s="113">
        <v>30</v>
      </c>
    </row>
    <row r="24" spans="2:15" x14ac:dyDescent="0.3">
      <c r="C24" s="121" t="s">
        <v>303</v>
      </c>
      <c r="D24" s="121"/>
      <c r="E24" s="121"/>
      <c r="F24" s="121"/>
      <c r="G24" s="121"/>
      <c r="H24" s="121"/>
      <c r="I24" s="121"/>
      <c r="J24" s="121"/>
      <c r="K24" s="121"/>
      <c r="L24" s="121"/>
      <c r="M24" s="121"/>
      <c r="N24" s="121"/>
      <c r="O24" s="121"/>
    </row>
    <row r="25" spans="2:15" x14ac:dyDescent="0.3">
      <c r="B25" s="113" t="s">
        <v>283</v>
      </c>
      <c r="C25" s="113">
        <v>0</v>
      </c>
      <c r="D25" s="113">
        <v>1</v>
      </c>
      <c r="E25" s="113">
        <v>2</v>
      </c>
      <c r="F25" s="113">
        <v>3</v>
      </c>
      <c r="G25" s="113">
        <v>4</v>
      </c>
      <c r="H25" s="113">
        <v>5</v>
      </c>
      <c r="I25" s="113">
        <v>6</v>
      </c>
      <c r="J25" s="113">
        <v>7</v>
      </c>
      <c r="K25" s="113">
        <v>8</v>
      </c>
      <c r="L25" s="113">
        <v>9</v>
      </c>
      <c r="M25" s="113">
        <v>10</v>
      </c>
      <c r="N25" s="113">
        <v>11</v>
      </c>
      <c r="O25" s="113">
        <v>12</v>
      </c>
    </row>
    <row r="26" spans="2:15" x14ac:dyDescent="0.3">
      <c r="C26" s="113" t="s">
        <v>282</v>
      </c>
      <c r="D26" s="113" t="s">
        <v>281</v>
      </c>
      <c r="E26" s="113" t="s">
        <v>280</v>
      </c>
      <c r="F26" s="113" t="s">
        <v>279</v>
      </c>
      <c r="G26" s="113" t="s">
        <v>278</v>
      </c>
      <c r="H26" s="113" t="s">
        <v>277</v>
      </c>
      <c r="I26" s="113" t="s">
        <v>276</v>
      </c>
      <c r="J26" s="113" t="s">
        <v>275</v>
      </c>
      <c r="K26" s="113" t="s">
        <v>274</v>
      </c>
      <c r="L26" s="113" t="s">
        <v>273</v>
      </c>
      <c r="M26" s="113" t="s">
        <v>272</v>
      </c>
      <c r="N26" s="113" t="s">
        <v>271</v>
      </c>
      <c r="O26" s="113" t="s">
        <v>270</v>
      </c>
    </row>
    <row r="27" spans="2:15" x14ac:dyDescent="0.3">
      <c r="B27" s="113" t="s">
        <v>269</v>
      </c>
      <c r="C27" s="113">
        <f t="shared" ref="C27:O27" si="1">MAX(C12-K,0)</f>
        <v>0</v>
      </c>
      <c r="D27" s="113">
        <f t="shared" si="1"/>
        <v>0</v>
      </c>
      <c r="E27" s="113">
        <f t="shared" si="1"/>
        <v>0</v>
      </c>
      <c r="F27" s="113">
        <f t="shared" si="1"/>
        <v>0.52918925677403195</v>
      </c>
      <c r="G27" s="113">
        <f t="shared" si="1"/>
        <v>1.2984825763740417</v>
      </c>
      <c r="H27" s="113">
        <f t="shared" si="1"/>
        <v>2.9807948819408878</v>
      </c>
      <c r="I27" s="113">
        <f t="shared" si="1"/>
        <v>4.3108645048067871</v>
      </c>
      <c r="J27" s="113">
        <f t="shared" si="1"/>
        <v>4.2115401311585288</v>
      </c>
      <c r="K27" s="113">
        <f t="shared" si="1"/>
        <v>3.7916975723936304</v>
      </c>
      <c r="L27" s="113">
        <f t="shared" si="1"/>
        <v>4.2301381453392821</v>
      </c>
      <c r="M27" s="113">
        <f t="shared" si="1"/>
        <v>5.1657412989501381</v>
      </c>
      <c r="N27" s="113">
        <f t="shared" si="1"/>
        <v>4.7123484953441306</v>
      </c>
      <c r="O27" s="113">
        <f t="shared" si="1"/>
        <v>4.670816017333614</v>
      </c>
    </row>
    <row r="28" spans="2:15" x14ac:dyDescent="0.3">
      <c r="B28" s="113" t="s">
        <v>268</v>
      </c>
      <c r="C28" s="113">
        <f t="shared" ref="C28:O28" si="2">MAX(C13-K,0)</f>
        <v>0</v>
      </c>
      <c r="D28" s="113">
        <f t="shared" si="2"/>
        <v>0.26936375367829513</v>
      </c>
      <c r="E28" s="113">
        <f t="shared" si="2"/>
        <v>1.386273494029755</v>
      </c>
      <c r="F28" s="113">
        <f t="shared" si="2"/>
        <v>3.3670715034234249</v>
      </c>
      <c r="G28" s="113">
        <f t="shared" si="2"/>
        <v>4.1730108626192575</v>
      </c>
      <c r="H28" s="113">
        <f t="shared" si="2"/>
        <v>5.3277172874979257</v>
      </c>
      <c r="I28" s="113">
        <f t="shared" si="2"/>
        <v>5.3112037926571531</v>
      </c>
      <c r="J28" s="113">
        <f t="shared" si="2"/>
        <v>5.6061331718151663</v>
      </c>
      <c r="K28" s="113">
        <f t="shared" si="2"/>
        <v>6.7110305909815366</v>
      </c>
      <c r="L28" s="113">
        <f t="shared" si="2"/>
        <v>7.4179629901453552</v>
      </c>
      <c r="M28" s="113">
        <f t="shared" si="2"/>
        <v>7.7911446588069069</v>
      </c>
      <c r="N28" s="113">
        <f t="shared" si="2"/>
        <v>9.3967131440209144</v>
      </c>
      <c r="O28" s="113">
        <f t="shared" si="2"/>
        <v>10.381519173080427</v>
      </c>
    </row>
    <row r="29" spans="2:15" x14ac:dyDescent="0.3">
      <c r="B29" s="113" t="s">
        <v>267</v>
      </c>
      <c r="C29" s="113">
        <f t="shared" ref="C29:O29" si="3">MAX(C14-K,0)</f>
        <v>0</v>
      </c>
      <c r="D29" s="113">
        <f t="shared" si="3"/>
        <v>1.4059531125316056</v>
      </c>
      <c r="E29" s="113">
        <f t="shared" si="3"/>
        <v>2.5101580598563586</v>
      </c>
      <c r="F29" s="113">
        <f t="shared" si="3"/>
        <v>2.7335186616152498</v>
      </c>
      <c r="G29" s="113">
        <f t="shared" si="3"/>
        <v>3.0642532688661817</v>
      </c>
      <c r="H29" s="113">
        <f t="shared" si="3"/>
        <v>4.4041328455805839</v>
      </c>
      <c r="I29" s="113">
        <f t="shared" si="3"/>
        <v>4.2159727400433624</v>
      </c>
      <c r="J29" s="113">
        <f t="shared" si="3"/>
        <v>5.5974463954648002</v>
      </c>
      <c r="K29" s="113">
        <f t="shared" si="3"/>
        <v>4.8990515375734347</v>
      </c>
      <c r="L29" s="113">
        <f t="shared" si="3"/>
        <v>7.1113253541083736</v>
      </c>
      <c r="M29" s="113">
        <f t="shared" si="3"/>
        <v>8.1728983571339953</v>
      </c>
      <c r="N29" s="113">
        <f t="shared" si="3"/>
        <v>8.9221263948933682</v>
      </c>
      <c r="O29" s="113">
        <f t="shared" si="3"/>
        <v>9.5696419399905679</v>
      </c>
    </row>
    <row r="30" spans="2:15" x14ac:dyDescent="0.3">
      <c r="B30" s="113" t="s">
        <v>266</v>
      </c>
      <c r="C30" s="113">
        <f t="shared" ref="C30:O30" si="4">MAX(C15-K,0)</f>
        <v>0</v>
      </c>
      <c r="D30" s="113">
        <f t="shared" si="4"/>
        <v>0.31596497614187768</v>
      </c>
      <c r="E30" s="113">
        <f t="shared" si="4"/>
        <v>0.67206378770891817</v>
      </c>
      <c r="F30" s="113">
        <f t="shared" si="4"/>
        <v>1.8512195696548126</v>
      </c>
      <c r="G30" s="113">
        <f t="shared" si="4"/>
        <v>2.1029915732623081</v>
      </c>
      <c r="H30" s="113">
        <f t="shared" si="4"/>
        <v>2.8603110611233618</v>
      </c>
      <c r="I30" s="113">
        <f t="shared" si="4"/>
        <v>3.7271398723661235</v>
      </c>
      <c r="J30" s="113">
        <f t="shared" si="4"/>
        <v>5.1487293426522314</v>
      </c>
      <c r="K30" s="113">
        <f t="shared" si="4"/>
        <v>6.0286541530108479</v>
      </c>
      <c r="L30" s="113">
        <f t="shared" si="4"/>
        <v>5.1243804890185061</v>
      </c>
      <c r="M30" s="113">
        <f t="shared" si="4"/>
        <v>5.4074403415505117</v>
      </c>
      <c r="N30" s="113">
        <f t="shared" si="4"/>
        <v>5.6196900005747352</v>
      </c>
      <c r="O30" s="113">
        <f t="shared" si="4"/>
        <v>7.2130665358300945</v>
      </c>
    </row>
    <row r="31" spans="2:15" x14ac:dyDescent="0.3">
      <c r="B31" s="113" t="s">
        <v>265</v>
      </c>
      <c r="C31" s="113">
        <f t="shared" ref="C31:O31" si="5">MAX(C16-K,0)</f>
        <v>0</v>
      </c>
      <c r="D31" s="113">
        <f t="shared" si="5"/>
        <v>0.4134519399149994</v>
      </c>
      <c r="E31" s="113">
        <f t="shared" si="5"/>
        <v>0.2215645043579606</v>
      </c>
      <c r="F31" s="113">
        <f t="shared" si="5"/>
        <v>0.65029343397668526</v>
      </c>
      <c r="G31" s="113">
        <f t="shared" si="5"/>
        <v>1.402312008040802</v>
      </c>
      <c r="H31" s="113">
        <f t="shared" si="5"/>
        <v>1.2641215465600553</v>
      </c>
      <c r="I31" s="113">
        <f t="shared" si="5"/>
        <v>0.76712545940161903</v>
      </c>
      <c r="J31" s="113">
        <f t="shared" si="5"/>
        <v>0.27247040544133583</v>
      </c>
      <c r="K31" s="113">
        <f t="shared" si="5"/>
        <v>1.5563375283972043</v>
      </c>
      <c r="L31" s="113">
        <f t="shared" si="5"/>
        <v>1.297912331589373</v>
      </c>
      <c r="M31" s="113">
        <f t="shared" si="5"/>
        <v>2.3241489055135176</v>
      </c>
      <c r="N31" s="113">
        <f t="shared" si="5"/>
        <v>2.0812338837735993</v>
      </c>
      <c r="O31" s="113">
        <f t="shared" si="5"/>
        <v>3.3012524323322197</v>
      </c>
    </row>
    <row r="32" spans="2:15" x14ac:dyDescent="0.3">
      <c r="B32" s="113" t="s">
        <v>264</v>
      </c>
      <c r="C32" s="113">
        <f t="shared" ref="C32:O32" si="6">MAX(C17-K,0)</f>
        <v>0</v>
      </c>
      <c r="D32" s="113">
        <f t="shared" si="6"/>
        <v>0.76588858241634483</v>
      </c>
      <c r="E32" s="113">
        <f t="shared" si="6"/>
        <v>1.3298560433972959</v>
      </c>
      <c r="F32" s="113">
        <f t="shared" si="6"/>
        <v>1.9399904598302555</v>
      </c>
      <c r="G32" s="113">
        <f t="shared" si="6"/>
        <v>2.1951767759980356</v>
      </c>
      <c r="H32" s="113">
        <f t="shared" si="6"/>
        <v>2.9353555601141608</v>
      </c>
      <c r="I32" s="113">
        <f t="shared" si="6"/>
        <v>3.2807989028857492</v>
      </c>
      <c r="J32" s="113">
        <f t="shared" si="6"/>
        <v>3.4025585805252803</v>
      </c>
      <c r="K32" s="113">
        <f t="shared" si="6"/>
        <v>3.9984283839451535</v>
      </c>
      <c r="L32" s="113">
        <f t="shared" si="6"/>
        <v>4.3809768527613997</v>
      </c>
      <c r="M32" s="113">
        <f t="shared" si="6"/>
        <v>6.1484221808562225</v>
      </c>
      <c r="N32" s="113">
        <f t="shared" si="6"/>
        <v>7.2032754697500749</v>
      </c>
      <c r="O32" s="113">
        <f t="shared" si="6"/>
        <v>8.9211326381003531</v>
      </c>
    </row>
    <row r="33" spans="2:15" x14ac:dyDescent="0.3">
      <c r="B33" s="113" t="s">
        <v>263</v>
      </c>
      <c r="C33" s="113">
        <f t="shared" ref="C33:O33" si="7">MAX(C18-K,0)</f>
        <v>0</v>
      </c>
      <c r="D33" s="113">
        <f t="shared" si="7"/>
        <v>0.89395665058179219</v>
      </c>
      <c r="E33" s="113">
        <f t="shared" si="7"/>
        <v>1.4797387127128516</v>
      </c>
      <c r="F33" s="113">
        <f t="shared" si="7"/>
        <v>2.0882873608365742</v>
      </c>
      <c r="G33" s="113">
        <f t="shared" si="7"/>
        <v>3.8458735020446184</v>
      </c>
      <c r="H33" s="113">
        <f t="shared" si="7"/>
        <v>4.1610867174859223</v>
      </c>
      <c r="I33" s="113">
        <f t="shared" si="7"/>
        <v>6.2873159696798595</v>
      </c>
      <c r="J33" s="113">
        <f t="shared" si="7"/>
        <v>7.3099552183268699</v>
      </c>
      <c r="K33" s="113">
        <f t="shared" si="7"/>
        <v>7.8990997672262893</v>
      </c>
      <c r="L33" s="113">
        <f t="shared" si="7"/>
        <v>8.5511668946613639</v>
      </c>
      <c r="M33" s="113">
        <f t="shared" si="7"/>
        <v>8.577943676874547</v>
      </c>
      <c r="N33" s="113">
        <f t="shared" si="7"/>
        <v>9.9619935294187556</v>
      </c>
      <c r="O33" s="113">
        <f t="shared" si="7"/>
        <v>10.496830577346238</v>
      </c>
    </row>
    <row r="34" spans="2:15" x14ac:dyDescent="0.3">
      <c r="B34" s="113" t="s">
        <v>262</v>
      </c>
      <c r="C34" s="113">
        <f t="shared" ref="C34:O34" si="8">MAX(C19-K,0)</f>
        <v>0</v>
      </c>
      <c r="D34" s="113">
        <f t="shared" si="8"/>
        <v>2.151208236236748</v>
      </c>
      <c r="E34" s="113">
        <f t="shared" si="8"/>
        <v>2.5121560418679678</v>
      </c>
      <c r="F34" s="113">
        <f t="shared" si="8"/>
        <v>2.8598197386865749</v>
      </c>
      <c r="G34" s="113">
        <f t="shared" si="8"/>
        <v>3.347404355129747</v>
      </c>
      <c r="H34" s="113">
        <f t="shared" si="8"/>
        <v>3.719405413789346</v>
      </c>
      <c r="I34" s="113">
        <f t="shared" si="8"/>
        <v>4.4861639379627931</v>
      </c>
      <c r="J34" s="113">
        <f t="shared" si="8"/>
        <v>5.0219943052145481</v>
      </c>
      <c r="K34" s="113">
        <f t="shared" si="8"/>
        <v>7.0394511680540433</v>
      </c>
      <c r="L34" s="113">
        <f t="shared" si="8"/>
        <v>7.571302407363973</v>
      </c>
      <c r="M34" s="113">
        <f t="shared" si="8"/>
        <v>7.9085867109725854</v>
      </c>
      <c r="N34" s="113">
        <f t="shared" si="8"/>
        <v>8.2338011731052774</v>
      </c>
      <c r="O34" s="113">
        <f t="shared" si="8"/>
        <v>9.7245034814971874</v>
      </c>
    </row>
    <row r="35" spans="2:15" x14ac:dyDescent="0.3">
      <c r="B35" s="113" t="s">
        <v>261</v>
      </c>
      <c r="C35" s="113">
        <f t="shared" ref="C35:O35" si="9">MAX(C20-K,0)</f>
        <v>0</v>
      </c>
      <c r="D35" s="113">
        <f t="shared" si="9"/>
        <v>0.86574377319581686</v>
      </c>
      <c r="E35" s="113">
        <f t="shared" si="9"/>
        <v>2.2071660303445242</v>
      </c>
      <c r="F35" s="113">
        <f t="shared" si="9"/>
        <v>2.9466653474758644</v>
      </c>
      <c r="G35" s="113">
        <f t="shared" si="9"/>
        <v>3.2100179601745964</v>
      </c>
      <c r="H35" s="113">
        <f t="shared" si="9"/>
        <v>3.6674462020793186</v>
      </c>
      <c r="I35" s="113">
        <f t="shared" si="9"/>
        <v>5.2654655025991488</v>
      </c>
      <c r="J35" s="113">
        <f t="shared" si="9"/>
        <v>6.6324350666052965</v>
      </c>
      <c r="K35" s="113">
        <f t="shared" si="9"/>
        <v>7.4783246019299199</v>
      </c>
      <c r="L35" s="113">
        <f t="shared" si="9"/>
        <v>8.4334735446928377</v>
      </c>
      <c r="M35" s="113">
        <f t="shared" si="9"/>
        <v>9.144993778428308</v>
      </c>
      <c r="N35" s="113">
        <f t="shared" si="9"/>
        <v>8.7677437084173917</v>
      </c>
      <c r="O35" s="113">
        <f t="shared" si="9"/>
        <v>10.302745921693898</v>
      </c>
    </row>
    <row r="36" spans="2:15" x14ac:dyDescent="0.3">
      <c r="B36" s="113" t="s">
        <v>260</v>
      </c>
      <c r="C36" s="113">
        <f t="shared" ref="C36:O36" si="10">MAX(C21-K,0)</f>
        <v>0</v>
      </c>
      <c r="D36" s="113">
        <f t="shared" si="10"/>
        <v>0.43188675034886259</v>
      </c>
      <c r="E36" s="113">
        <f t="shared" si="10"/>
        <v>1.1990034729397401</v>
      </c>
      <c r="F36" s="113">
        <f t="shared" si="10"/>
        <v>1.9459667707627943</v>
      </c>
      <c r="G36" s="113">
        <f t="shared" si="10"/>
        <v>1.2808988372398389</v>
      </c>
      <c r="H36" s="113">
        <f t="shared" si="10"/>
        <v>2.0345776918299165</v>
      </c>
      <c r="I36" s="113">
        <f t="shared" si="10"/>
        <v>4.4174064274927858</v>
      </c>
      <c r="J36" s="113">
        <f t="shared" si="10"/>
        <v>5.9060257433558476</v>
      </c>
      <c r="K36" s="113">
        <f t="shared" si="10"/>
        <v>5.9488608569579569</v>
      </c>
      <c r="L36" s="113">
        <f t="shared" si="10"/>
        <v>6.0570565884139285</v>
      </c>
      <c r="M36" s="113">
        <f t="shared" si="10"/>
        <v>5.0094404977118998</v>
      </c>
      <c r="N36" s="113">
        <f t="shared" si="10"/>
        <v>5.7376068445336657</v>
      </c>
      <c r="O36" s="113">
        <f t="shared" si="10"/>
        <v>5.8609416039621749</v>
      </c>
    </row>
    <row r="37" spans="2:15" x14ac:dyDescent="0.3">
      <c r="B37" s="113" t="s">
        <v>259</v>
      </c>
      <c r="C37" s="113">
        <f t="shared" ref="C37:O37" si="11">AVERAGE(C27:C36)</f>
        <v>0</v>
      </c>
      <c r="D37" s="113">
        <f t="shared" si="11"/>
        <v>0.75134177750463427</v>
      </c>
      <c r="E37" s="113">
        <f t="shared" si="11"/>
        <v>1.3517980147215372</v>
      </c>
      <c r="F37" s="113">
        <f t="shared" si="11"/>
        <v>2.091202210303627</v>
      </c>
      <c r="G37" s="113">
        <f t="shared" si="11"/>
        <v>2.5920421719749429</v>
      </c>
      <c r="H37" s="113">
        <f t="shared" si="11"/>
        <v>3.3354949208001479</v>
      </c>
      <c r="I37" s="113">
        <f t="shared" si="11"/>
        <v>4.2069457109895385</v>
      </c>
      <c r="J37" s="113">
        <f t="shared" si="11"/>
        <v>4.9109288360559908</v>
      </c>
      <c r="K37" s="113">
        <f t="shared" si="11"/>
        <v>5.5350936160470017</v>
      </c>
      <c r="L37" s="113">
        <f t="shared" si="11"/>
        <v>6.0175695598094396</v>
      </c>
      <c r="M37" s="113">
        <f t="shared" si="11"/>
        <v>6.5650760406798643</v>
      </c>
      <c r="N37" s="113">
        <f t="shared" si="11"/>
        <v>7.0636532643831913</v>
      </c>
      <c r="O37" s="113">
        <f t="shared" si="11"/>
        <v>8.0442450321166774</v>
      </c>
    </row>
    <row r="40" spans="2:15" x14ac:dyDescent="0.3">
      <c r="C40" s="120" t="s">
        <v>302</v>
      </c>
      <c r="D40" s="120"/>
      <c r="E40" s="120"/>
      <c r="F40" s="120"/>
      <c r="G40" s="120"/>
      <c r="H40" s="120"/>
      <c r="I40" s="120"/>
      <c r="J40" s="120"/>
      <c r="K40" s="120"/>
      <c r="L40" s="120"/>
      <c r="M40" s="120"/>
      <c r="N40" s="120"/>
      <c r="O40" s="120"/>
    </row>
    <row r="41" spans="2:15" x14ac:dyDescent="0.3">
      <c r="B41" s="113" t="s">
        <v>258</v>
      </c>
      <c r="C41" s="113">
        <v>0</v>
      </c>
      <c r="D41" s="113">
        <f t="shared" ref="D41:O41" si="12">C37</f>
        <v>0</v>
      </c>
      <c r="E41" s="113">
        <f t="shared" si="12"/>
        <v>0.75134177750463427</v>
      </c>
      <c r="F41" s="113">
        <f t="shared" si="12"/>
        <v>1.3517980147215372</v>
      </c>
      <c r="G41" s="113">
        <f t="shared" si="12"/>
        <v>2.091202210303627</v>
      </c>
      <c r="H41" s="113">
        <f t="shared" si="12"/>
        <v>2.5920421719749429</v>
      </c>
      <c r="I41" s="113">
        <f t="shared" si="12"/>
        <v>3.3354949208001479</v>
      </c>
      <c r="J41" s="113">
        <f t="shared" si="12"/>
        <v>4.2069457109895385</v>
      </c>
      <c r="K41" s="113">
        <f t="shared" si="12"/>
        <v>4.9109288360559908</v>
      </c>
      <c r="L41" s="113">
        <f t="shared" si="12"/>
        <v>5.5350936160470017</v>
      </c>
      <c r="M41" s="113">
        <f t="shared" si="12"/>
        <v>6.0175695598094396</v>
      </c>
      <c r="N41" s="113">
        <f t="shared" si="12"/>
        <v>6.5650760406798643</v>
      </c>
      <c r="O41" s="113">
        <f t="shared" si="12"/>
        <v>7.0636532643831913</v>
      </c>
    </row>
    <row r="42" spans="2:15" x14ac:dyDescent="0.3">
      <c r="B42" s="113" t="s">
        <v>123</v>
      </c>
      <c r="C42" s="116">
        <v>3.0000000000000001E-3</v>
      </c>
      <c r="D42" s="116">
        <v>3.0834824197227377E-3</v>
      </c>
      <c r="E42" s="116">
        <v>3.1501997794135045E-3</v>
      </c>
      <c r="F42" s="116">
        <v>3.2264759205140243E-3</v>
      </c>
      <c r="G42" s="116">
        <v>3.2735771015930597E-3</v>
      </c>
      <c r="H42" s="116">
        <v>3.3374906036228958E-3</v>
      </c>
      <c r="I42" s="116">
        <v>3.4195399178343182E-3</v>
      </c>
      <c r="J42" s="116">
        <v>3.4988638692155711E-3</v>
      </c>
      <c r="K42" s="116">
        <v>3.5728804287564033E-3</v>
      </c>
      <c r="L42" s="116">
        <v>3.6216173050306125E-3</v>
      </c>
      <c r="M42" s="116">
        <v>3.6720557678649839E-3</v>
      </c>
      <c r="N42" s="116">
        <v>3.7324909349831983E-3</v>
      </c>
      <c r="O42" s="116">
        <v>3.8419070478203678E-3</v>
      </c>
    </row>
    <row r="43" spans="2:15" x14ac:dyDescent="0.3">
      <c r="B43" s="113" t="s">
        <v>257</v>
      </c>
      <c r="C43" s="115">
        <v>0.44400000000000001</v>
      </c>
      <c r="D43" s="115">
        <v>0.44383303516055456</v>
      </c>
      <c r="E43" s="115">
        <v>0.44369960044117301</v>
      </c>
      <c r="F43" s="115">
        <v>0.44354704815897195</v>
      </c>
      <c r="G43" s="115">
        <v>0.44345284579681388</v>
      </c>
      <c r="H43" s="115">
        <v>0.44332501879275421</v>
      </c>
      <c r="I43" s="115">
        <v>0.4431609201643314</v>
      </c>
      <c r="J43" s="115">
        <v>0.44300227226156885</v>
      </c>
      <c r="K43" s="115">
        <v>0.44285423914248723</v>
      </c>
      <c r="L43" s="115">
        <v>0.4427567653899388</v>
      </c>
      <c r="M43" s="115">
        <v>0.44265588846427006</v>
      </c>
      <c r="N43" s="115">
        <v>0.4425350181300336</v>
      </c>
      <c r="O43" s="115">
        <v>0.44231618590435928</v>
      </c>
    </row>
    <row r="44" spans="2:15" x14ac:dyDescent="0.3">
      <c r="B44" s="113" t="s">
        <v>121</v>
      </c>
      <c r="C44" s="115">
        <f t="shared" ref="C44:O44" si="13">1-C43</f>
        <v>0.55600000000000005</v>
      </c>
      <c r="D44" s="115">
        <f t="shared" si="13"/>
        <v>0.55616696483944539</v>
      </c>
      <c r="E44" s="115">
        <f t="shared" si="13"/>
        <v>0.55630039955882693</v>
      </c>
      <c r="F44" s="115">
        <f t="shared" si="13"/>
        <v>0.55645295184102805</v>
      </c>
      <c r="G44" s="115">
        <f t="shared" si="13"/>
        <v>0.55654715420318612</v>
      </c>
      <c r="H44" s="115">
        <f t="shared" si="13"/>
        <v>0.55667498120724579</v>
      </c>
      <c r="I44" s="115">
        <f t="shared" si="13"/>
        <v>0.5568390798356686</v>
      </c>
      <c r="J44" s="115">
        <f t="shared" si="13"/>
        <v>0.55699772773843115</v>
      </c>
      <c r="K44" s="115">
        <f t="shared" si="13"/>
        <v>0.55714576085751277</v>
      </c>
      <c r="L44" s="115">
        <f t="shared" si="13"/>
        <v>0.5572432346100612</v>
      </c>
      <c r="M44" s="115">
        <f t="shared" si="13"/>
        <v>0.55734411153572994</v>
      </c>
      <c r="N44" s="115">
        <f t="shared" si="13"/>
        <v>0.5574649818699664</v>
      </c>
      <c r="O44" s="115">
        <f t="shared" si="13"/>
        <v>0.55768381409564072</v>
      </c>
    </row>
    <row r="45" spans="2:15" x14ac:dyDescent="0.3">
      <c r="B45" s="113" t="s">
        <v>256</v>
      </c>
      <c r="C45" s="115">
        <v>1</v>
      </c>
      <c r="D45" s="115">
        <f t="shared" ref="D45:O45" si="14">C44</f>
        <v>0.55600000000000005</v>
      </c>
      <c r="E45" s="115">
        <f t="shared" si="14"/>
        <v>0.55616696483944539</v>
      </c>
      <c r="F45" s="115">
        <f t="shared" si="14"/>
        <v>0.55630039955882693</v>
      </c>
      <c r="G45" s="115">
        <f t="shared" si="14"/>
        <v>0.55645295184102805</v>
      </c>
      <c r="H45" s="115">
        <f t="shared" si="14"/>
        <v>0.55654715420318612</v>
      </c>
      <c r="I45" s="115">
        <f t="shared" si="14"/>
        <v>0.55667498120724579</v>
      </c>
      <c r="J45" s="115">
        <f t="shared" si="14"/>
        <v>0.5568390798356686</v>
      </c>
      <c r="K45" s="115">
        <f t="shared" si="14"/>
        <v>0.55699772773843115</v>
      </c>
      <c r="L45" s="115">
        <f t="shared" si="14"/>
        <v>0.55714576085751277</v>
      </c>
      <c r="M45" s="115">
        <f t="shared" si="14"/>
        <v>0.5572432346100612</v>
      </c>
      <c r="N45" s="115">
        <f t="shared" si="14"/>
        <v>0.55734411153572994</v>
      </c>
      <c r="O45" s="115">
        <f t="shared" si="14"/>
        <v>0.5574649818699664</v>
      </c>
    </row>
    <row r="47" spans="2:15" x14ac:dyDescent="0.3">
      <c r="B47" s="113" t="s">
        <v>255</v>
      </c>
      <c r="C47" s="114">
        <f>SUMPRODUCT(EEc,PD,LGDc)</f>
        <v>8.8953100715589456E-2</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FF00"/>
  </sheetPr>
  <dimension ref="B2:D8"/>
  <sheetViews>
    <sheetView workbookViewId="0"/>
  </sheetViews>
  <sheetFormatPr baseColWidth="10" defaultRowHeight="29" x14ac:dyDescent="0.35"/>
  <cols>
    <col min="1" max="2" width="10.83203125" style="1"/>
    <col min="3" max="3" width="76.33203125" style="1" bestFit="1" customWidth="1"/>
    <col min="4" max="4" width="13.6640625" style="1" bestFit="1" customWidth="1"/>
    <col min="5" max="16384" width="10.83203125" style="1"/>
  </cols>
  <sheetData>
    <row r="2" spans="2:4" x14ac:dyDescent="0.35">
      <c r="B2" s="1">
        <v>1</v>
      </c>
      <c r="C2" s="1" t="s">
        <v>370</v>
      </c>
      <c r="D2" s="1">
        <v>2</v>
      </c>
    </row>
    <row r="3" spans="2:4" x14ac:dyDescent="0.35">
      <c r="B3" s="1">
        <v>2</v>
      </c>
      <c r="C3" s="1" t="s">
        <v>371</v>
      </c>
      <c r="D3" s="1">
        <v>2</v>
      </c>
    </row>
    <row r="4" spans="2:4" x14ac:dyDescent="0.35">
      <c r="B4" s="1">
        <v>3</v>
      </c>
      <c r="C4" s="1" t="s">
        <v>372</v>
      </c>
      <c r="D4" s="1">
        <v>2</v>
      </c>
    </row>
    <row r="5" spans="2:4" x14ac:dyDescent="0.35">
      <c r="B5" s="1">
        <v>4</v>
      </c>
      <c r="C5" s="1" t="s">
        <v>123</v>
      </c>
      <c r="D5" s="1">
        <v>1</v>
      </c>
    </row>
    <row r="6" spans="2:4" x14ac:dyDescent="0.35">
      <c r="B6" s="1">
        <v>5</v>
      </c>
      <c r="C6" s="1" t="s">
        <v>373</v>
      </c>
      <c r="D6" s="1">
        <v>2</v>
      </c>
    </row>
    <row r="7" spans="2:4" x14ac:dyDescent="0.35">
      <c r="B7" s="1">
        <v>6</v>
      </c>
      <c r="C7" s="1" t="s">
        <v>121</v>
      </c>
      <c r="D7" s="1">
        <v>1</v>
      </c>
    </row>
    <row r="8" spans="2:4" x14ac:dyDescent="0.35">
      <c r="D8" s="2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51A7E-FDF1-234C-8072-D6D7836F8F58}">
  <sheetPr>
    <tabColor rgb="FFFFFF00"/>
  </sheetPr>
  <dimension ref="A1"/>
  <sheetViews>
    <sheetView workbookViewId="0"/>
  </sheetViews>
  <sheetFormatPr baseColWidth="10" defaultRowHeight="26" x14ac:dyDescent="0.3"/>
  <cols>
    <col min="1" max="16384" width="10.83203125" style="37"/>
  </cols>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E025E-B8FF-334C-83B4-61A9DC8CA12F}">
  <sheetPr>
    <tabColor rgb="FFFFFF00"/>
  </sheetPr>
  <dimension ref="B3:K117"/>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6" width="10.6640625" style="2" customWidth="1"/>
    <col min="7" max="16" width="8.83203125" style="2"/>
    <col min="17" max="17" width="11.1640625" style="2" bestFit="1" customWidth="1"/>
    <col min="18" max="18" width="12" style="2" bestFit="1" customWidth="1"/>
    <col min="19" max="20" width="12.33203125" style="2" bestFit="1" customWidth="1"/>
    <col min="21" max="21" width="10.5" style="2" bestFit="1" customWidth="1"/>
    <col min="22" max="16384" width="8.83203125" style="2"/>
  </cols>
  <sheetData>
    <row r="3" spans="2:11" s="41" customFormat="1" ht="26" x14ac:dyDescent="0.3">
      <c r="B3" s="41" t="s">
        <v>376</v>
      </c>
    </row>
    <row r="4" spans="2:11" s="41" customFormat="1" ht="26" x14ac:dyDescent="0.3">
      <c r="B4" s="41" t="s">
        <v>182</v>
      </c>
    </row>
    <row r="5" spans="2:11" s="41" customFormat="1" ht="26" x14ac:dyDescent="0.3"/>
    <row r="9" spans="2:11" x14ac:dyDescent="0.2">
      <c r="G9" s="2" t="s">
        <v>183</v>
      </c>
      <c r="H9" s="13" t="s">
        <v>123</v>
      </c>
      <c r="I9" s="13" t="s">
        <v>122</v>
      </c>
      <c r="J9" s="13" t="s">
        <v>120</v>
      </c>
      <c r="K9" s="2" t="s">
        <v>184</v>
      </c>
    </row>
    <row r="10" spans="2:11" ht="16" x14ac:dyDescent="0.2">
      <c r="C10" s="30"/>
      <c r="G10" s="30" t="s">
        <v>99</v>
      </c>
      <c r="H10" s="22">
        <v>1E-3</v>
      </c>
      <c r="I10" s="22">
        <v>0.52200000000000002</v>
      </c>
      <c r="J10" s="13">
        <v>40</v>
      </c>
      <c r="K10" s="2" t="s">
        <v>148</v>
      </c>
    </row>
    <row r="11" spans="2:11" ht="16" x14ac:dyDescent="0.2">
      <c r="C11" s="30"/>
      <c r="G11" s="30" t="s">
        <v>97</v>
      </c>
      <c r="H11" s="22">
        <f>H10*2.7</f>
        <v>2.7000000000000001E-3</v>
      </c>
      <c r="I11" s="22">
        <v>0.372</v>
      </c>
      <c r="J11" s="13">
        <v>85</v>
      </c>
      <c r="K11" s="2" t="s">
        <v>149</v>
      </c>
    </row>
    <row r="12" spans="2:11" ht="16" x14ac:dyDescent="0.2">
      <c r="C12" s="30"/>
      <c r="G12" s="30" t="s">
        <v>95</v>
      </c>
      <c r="H12" s="22">
        <f t="shared" ref="H12:H15" si="0">H11*2.7</f>
        <v>7.2900000000000005E-3</v>
      </c>
      <c r="I12" s="22">
        <v>0.31</v>
      </c>
      <c r="J12" s="13">
        <v>70</v>
      </c>
      <c r="K12" s="2" t="s">
        <v>150</v>
      </c>
    </row>
    <row r="13" spans="2:11" ht="16" x14ac:dyDescent="0.2">
      <c r="C13" s="30"/>
      <c r="G13" s="30" t="s">
        <v>93</v>
      </c>
      <c r="H13" s="22">
        <f t="shared" si="0"/>
        <v>1.9683000000000003E-2</v>
      </c>
      <c r="I13" s="22">
        <v>0.314</v>
      </c>
      <c r="J13" s="13">
        <v>70</v>
      </c>
      <c r="K13" s="2" t="s">
        <v>151</v>
      </c>
    </row>
    <row r="14" spans="2:11" ht="16" x14ac:dyDescent="0.2">
      <c r="C14" s="30"/>
      <c r="G14" s="30" t="s">
        <v>91</v>
      </c>
      <c r="H14" s="22">
        <f t="shared" si="0"/>
        <v>5.3144100000000014E-2</v>
      </c>
      <c r="I14" s="22">
        <v>0.247</v>
      </c>
      <c r="J14" s="13">
        <v>30</v>
      </c>
      <c r="K14" s="2" t="s">
        <v>152</v>
      </c>
    </row>
    <row r="15" spans="2:11" ht="16" x14ac:dyDescent="0.2">
      <c r="C15" s="30"/>
      <c r="G15" s="30" t="s">
        <v>89</v>
      </c>
      <c r="H15" s="22">
        <f t="shared" si="0"/>
        <v>0.14348907000000005</v>
      </c>
      <c r="I15" s="22">
        <v>0</v>
      </c>
      <c r="J15" s="13">
        <v>5</v>
      </c>
      <c r="K15" s="2" t="s">
        <v>153</v>
      </c>
    </row>
    <row r="17" spans="2:6" x14ac:dyDescent="0.2">
      <c r="B17" s="2" t="s">
        <v>115</v>
      </c>
      <c r="C17" s="13" t="s">
        <v>114</v>
      </c>
      <c r="D17" s="13" t="s">
        <v>113</v>
      </c>
      <c r="E17" s="13" t="s">
        <v>112</v>
      </c>
      <c r="F17" s="13" t="s">
        <v>117</v>
      </c>
    </row>
    <row r="18" spans="2:6" x14ac:dyDescent="0.2">
      <c r="B18" s="2" t="s">
        <v>111</v>
      </c>
      <c r="C18" s="2">
        <v>0.96859385806437814</v>
      </c>
      <c r="D18" s="2" t="s">
        <v>89</v>
      </c>
      <c r="E18" s="2" t="s">
        <v>89</v>
      </c>
      <c r="F18" s="2">
        <v>48</v>
      </c>
    </row>
    <row r="19" spans="2:6" x14ac:dyDescent="0.2">
      <c r="B19" s="2" t="s">
        <v>110</v>
      </c>
      <c r="C19" s="2">
        <v>0.38678231033322596</v>
      </c>
      <c r="D19" s="2" t="s">
        <v>97</v>
      </c>
      <c r="E19" s="2" t="s">
        <v>93</v>
      </c>
      <c r="F19" s="2">
        <v>41</v>
      </c>
    </row>
    <row r="20" spans="2:6" x14ac:dyDescent="0.2">
      <c r="B20" s="2" t="s">
        <v>109</v>
      </c>
      <c r="C20" s="2">
        <v>0.6076526557179498</v>
      </c>
      <c r="D20" s="2" t="s">
        <v>93</v>
      </c>
      <c r="E20" s="2" t="s">
        <v>91</v>
      </c>
      <c r="F20" s="2">
        <v>43</v>
      </c>
    </row>
    <row r="21" spans="2:6" x14ac:dyDescent="0.2">
      <c r="B21" s="2" t="s">
        <v>108</v>
      </c>
      <c r="C21" s="2">
        <v>0.57075832114371472</v>
      </c>
      <c r="D21" s="2" t="s">
        <v>95</v>
      </c>
      <c r="E21" s="2" t="s">
        <v>95</v>
      </c>
      <c r="F21" s="2">
        <v>92</v>
      </c>
    </row>
    <row r="22" spans="2:6" x14ac:dyDescent="0.2">
      <c r="B22" s="2" t="s">
        <v>107</v>
      </c>
      <c r="C22" s="2">
        <v>0.42110200676898835</v>
      </c>
      <c r="D22" s="2" t="s">
        <v>95</v>
      </c>
      <c r="E22" s="2" t="s">
        <v>93</v>
      </c>
      <c r="F22" s="2">
        <v>97</v>
      </c>
    </row>
    <row r="23" spans="2:6" x14ac:dyDescent="0.2">
      <c r="B23" s="2" t="s">
        <v>106</v>
      </c>
      <c r="C23" s="2">
        <v>0.71882414838842668</v>
      </c>
      <c r="D23" s="2" t="s">
        <v>91</v>
      </c>
      <c r="E23" s="2" t="s">
        <v>89</v>
      </c>
      <c r="F23" s="2">
        <v>30</v>
      </c>
    </row>
    <row r="24" spans="2:6" x14ac:dyDescent="0.2">
      <c r="B24" s="2" t="s">
        <v>105</v>
      </c>
      <c r="C24" s="2">
        <v>0.59007076316480811</v>
      </c>
      <c r="D24" s="2" t="s">
        <v>95</v>
      </c>
      <c r="E24" s="2" t="s">
        <v>91</v>
      </c>
      <c r="F24" s="2">
        <v>43</v>
      </c>
    </row>
    <row r="25" spans="2:6" x14ac:dyDescent="0.2">
      <c r="B25" s="2" t="s">
        <v>104</v>
      </c>
      <c r="C25" s="2">
        <v>0.59094362851914961</v>
      </c>
      <c r="D25" s="2" t="s">
        <v>95</v>
      </c>
      <c r="E25" s="2" t="s">
        <v>95</v>
      </c>
      <c r="F25" s="2">
        <v>46</v>
      </c>
    </row>
    <row r="26" spans="2:6" x14ac:dyDescent="0.2">
      <c r="B26" s="2" t="s">
        <v>103</v>
      </c>
      <c r="C26" s="2">
        <v>0.11950579283436036</v>
      </c>
      <c r="D26" s="2" t="s">
        <v>99</v>
      </c>
      <c r="E26" s="2" t="s">
        <v>95</v>
      </c>
      <c r="F26" s="2">
        <v>78</v>
      </c>
    </row>
    <row r="27" spans="2:6" x14ac:dyDescent="0.2">
      <c r="B27" s="2" t="s">
        <v>101</v>
      </c>
      <c r="C27" s="2">
        <v>0.2337574327655596</v>
      </c>
      <c r="D27" s="2" t="s">
        <v>97</v>
      </c>
      <c r="E27" s="2" t="s">
        <v>97</v>
      </c>
      <c r="F27" s="2">
        <v>84</v>
      </c>
    </row>
    <row r="28" spans="2:6" x14ac:dyDescent="0.2">
      <c r="B28" s="2" t="s">
        <v>100</v>
      </c>
      <c r="C28" s="2">
        <v>0.51122354506336742</v>
      </c>
      <c r="D28" s="2" t="s">
        <v>95</v>
      </c>
      <c r="E28" s="2" t="s">
        <v>91</v>
      </c>
      <c r="F28" s="2">
        <v>90</v>
      </c>
    </row>
    <row r="29" spans="2:6" x14ac:dyDescent="0.2">
      <c r="B29" s="2" t="s">
        <v>98</v>
      </c>
      <c r="C29" s="2">
        <v>0.43619886807421748</v>
      </c>
      <c r="D29" s="2" t="s">
        <v>95</v>
      </c>
      <c r="E29" s="2" t="s">
        <v>91</v>
      </c>
      <c r="F29" s="2">
        <v>23</v>
      </c>
    </row>
    <row r="30" spans="2:6" x14ac:dyDescent="0.2">
      <c r="B30" s="2" t="s">
        <v>96</v>
      </c>
      <c r="C30" s="2">
        <v>0.50682713339087304</v>
      </c>
      <c r="D30" s="2" t="s">
        <v>95</v>
      </c>
      <c r="E30" s="2" t="s">
        <v>93</v>
      </c>
      <c r="F30" s="2">
        <v>96</v>
      </c>
    </row>
    <row r="31" spans="2:6" x14ac:dyDescent="0.2">
      <c r="B31" s="2" t="s">
        <v>94</v>
      </c>
      <c r="C31" s="2">
        <v>0.63149155361543341</v>
      </c>
      <c r="D31" s="2" t="s">
        <v>93</v>
      </c>
      <c r="E31" s="2" t="s">
        <v>91</v>
      </c>
      <c r="F31" s="2">
        <v>35</v>
      </c>
    </row>
    <row r="32" spans="2:6" x14ac:dyDescent="0.2">
      <c r="B32" s="2" t="s">
        <v>92</v>
      </c>
      <c r="C32" s="2">
        <v>0.14664524480143748</v>
      </c>
      <c r="D32" s="2" t="s">
        <v>99</v>
      </c>
      <c r="E32" s="2" t="s">
        <v>97</v>
      </c>
      <c r="F32" s="2">
        <v>26</v>
      </c>
    </row>
    <row r="33" spans="2:6" x14ac:dyDescent="0.2">
      <c r="B33" s="2" t="s">
        <v>90</v>
      </c>
      <c r="C33" s="2">
        <v>7.6425548645875807E-2</v>
      </c>
      <c r="D33" s="2" t="s">
        <v>89</v>
      </c>
      <c r="E33" s="2" t="s">
        <v>89</v>
      </c>
      <c r="F33" s="2">
        <v>51</v>
      </c>
    </row>
    <row r="34" spans="2:6" x14ac:dyDescent="0.2">
      <c r="B34" s="2" t="s">
        <v>88</v>
      </c>
      <c r="C34" s="2">
        <v>0.19261460055258717</v>
      </c>
      <c r="D34" s="2" t="s">
        <v>99</v>
      </c>
      <c r="E34" s="2" t="s">
        <v>97</v>
      </c>
      <c r="F34" s="2">
        <v>93</v>
      </c>
    </row>
    <row r="35" spans="2:6" x14ac:dyDescent="0.2">
      <c r="B35" s="2" t="s">
        <v>87</v>
      </c>
      <c r="C35" s="2">
        <v>0.35779177474479373</v>
      </c>
      <c r="D35" s="2" t="s">
        <v>97</v>
      </c>
      <c r="E35" s="2" t="s">
        <v>93</v>
      </c>
      <c r="F35" s="2">
        <v>91</v>
      </c>
    </row>
    <row r="36" spans="2:6" x14ac:dyDescent="0.2">
      <c r="B36" s="2" t="s">
        <v>86</v>
      </c>
      <c r="C36" s="2">
        <v>0.16535265855788384</v>
      </c>
      <c r="D36" s="2" t="s">
        <v>99</v>
      </c>
      <c r="E36" s="2" t="s">
        <v>99</v>
      </c>
      <c r="F36" s="2">
        <v>41</v>
      </c>
    </row>
    <row r="37" spans="2:6" x14ac:dyDescent="0.2">
      <c r="B37" s="2" t="s">
        <v>85</v>
      </c>
      <c r="C37" s="2">
        <v>0.81315646590695567</v>
      </c>
      <c r="D37" s="2" t="s">
        <v>91</v>
      </c>
      <c r="E37" s="2" t="s">
        <v>89</v>
      </c>
      <c r="F37" s="2">
        <v>96</v>
      </c>
    </row>
    <row r="38" spans="2:6" x14ac:dyDescent="0.2">
      <c r="B38" s="2" t="s">
        <v>84</v>
      </c>
      <c r="C38" s="2">
        <v>0.63849748306224563</v>
      </c>
      <c r="D38" s="2" t="s">
        <v>93</v>
      </c>
      <c r="E38" s="2" t="s">
        <v>95</v>
      </c>
      <c r="F38" s="2">
        <v>66</v>
      </c>
    </row>
    <row r="39" spans="2:6" x14ac:dyDescent="0.2">
      <c r="B39" s="2" t="s">
        <v>83</v>
      </c>
      <c r="C39" s="2">
        <v>0.23439720244421913</v>
      </c>
      <c r="D39" s="2" t="s">
        <v>97</v>
      </c>
      <c r="E39" s="2" t="s">
        <v>95</v>
      </c>
      <c r="F39" s="2">
        <v>22</v>
      </c>
    </row>
    <row r="40" spans="2:6" x14ac:dyDescent="0.2">
      <c r="B40" s="2" t="s">
        <v>82</v>
      </c>
      <c r="C40" s="2">
        <v>0.47374982043284775</v>
      </c>
      <c r="D40" s="2" t="s">
        <v>95</v>
      </c>
      <c r="E40" s="2" t="s">
        <v>95</v>
      </c>
      <c r="F40" s="2">
        <v>36</v>
      </c>
    </row>
    <row r="41" spans="2:6" x14ac:dyDescent="0.2">
      <c r="B41" s="2" t="s">
        <v>81</v>
      </c>
      <c r="C41" s="2">
        <v>0.25185893538953408</v>
      </c>
      <c r="D41" s="2" t="s">
        <v>97</v>
      </c>
      <c r="E41" s="2" t="s">
        <v>99</v>
      </c>
      <c r="F41" s="2">
        <v>28</v>
      </c>
    </row>
    <row r="42" spans="2:6" x14ac:dyDescent="0.2">
      <c r="B42" s="2" t="s">
        <v>80</v>
      </c>
      <c r="C42" s="2">
        <v>0.51085255986454559</v>
      </c>
      <c r="D42" s="2" t="s">
        <v>95</v>
      </c>
      <c r="E42" s="2" t="s">
        <v>95</v>
      </c>
      <c r="F42" s="2">
        <v>44</v>
      </c>
    </row>
    <row r="43" spans="2:6" x14ac:dyDescent="0.2">
      <c r="B43" s="2" t="s">
        <v>79</v>
      </c>
      <c r="C43" s="2">
        <v>0.68814496756692867</v>
      </c>
      <c r="D43" s="2" t="s">
        <v>93</v>
      </c>
      <c r="E43" s="2" t="s">
        <v>91</v>
      </c>
      <c r="F43" s="2">
        <v>22</v>
      </c>
    </row>
    <row r="44" spans="2:6" x14ac:dyDescent="0.2">
      <c r="B44" s="2" t="s">
        <v>78</v>
      </c>
      <c r="C44" s="2">
        <v>0.44045659307633467</v>
      </c>
      <c r="D44" s="2" t="s">
        <v>95</v>
      </c>
      <c r="E44" s="2" t="s">
        <v>93</v>
      </c>
      <c r="F44" s="2">
        <v>87</v>
      </c>
    </row>
    <row r="45" spans="2:6" x14ac:dyDescent="0.2">
      <c r="B45" s="2" t="s">
        <v>77</v>
      </c>
      <c r="C45" s="2">
        <v>0.23730737378620292</v>
      </c>
      <c r="D45" s="2" t="s">
        <v>97</v>
      </c>
      <c r="E45" s="2" t="s">
        <v>97</v>
      </c>
      <c r="F45" s="2">
        <v>55</v>
      </c>
    </row>
    <row r="46" spans="2:6" x14ac:dyDescent="0.2">
      <c r="B46" s="2" t="s">
        <v>76</v>
      </c>
      <c r="C46" s="2">
        <v>0.32550114318155265</v>
      </c>
      <c r="D46" s="2" t="s">
        <v>97</v>
      </c>
      <c r="E46" s="2" t="s">
        <v>95</v>
      </c>
      <c r="F46" s="2">
        <v>76</v>
      </c>
    </row>
    <row r="47" spans="2:6" x14ac:dyDescent="0.2">
      <c r="B47" s="2" t="s">
        <v>75</v>
      </c>
      <c r="C47" s="2">
        <v>0.90402548951758099</v>
      </c>
      <c r="D47" s="2" t="s">
        <v>89</v>
      </c>
      <c r="E47" s="2" t="s">
        <v>89</v>
      </c>
      <c r="F47" s="2">
        <v>82</v>
      </c>
    </row>
    <row r="48" spans="2:6" x14ac:dyDescent="0.2">
      <c r="B48" s="2" t="s">
        <v>74</v>
      </c>
      <c r="C48" s="2">
        <v>0.11607167184088052</v>
      </c>
      <c r="D48" s="2" t="s">
        <v>99</v>
      </c>
      <c r="E48" s="2" t="s">
        <v>99</v>
      </c>
      <c r="F48" s="2">
        <v>67</v>
      </c>
    </row>
    <row r="49" spans="2:6" x14ac:dyDescent="0.2">
      <c r="B49" s="2" t="s">
        <v>73</v>
      </c>
      <c r="C49" s="2">
        <v>0.67443036549362945</v>
      </c>
      <c r="D49" s="2" t="s">
        <v>93</v>
      </c>
      <c r="E49" s="2" t="s">
        <v>89</v>
      </c>
      <c r="F49" s="2">
        <v>94</v>
      </c>
    </row>
    <row r="50" spans="2:6" x14ac:dyDescent="0.2">
      <c r="B50" s="2" t="s">
        <v>72</v>
      </c>
      <c r="C50" s="2">
        <v>0.87912025837204444</v>
      </c>
      <c r="D50" s="2" t="s">
        <v>91</v>
      </c>
      <c r="E50" s="2" t="s">
        <v>89</v>
      </c>
      <c r="F50" s="2">
        <v>53</v>
      </c>
    </row>
    <row r="51" spans="2:6" x14ac:dyDescent="0.2">
      <c r="B51" s="2" t="s">
        <v>71</v>
      </c>
      <c r="C51" s="2">
        <v>0.62446290948820116</v>
      </c>
      <c r="D51" s="2" t="s">
        <v>93</v>
      </c>
      <c r="E51" s="2" t="s">
        <v>89</v>
      </c>
      <c r="F51" s="2">
        <v>43</v>
      </c>
    </row>
    <row r="52" spans="2:6" x14ac:dyDescent="0.2">
      <c r="B52" s="2" t="s">
        <v>70</v>
      </c>
      <c r="C52" s="2">
        <v>0.21364801599800076</v>
      </c>
      <c r="D52" s="2" t="s">
        <v>97</v>
      </c>
      <c r="E52" s="2" t="s">
        <v>99</v>
      </c>
      <c r="F52" s="2">
        <v>68</v>
      </c>
    </row>
    <row r="53" spans="2:6" x14ac:dyDescent="0.2">
      <c r="B53" s="2" t="s">
        <v>69</v>
      </c>
      <c r="C53" s="2">
        <v>0.28225391636443142</v>
      </c>
      <c r="D53" s="2" t="s">
        <v>97</v>
      </c>
      <c r="E53" s="2" t="s">
        <v>95</v>
      </c>
      <c r="F53" s="2">
        <v>76</v>
      </c>
    </row>
    <row r="54" spans="2:6" x14ac:dyDescent="0.2">
      <c r="B54" s="2" t="s">
        <v>68</v>
      </c>
      <c r="C54" s="2">
        <v>5.2482464900871495E-3</v>
      </c>
      <c r="D54" s="2" t="s">
        <v>89</v>
      </c>
      <c r="E54" s="2" t="s">
        <v>89</v>
      </c>
      <c r="F54" s="2">
        <v>21</v>
      </c>
    </row>
    <row r="55" spans="2:6" x14ac:dyDescent="0.2">
      <c r="B55" s="2" t="s">
        <v>67</v>
      </c>
      <c r="C55" s="2">
        <v>0.54180214147745687</v>
      </c>
      <c r="D55" s="2" t="s">
        <v>95</v>
      </c>
      <c r="E55" s="2" t="s">
        <v>95</v>
      </c>
      <c r="F55" s="2">
        <v>30</v>
      </c>
    </row>
    <row r="56" spans="2:6" x14ac:dyDescent="0.2">
      <c r="B56" s="2" t="s">
        <v>66</v>
      </c>
      <c r="C56" s="2">
        <v>0.60870058162900431</v>
      </c>
      <c r="D56" s="2" t="s">
        <v>93</v>
      </c>
      <c r="E56" s="2" t="s">
        <v>91</v>
      </c>
      <c r="F56" s="2">
        <v>53</v>
      </c>
    </row>
    <row r="57" spans="2:6" x14ac:dyDescent="0.2">
      <c r="B57" s="2" t="s">
        <v>65</v>
      </c>
      <c r="C57" s="2">
        <v>0.12183049402288848</v>
      </c>
      <c r="D57" s="2" t="s">
        <v>99</v>
      </c>
      <c r="E57" s="2" t="s">
        <v>99</v>
      </c>
      <c r="F57" s="2">
        <v>83</v>
      </c>
    </row>
    <row r="58" spans="2:6" x14ac:dyDescent="0.2">
      <c r="B58" s="2" t="s">
        <v>64</v>
      </c>
      <c r="C58" s="2">
        <v>0.33118572625986298</v>
      </c>
      <c r="D58" s="2" t="s">
        <v>97</v>
      </c>
      <c r="E58" s="2" t="s">
        <v>93</v>
      </c>
      <c r="F58" s="2">
        <v>86</v>
      </c>
    </row>
    <row r="59" spans="2:6" x14ac:dyDescent="0.2">
      <c r="B59" s="2" t="s">
        <v>63</v>
      </c>
      <c r="C59" s="2">
        <v>0.88107209907781536</v>
      </c>
      <c r="D59" s="2" t="s">
        <v>91</v>
      </c>
      <c r="E59" s="2" t="s">
        <v>89</v>
      </c>
      <c r="F59" s="2">
        <v>47</v>
      </c>
    </row>
    <row r="60" spans="2:6" x14ac:dyDescent="0.2">
      <c r="B60" s="2" t="s">
        <v>62</v>
      </c>
      <c r="C60" s="2">
        <v>0.23118614786871061</v>
      </c>
      <c r="D60" s="2" t="s">
        <v>97</v>
      </c>
      <c r="E60" s="2" t="s">
        <v>95</v>
      </c>
      <c r="F60" s="2">
        <v>65</v>
      </c>
    </row>
    <row r="61" spans="2:6" x14ac:dyDescent="0.2">
      <c r="B61" s="2" t="s">
        <v>61</v>
      </c>
      <c r="C61" s="2">
        <v>0.30777252694138535</v>
      </c>
      <c r="D61" s="2" t="s">
        <v>97</v>
      </c>
      <c r="E61" s="2" t="s">
        <v>95</v>
      </c>
      <c r="F61" s="2">
        <v>59</v>
      </c>
    </row>
    <row r="62" spans="2:6" x14ac:dyDescent="0.2">
      <c r="B62" s="2" t="s">
        <v>60</v>
      </c>
      <c r="C62" s="2">
        <v>7.4224704232198735E-2</v>
      </c>
      <c r="D62" s="2" t="s">
        <v>89</v>
      </c>
      <c r="E62" s="2" t="s">
        <v>89</v>
      </c>
      <c r="F62" s="2">
        <v>66</v>
      </c>
    </row>
    <row r="63" spans="2:6" x14ac:dyDescent="0.2">
      <c r="B63" s="2" t="s">
        <v>59</v>
      </c>
      <c r="C63" s="2">
        <v>0.40033323282851307</v>
      </c>
      <c r="D63" s="2" t="s">
        <v>95</v>
      </c>
      <c r="E63" s="2" t="s">
        <v>93</v>
      </c>
      <c r="F63" s="2">
        <v>62</v>
      </c>
    </row>
    <row r="64" spans="2:6" x14ac:dyDescent="0.2">
      <c r="B64" s="2" t="s">
        <v>58</v>
      </c>
      <c r="C64" s="2">
        <v>0.52877244015630831</v>
      </c>
      <c r="D64" s="2" t="s">
        <v>95</v>
      </c>
      <c r="E64" s="2" t="s">
        <v>93</v>
      </c>
      <c r="F64" s="2">
        <v>40</v>
      </c>
    </row>
    <row r="65" spans="2:6" x14ac:dyDescent="0.2">
      <c r="B65" s="2" t="s">
        <v>57</v>
      </c>
      <c r="C65" s="2">
        <v>0.301603212464857</v>
      </c>
      <c r="D65" s="2" t="s">
        <v>97</v>
      </c>
      <c r="E65" s="2" t="s">
        <v>99</v>
      </c>
      <c r="F65" s="2">
        <v>85</v>
      </c>
    </row>
    <row r="66" spans="2:6" x14ac:dyDescent="0.2">
      <c r="B66" s="2" t="s">
        <v>56</v>
      </c>
      <c r="C66" s="2">
        <v>2.9185111467939784E-2</v>
      </c>
      <c r="D66" s="2" t="s">
        <v>89</v>
      </c>
      <c r="E66" s="2" t="s">
        <v>89</v>
      </c>
      <c r="F66" s="2">
        <v>80</v>
      </c>
    </row>
    <row r="67" spans="2:6" x14ac:dyDescent="0.2">
      <c r="B67" s="2" t="s">
        <v>55</v>
      </c>
      <c r="C67" s="2">
        <v>0.6575942905396911</v>
      </c>
      <c r="D67" s="2" t="s">
        <v>93</v>
      </c>
      <c r="E67" s="2" t="s">
        <v>93</v>
      </c>
      <c r="F67" s="2">
        <v>55</v>
      </c>
    </row>
    <row r="68" spans="2:6" x14ac:dyDescent="0.2">
      <c r="B68" s="2" t="s">
        <v>54</v>
      </c>
      <c r="C68" s="2">
        <v>0.50478573281474726</v>
      </c>
      <c r="D68" s="2" t="s">
        <v>95</v>
      </c>
      <c r="E68" s="2" t="s">
        <v>91</v>
      </c>
      <c r="F68" s="2">
        <v>48</v>
      </c>
    </row>
    <row r="69" spans="2:6" x14ac:dyDescent="0.2">
      <c r="B69" s="2" t="s">
        <v>53</v>
      </c>
      <c r="C69" s="2">
        <v>0.9529357532204259</v>
      </c>
      <c r="D69" s="2" t="s">
        <v>89</v>
      </c>
      <c r="E69" s="2" t="s">
        <v>89</v>
      </c>
      <c r="F69" s="2">
        <v>92</v>
      </c>
    </row>
    <row r="70" spans="2:6" x14ac:dyDescent="0.2">
      <c r="B70" s="2" t="s">
        <v>52</v>
      </c>
      <c r="C70" s="2">
        <v>0.24802747501204625</v>
      </c>
      <c r="D70" s="2" t="s">
        <v>97</v>
      </c>
      <c r="E70" s="2" t="s">
        <v>97</v>
      </c>
      <c r="F70" s="2">
        <v>73</v>
      </c>
    </row>
    <row r="71" spans="2:6" x14ac:dyDescent="0.2">
      <c r="B71" s="2" t="s">
        <v>51</v>
      </c>
      <c r="C71" s="2">
        <v>0.18797025150053004</v>
      </c>
      <c r="D71" s="2" t="s">
        <v>99</v>
      </c>
      <c r="E71" s="2" t="s">
        <v>97</v>
      </c>
      <c r="F71" s="2">
        <v>84</v>
      </c>
    </row>
    <row r="72" spans="2:6" x14ac:dyDescent="0.2">
      <c r="B72" s="2" t="s">
        <v>50</v>
      </c>
      <c r="C72" s="2">
        <v>0.5103391043984512</v>
      </c>
      <c r="D72" s="2" t="s">
        <v>95</v>
      </c>
      <c r="E72" s="2" t="s">
        <v>97</v>
      </c>
      <c r="F72" s="2">
        <v>77</v>
      </c>
    </row>
    <row r="73" spans="2:6" x14ac:dyDescent="0.2">
      <c r="B73" s="2" t="s">
        <v>49</v>
      </c>
      <c r="C73" s="2">
        <v>0.27226732324468672</v>
      </c>
      <c r="D73" s="2" t="s">
        <v>97</v>
      </c>
      <c r="E73" s="2" t="s">
        <v>95</v>
      </c>
      <c r="F73" s="2">
        <v>90</v>
      </c>
    </row>
    <row r="74" spans="2:6" x14ac:dyDescent="0.2">
      <c r="B74" s="2" t="s">
        <v>48</v>
      </c>
      <c r="C74" s="2">
        <v>0.75346533807060856</v>
      </c>
      <c r="D74" s="2" t="s">
        <v>91</v>
      </c>
      <c r="E74" s="2" t="s">
        <v>89</v>
      </c>
      <c r="F74" s="2">
        <v>49</v>
      </c>
    </row>
    <row r="75" spans="2:6" x14ac:dyDescent="0.2">
      <c r="B75" s="2" t="s">
        <v>47</v>
      </c>
      <c r="C75" s="2">
        <v>0.20711180180832234</v>
      </c>
      <c r="D75" s="2" t="s">
        <v>97</v>
      </c>
      <c r="E75" s="2" t="s">
        <v>99</v>
      </c>
      <c r="F75" s="2">
        <v>21</v>
      </c>
    </row>
    <row r="76" spans="2:6" x14ac:dyDescent="0.2">
      <c r="B76" s="2" t="s">
        <v>46</v>
      </c>
      <c r="C76" s="2">
        <v>0.16178696509071278</v>
      </c>
      <c r="D76" s="2" t="s">
        <v>99</v>
      </c>
      <c r="E76" s="2" t="s">
        <v>99</v>
      </c>
      <c r="F76" s="2">
        <v>56</v>
      </c>
    </row>
    <row r="77" spans="2:6" x14ac:dyDescent="0.2">
      <c r="B77" s="2" t="s">
        <v>45</v>
      </c>
      <c r="C77" s="2">
        <v>0.10891522720428803</v>
      </c>
      <c r="D77" s="2" t="s">
        <v>99</v>
      </c>
      <c r="E77" s="2" t="s">
        <v>97</v>
      </c>
      <c r="F77" s="2">
        <v>69</v>
      </c>
    </row>
    <row r="78" spans="2:6" x14ac:dyDescent="0.2">
      <c r="B78" s="2" t="s">
        <v>44</v>
      </c>
      <c r="C78" s="2">
        <v>0.74761960513971737</v>
      </c>
      <c r="D78" s="2" t="s">
        <v>91</v>
      </c>
      <c r="E78" s="2" t="s">
        <v>89</v>
      </c>
      <c r="F78" s="2">
        <v>46</v>
      </c>
    </row>
    <row r="79" spans="2:6" x14ac:dyDescent="0.2">
      <c r="B79" s="2" t="s">
        <v>43</v>
      </c>
      <c r="C79" s="2">
        <v>0.94198665189419573</v>
      </c>
      <c r="D79" s="2" t="s">
        <v>89</v>
      </c>
      <c r="E79" s="2" t="s">
        <v>89</v>
      </c>
      <c r="F79" s="2">
        <v>58</v>
      </c>
    </row>
    <row r="80" spans="2:6" x14ac:dyDescent="0.2">
      <c r="B80" s="2" t="s">
        <v>42</v>
      </c>
      <c r="C80" s="2">
        <v>0.72355101202903915</v>
      </c>
      <c r="D80" s="2" t="s">
        <v>91</v>
      </c>
      <c r="E80" s="2" t="s">
        <v>91</v>
      </c>
      <c r="F80" s="2">
        <v>86</v>
      </c>
    </row>
    <row r="81" spans="2:6" x14ac:dyDescent="0.2">
      <c r="B81" s="2" t="s">
        <v>41</v>
      </c>
      <c r="C81" s="2">
        <v>0.4556647900664359</v>
      </c>
      <c r="D81" s="2" t="s">
        <v>95</v>
      </c>
      <c r="E81" s="2" t="s">
        <v>95</v>
      </c>
      <c r="F81" s="2">
        <v>49</v>
      </c>
    </row>
    <row r="82" spans="2:6" x14ac:dyDescent="0.2">
      <c r="B82" s="2" t="s">
        <v>40</v>
      </c>
      <c r="C82" s="2">
        <v>0.12837420413375944</v>
      </c>
      <c r="D82" s="2" t="s">
        <v>99</v>
      </c>
      <c r="E82" s="2" t="s">
        <v>97</v>
      </c>
      <c r="F82" s="2">
        <v>23</v>
      </c>
    </row>
    <row r="83" spans="2:6" x14ac:dyDescent="0.2">
      <c r="B83" s="2" t="s">
        <v>39</v>
      </c>
      <c r="C83" s="2">
        <v>0.73792126070267594</v>
      </c>
      <c r="D83" s="2" t="s">
        <v>91</v>
      </c>
      <c r="E83" s="2" t="s">
        <v>93</v>
      </c>
      <c r="F83" s="2">
        <v>25</v>
      </c>
    </row>
    <row r="84" spans="2:6" x14ac:dyDescent="0.2">
      <c r="B84" s="2" t="s">
        <v>38</v>
      </c>
      <c r="C84" s="2">
        <v>0.4186388958723839</v>
      </c>
      <c r="D84" s="2" t="s">
        <v>95</v>
      </c>
      <c r="E84" s="2" t="s">
        <v>97</v>
      </c>
      <c r="F84" s="2">
        <v>34</v>
      </c>
    </row>
    <row r="85" spans="2:6" x14ac:dyDescent="0.2">
      <c r="B85" s="2" t="s">
        <v>37</v>
      </c>
      <c r="C85" s="2">
        <v>0.90824653162558633</v>
      </c>
      <c r="D85" s="2" t="s">
        <v>89</v>
      </c>
      <c r="E85" s="2" t="s">
        <v>89</v>
      </c>
      <c r="F85" s="2">
        <v>77</v>
      </c>
    </row>
    <row r="86" spans="2:6" x14ac:dyDescent="0.2">
      <c r="B86" s="2" t="s">
        <v>36</v>
      </c>
      <c r="C86" s="2">
        <v>1.4592901631395816E-2</v>
      </c>
      <c r="D86" s="2" t="s">
        <v>89</v>
      </c>
      <c r="E86" s="2" t="s">
        <v>89</v>
      </c>
      <c r="F86" s="2">
        <v>54</v>
      </c>
    </row>
    <row r="87" spans="2:6" x14ac:dyDescent="0.2">
      <c r="B87" s="2" t="s">
        <v>35</v>
      </c>
      <c r="C87" s="2">
        <v>0.78713612261178978</v>
      </c>
      <c r="D87" s="2" t="s">
        <v>91</v>
      </c>
      <c r="E87" s="2" t="s">
        <v>89</v>
      </c>
      <c r="F87" s="2">
        <v>100</v>
      </c>
    </row>
    <row r="88" spans="2:6" x14ac:dyDescent="0.2">
      <c r="B88" s="2" t="s">
        <v>34</v>
      </c>
      <c r="C88" s="2">
        <v>0.94604773238836393</v>
      </c>
      <c r="D88" s="2" t="s">
        <v>89</v>
      </c>
      <c r="E88" s="2" t="s">
        <v>89</v>
      </c>
      <c r="F88" s="2">
        <v>61</v>
      </c>
    </row>
    <row r="89" spans="2:6" x14ac:dyDescent="0.2">
      <c r="B89" s="2" t="s">
        <v>33</v>
      </c>
      <c r="C89" s="2">
        <v>0.79778904767445391</v>
      </c>
      <c r="D89" s="2" t="s">
        <v>91</v>
      </c>
      <c r="E89" s="2" t="s">
        <v>89</v>
      </c>
      <c r="F89" s="2">
        <v>71</v>
      </c>
    </row>
    <row r="90" spans="2:6" x14ac:dyDescent="0.2">
      <c r="B90" s="2" t="s">
        <v>32</v>
      </c>
      <c r="C90" s="2">
        <v>0.34885583030347334</v>
      </c>
      <c r="D90" s="2" t="s">
        <v>97</v>
      </c>
      <c r="E90" s="2" t="s">
        <v>97</v>
      </c>
      <c r="F90" s="2">
        <v>62</v>
      </c>
    </row>
    <row r="91" spans="2:6" x14ac:dyDescent="0.2">
      <c r="B91" s="2" t="s">
        <v>31</v>
      </c>
      <c r="C91" s="2">
        <v>0.50127264038313124</v>
      </c>
      <c r="D91" s="2" t="s">
        <v>95</v>
      </c>
      <c r="E91" s="2" t="s">
        <v>95</v>
      </c>
      <c r="F91" s="2">
        <v>32</v>
      </c>
    </row>
    <row r="92" spans="2:6" x14ac:dyDescent="0.2">
      <c r="B92" s="2" t="s">
        <v>30</v>
      </c>
      <c r="C92" s="2">
        <v>0.18926179765729689</v>
      </c>
      <c r="D92" s="2" t="s">
        <v>99</v>
      </c>
      <c r="E92" s="2" t="s">
        <v>99</v>
      </c>
      <c r="F92" s="2">
        <v>41</v>
      </c>
    </row>
    <row r="93" spans="2:6" x14ac:dyDescent="0.2">
      <c r="B93" s="2" t="s">
        <v>29</v>
      </c>
      <c r="C93" s="2">
        <v>0.83105171596821337</v>
      </c>
      <c r="D93" s="2" t="s">
        <v>91</v>
      </c>
      <c r="E93" s="2" t="s">
        <v>89</v>
      </c>
      <c r="F93" s="2">
        <v>37</v>
      </c>
    </row>
    <row r="94" spans="2:6" x14ac:dyDescent="0.2">
      <c r="B94" s="2" t="s">
        <v>28</v>
      </c>
      <c r="C94" s="2">
        <v>0.38114817534088763</v>
      </c>
      <c r="D94" s="2" t="s">
        <v>97</v>
      </c>
      <c r="E94" s="2" t="s">
        <v>95</v>
      </c>
      <c r="F94" s="2">
        <v>33</v>
      </c>
    </row>
    <row r="95" spans="2:6" x14ac:dyDescent="0.2">
      <c r="B95" s="2" t="s">
        <v>27</v>
      </c>
      <c r="C95" s="2">
        <v>0.64842574683593712</v>
      </c>
      <c r="D95" s="2" t="s">
        <v>93</v>
      </c>
      <c r="E95" s="2" t="s">
        <v>93</v>
      </c>
      <c r="F95" s="2">
        <v>57</v>
      </c>
    </row>
    <row r="96" spans="2:6" x14ac:dyDescent="0.2">
      <c r="B96" s="2" t="s">
        <v>26</v>
      </c>
      <c r="C96" s="2">
        <v>0.1120861019535192</v>
      </c>
      <c r="D96" s="2" t="s">
        <v>99</v>
      </c>
      <c r="E96" s="2" t="s">
        <v>99</v>
      </c>
      <c r="F96" s="2">
        <v>32</v>
      </c>
    </row>
    <row r="97" spans="2:6" x14ac:dyDescent="0.2">
      <c r="B97" s="2" t="s">
        <v>25</v>
      </c>
      <c r="C97" s="2">
        <v>0.20533202069059209</v>
      </c>
      <c r="D97" s="2" t="s">
        <v>97</v>
      </c>
      <c r="E97" s="2" t="s">
        <v>97</v>
      </c>
      <c r="F97" s="2">
        <v>75</v>
      </c>
    </row>
    <row r="98" spans="2:6" x14ac:dyDescent="0.2">
      <c r="B98" s="2" t="s">
        <v>24</v>
      </c>
      <c r="C98" s="2">
        <v>0.83087884623586117</v>
      </c>
      <c r="D98" s="2" t="s">
        <v>91</v>
      </c>
      <c r="E98" s="2" t="s">
        <v>91</v>
      </c>
      <c r="F98" s="2">
        <v>95</v>
      </c>
    </row>
    <row r="99" spans="2:6" x14ac:dyDescent="0.2">
      <c r="B99" s="2" t="s">
        <v>23</v>
      </c>
      <c r="C99" s="2">
        <v>0.48922755522912487</v>
      </c>
      <c r="D99" s="2" t="s">
        <v>95</v>
      </c>
      <c r="E99" s="2" t="s">
        <v>91</v>
      </c>
      <c r="F99" s="2">
        <v>91</v>
      </c>
    </row>
    <row r="100" spans="2:6" x14ac:dyDescent="0.2">
      <c r="B100" s="2" t="s">
        <v>22</v>
      </c>
      <c r="C100" s="2">
        <v>0.73635056075262995</v>
      </c>
      <c r="D100" s="2" t="s">
        <v>91</v>
      </c>
      <c r="E100" s="2" t="s">
        <v>93</v>
      </c>
      <c r="F100" s="2">
        <v>37</v>
      </c>
    </row>
    <row r="101" spans="2:6" x14ac:dyDescent="0.2">
      <c r="B101" s="2" t="s">
        <v>21</v>
      </c>
      <c r="C101" s="2">
        <v>0.80221127848337548</v>
      </c>
      <c r="D101" s="2" t="s">
        <v>91</v>
      </c>
      <c r="E101" s="2" t="s">
        <v>93</v>
      </c>
      <c r="F101" s="2">
        <v>71</v>
      </c>
    </row>
    <row r="102" spans="2:6" x14ac:dyDescent="0.2">
      <c r="B102" s="2" t="s">
        <v>20</v>
      </c>
      <c r="C102" s="2">
        <v>0.21399547587900414</v>
      </c>
      <c r="D102" s="2" t="s">
        <v>97</v>
      </c>
      <c r="E102" s="2" t="s">
        <v>99</v>
      </c>
      <c r="F102" s="2">
        <v>84</v>
      </c>
    </row>
    <row r="103" spans="2:6" x14ac:dyDescent="0.2">
      <c r="B103" s="2" t="s">
        <v>19</v>
      </c>
      <c r="C103" s="2">
        <v>0.98077401049225787</v>
      </c>
      <c r="D103" s="2" t="s">
        <v>89</v>
      </c>
      <c r="E103" s="2" t="s">
        <v>89</v>
      </c>
      <c r="F103" s="2">
        <v>41</v>
      </c>
    </row>
    <row r="104" spans="2:6" x14ac:dyDescent="0.2">
      <c r="B104" s="2" t="s">
        <v>18</v>
      </c>
      <c r="C104" s="2">
        <v>0.36462365328840729</v>
      </c>
      <c r="D104" s="2" t="s">
        <v>97</v>
      </c>
      <c r="E104" s="2" t="s">
        <v>95</v>
      </c>
      <c r="F104" s="2">
        <v>56</v>
      </c>
    </row>
    <row r="105" spans="2:6" x14ac:dyDescent="0.2">
      <c r="B105" s="2" t="s">
        <v>17</v>
      </c>
      <c r="C105" s="2">
        <v>0.30105403882752912</v>
      </c>
      <c r="D105" s="2" t="s">
        <v>97</v>
      </c>
      <c r="E105" s="2" t="s">
        <v>97</v>
      </c>
      <c r="F105" s="2">
        <v>91</v>
      </c>
    </row>
    <row r="106" spans="2:6" x14ac:dyDescent="0.2">
      <c r="B106" s="2" t="s">
        <v>16</v>
      </c>
      <c r="C106" s="2">
        <v>0.59805385824959334</v>
      </c>
      <c r="D106" s="2" t="s">
        <v>95</v>
      </c>
      <c r="E106" s="2" t="s">
        <v>91</v>
      </c>
      <c r="F106" s="2">
        <v>53</v>
      </c>
    </row>
    <row r="107" spans="2:6" x14ac:dyDescent="0.2">
      <c r="B107" s="2" t="s">
        <v>15</v>
      </c>
      <c r="C107" s="2">
        <v>0.93461463361743713</v>
      </c>
      <c r="D107" s="2" t="s">
        <v>89</v>
      </c>
      <c r="E107" s="2" t="s">
        <v>89</v>
      </c>
      <c r="F107" s="2">
        <v>41</v>
      </c>
    </row>
    <row r="108" spans="2:6" x14ac:dyDescent="0.2">
      <c r="B108" s="2" t="s">
        <v>14</v>
      </c>
      <c r="C108" s="2">
        <v>0.55744446794436397</v>
      </c>
      <c r="D108" s="2" t="s">
        <v>95</v>
      </c>
      <c r="E108" s="2" t="s">
        <v>95</v>
      </c>
      <c r="F108" s="2">
        <v>90</v>
      </c>
    </row>
    <row r="109" spans="2:6" x14ac:dyDescent="0.2">
      <c r="B109" s="2" t="s">
        <v>13</v>
      </c>
      <c r="C109" s="2">
        <v>0.16309583189017907</v>
      </c>
      <c r="D109" s="2" t="s">
        <v>99</v>
      </c>
      <c r="E109" s="2" t="s">
        <v>99</v>
      </c>
      <c r="F109" s="2">
        <v>79</v>
      </c>
    </row>
    <row r="110" spans="2:6" x14ac:dyDescent="0.2">
      <c r="B110" s="2" t="s">
        <v>12</v>
      </c>
      <c r="C110" s="2">
        <v>0.1493911982921543</v>
      </c>
      <c r="D110" s="2" t="s">
        <v>99</v>
      </c>
      <c r="E110" s="2" t="s">
        <v>97</v>
      </c>
      <c r="F110" s="2">
        <v>49</v>
      </c>
    </row>
    <row r="111" spans="2:6" x14ac:dyDescent="0.2">
      <c r="B111" s="2" t="s">
        <v>11</v>
      </c>
      <c r="C111" s="2">
        <v>0.50978975699351881</v>
      </c>
      <c r="D111" s="2" t="s">
        <v>95</v>
      </c>
      <c r="E111" s="2" t="s">
        <v>95</v>
      </c>
      <c r="F111" s="2">
        <v>35</v>
      </c>
    </row>
    <row r="112" spans="2:6" x14ac:dyDescent="0.2">
      <c r="B112" s="2" t="s">
        <v>10</v>
      </c>
      <c r="C112" s="2">
        <v>0.34678396828212033</v>
      </c>
      <c r="D112" s="2" t="s">
        <v>97</v>
      </c>
      <c r="E112" s="2" t="s">
        <v>97</v>
      </c>
      <c r="F112" s="2">
        <v>23</v>
      </c>
    </row>
    <row r="113" spans="2:6" x14ac:dyDescent="0.2">
      <c r="B113" s="2" t="s">
        <v>9</v>
      </c>
      <c r="C113" s="2">
        <v>0.44149682818657099</v>
      </c>
      <c r="D113" s="2" t="s">
        <v>95</v>
      </c>
      <c r="E113" s="2" t="s">
        <v>95</v>
      </c>
      <c r="F113" s="2">
        <v>93</v>
      </c>
    </row>
    <row r="114" spans="2:6" x14ac:dyDescent="0.2">
      <c r="B114" s="2" t="s">
        <v>8</v>
      </c>
      <c r="C114" s="2">
        <v>0.17974753386219566</v>
      </c>
      <c r="D114" s="2" t="s">
        <v>99</v>
      </c>
      <c r="E114" s="2" t="s">
        <v>95</v>
      </c>
      <c r="F114" s="2">
        <v>37</v>
      </c>
    </row>
    <row r="115" spans="2:6" x14ac:dyDescent="0.2">
      <c r="B115" s="2" t="s">
        <v>7</v>
      </c>
      <c r="C115" s="2">
        <v>4.844967820626378E-4</v>
      </c>
      <c r="D115" s="2" t="s">
        <v>89</v>
      </c>
      <c r="E115" s="2" t="s">
        <v>89</v>
      </c>
      <c r="F115" s="2">
        <v>79</v>
      </c>
    </row>
    <row r="116" spans="2:6" x14ac:dyDescent="0.2">
      <c r="B116" s="2" t="s">
        <v>6</v>
      </c>
      <c r="C116" s="2">
        <v>5.4287359148002201E-2</v>
      </c>
      <c r="D116" s="2" t="s">
        <v>89</v>
      </c>
      <c r="E116" s="2" t="s">
        <v>89</v>
      </c>
      <c r="F116" s="2">
        <v>96</v>
      </c>
    </row>
    <row r="117" spans="2:6" x14ac:dyDescent="0.2">
      <c r="B117" s="2" t="s">
        <v>5</v>
      </c>
      <c r="C117" s="2">
        <v>0.65947453518785226</v>
      </c>
      <c r="D117" s="2" t="s">
        <v>93</v>
      </c>
      <c r="E117" s="2" t="s">
        <v>91</v>
      </c>
      <c r="F117" s="2">
        <v>74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66FE3-32A4-CC42-B346-956AA2F2F5C5}">
  <sheetPr>
    <tabColor rgb="FFFFFF00"/>
  </sheetPr>
  <dimension ref="B3:C33"/>
  <sheetViews>
    <sheetView workbookViewId="0"/>
  </sheetViews>
  <sheetFormatPr baseColWidth="10" defaultRowHeight="26" x14ac:dyDescent="0.3"/>
  <cols>
    <col min="1" max="16384" width="10.83203125" style="37"/>
  </cols>
  <sheetData>
    <row r="3" spans="2:3" x14ac:dyDescent="0.3">
      <c r="B3" s="37" t="s">
        <v>188</v>
      </c>
    </row>
    <row r="4" spans="2:3" x14ac:dyDescent="0.3">
      <c r="B4" s="37" t="s">
        <v>187</v>
      </c>
    </row>
    <row r="5" spans="2:3" x14ac:dyDescent="0.3">
      <c r="B5" s="37" t="s">
        <v>186</v>
      </c>
    </row>
    <row r="6" spans="2:3" x14ac:dyDescent="0.3">
      <c r="B6" s="37" t="s">
        <v>309</v>
      </c>
    </row>
    <row r="7" spans="2:3" x14ac:dyDescent="0.3">
      <c r="B7" s="37" t="s">
        <v>310</v>
      </c>
    </row>
    <row r="10" spans="2:3" x14ac:dyDescent="0.3">
      <c r="B10" s="37">
        <v>2018</v>
      </c>
      <c r="C10" s="37">
        <v>17.836858868155506</v>
      </c>
    </row>
    <row r="11" spans="2:3" x14ac:dyDescent="0.3">
      <c r="B11" s="37">
        <v>2017</v>
      </c>
      <c r="C11" s="37">
        <v>14.959139034358046</v>
      </c>
    </row>
    <row r="12" spans="2:3" x14ac:dyDescent="0.3">
      <c r="B12" s="37">
        <v>2016</v>
      </c>
      <c r="C12" s="37">
        <v>12.994005486529696</v>
      </c>
    </row>
    <row r="13" spans="2:3" x14ac:dyDescent="0.3">
      <c r="B13" s="37">
        <v>2015</v>
      </c>
      <c r="C13" s="37">
        <v>12.453130237750432</v>
      </c>
    </row>
    <row r="14" spans="2:3" x14ac:dyDescent="0.3">
      <c r="B14" s="37">
        <v>2014</v>
      </c>
      <c r="C14" s="37">
        <v>11.392066058411229</v>
      </c>
    </row>
    <row r="15" spans="2:3" x14ac:dyDescent="0.3">
      <c r="B15" s="37">
        <v>2013</v>
      </c>
      <c r="C15" s="37">
        <v>10.373341089997718</v>
      </c>
    </row>
    <row r="16" spans="2:3" x14ac:dyDescent="0.3">
      <c r="B16" s="37">
        <v>2012</v>
      </c>
      <c r="C16" s="37">
        <v>9.4302888118715451</v>
      </c>
    </row>
    <row r="17" spans="2:3" x14ac:dyDescent="0.3">
      <c r="B17" s="37">
        <v>2011</v>
      </c>
      <c r="C17" s="37">
        <v>10.487297846352243</v>
      </c>
    </row>
    <row r="18" spans="2:3" x14ac:dyDescent="0.3">
      <c r="B18" s="37">
        <v>2010</v>
      </c>
      <c r="C18" s="37">
        <v>12.124739801982198</v>
      </c>
    </row>
    <row r="19" spans="2:3" x14ac:dyDescent="0.3">
      <c r="B19" s="37">
        <v>2009</v>
      </c>
      <c r="C19" s="37">
        <v>10.007382555137196</v>
      </c>
    </row>
    <row r="20" spans="2:3" x14ac:dyDescent="0.3">
      <c r="B20" s="37">
        <v>2008</v>
      </c>
      <c r="C20" s="37">
        <v>12.06412443060157</v>
      </c>
    </row>
    <row r="21" spans="2:3" x14ac:dyDescent="0.3">
      <c r="B21" s="37">
        <v>2007</v>
      </c>
      <c r="C21" s="37">
        <v>10.438867611171805</v>
      </c>
    </row>
    <row r="22" spans="2:3" x14ac:dyDescent="0.3">
      <c r="B22" s="37">
        <v>2006</v>
      </c>
      <c r="C22" s="37">
        <v>9.2921250043306536</v>
      </c>
    </row>
    <row r="23" spans="2:3" x14ac:dyDescent="0.3">
      <c r="B23" s="37">
        <v>2005</v>
      </c>
      <c r="C23" s="37">
        <v>9.2630391962061296</v>
      </c>
    </row>
    <row r="24" spans="2:3" x14ac:dyDescent="0.3">
      <c r="B24" s="37">
        <v>2004</v>
      </c>
      <c r="C24" s="37">
        <v>10.194940413069778</v>
      </c>
    </row>
    <row r="25" spans="2:3" x14ac:dyDescent="0.3">
      <c r="B25" s="37">
        <v>2003</v>
      </c>
      <c r="C25" s="37">
        <v>9.2842633754579609</v>
      </c>
    </row>
    <row r="26" spans="2:3" x14ac:dyDescent="0.3">
      <c r="B26" s="37">
        <v>2002</v>
      </c>
      <c r="C26" s="37">
        <v>7.2436724530581129</v>
      </c>
    </row>
    <row r="27" spans="2:3" x14ac:dyDescent="0.3">
      <c r="B27" s="37">
        <v>2001</v>
      </c>
      <c r="C27" s="37">
        <v>5.9979960896004787</v>
      </c>
    </row>
    <row r="28" spans="2:3" x14ac:dyDescent="0.3">
      <c r="B28" s="37">
        <v>2000</v>
      </c>
      <c r="C28" s="37">
        <v>4.6821804532259836</v>
      </c>
    </row>
    <row r="29" spans="2:3" x14ac:dyDescent="0.3">
      <c r="B29" s="37">
        <v>1999</v>
      </c>
      <c r="C29" s="37">
        <v>4.8097214432927053</v>
      </c>
    </row>
    <row r="30" spans="2:3" x14ac:dyDescent="0.3">
      <c r="B30" s="37">
        <v>1998</v>
      </c>
      <c r="C30" s="37">
        <v>3.6765020015216177</v>
      </c>
    </row>
    <row r="31" spans="2:3" x14ac:dyDescent="0.3">
      <c r="B31" s="37">
        <v>1997</v>
      </c>
      <c r="C31" s="37">
        <v>3.6144223864885499</v>
      </c>
    </row>
    <row r="32" spans="2:3" x14ac:dyDescent="0.3">
      <c r="B32" s="37">
        <v>1996</v>
      </c>
      <c r="C32" s="37">
        <v>3.7790290508072073</v>
      </c>
    </row>
    <row r="33" spans="2:3" x14ac:dyDescent="0.3">
      <c r="B33" s="37">
        <v>1995</v>
      </c>
      <c r="C33" s="37">
        <v>3.0354435149521644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14C4B-9658-C342-8E5C-33649E816F32}">
  <sheetPr>
    <tabColor rgb="FFFFFF00"/>
  </sheetPr>
  <dimension ref="A2:B13"/>
  <sheetViews>
    <sheetView workbookViewId="0"/>
  </sheetViews>
  <sheetFormatPr baseColWidth="10" defaultRowHeight="26" x14ac:dyDescent="0.3"/>
  <cols>
    <col min="1" max="16384" width="10.83203125" style="37"/>
  </cols>
  <sheetData>
    <row r="2" spans="1:2" x14ac:dyDescent="0.3">
      <c r="B2" s="37" t="s">
        <v>338</v>
      </c>
    </row>
    <row r="3" spans="1:2" s="38" customFormat="1" x14ac:dyDescent="0.3">
      <c r="A3" s="37"/>
    </row>
    <row r="4" spans="1:2" x14ac:dyDescent="0.3">
      <c r="B4" s="37" t="s">
        <v>341</v>
      </c>
    </row>
    <row r="5" spans="1:2" s="38" customFormat="1" x14ac:dyDescent="0.3">
      <c r="A5" s="37"/>
    </row>
    <row r="6" spans="1:2" x14ac:dyDescent="0.3">
      <c r="B6" s="37" t="s">
        <v>339</v>
      </c>
    </row>
    <row r="7" spans="1:2" s="38" customFormat="1" x14ac:dyDescent="0.3">
      <c r="A7" s="37"/>
    </row>
    <row r="8" spans="1:2" x14ac:dyDescent="0.3">
      <c r="B8" s="37" t="s">
        <v>342</v>
      </c>
    </row>
    <row r="9" spans="1:2" s="38" customFormat="1" x14ac:dyDescent="0.3">
      <c r="A9" s="37"/>
    </row>
    <row r="10" spans="1:2" x14ac:dyDescent="0.3">
      <c r="B10" s="37" t="s">
        <v>340</v>
      </c>
    </row>
    <row r="11" spans="1:2" s="38" customFormat="1" x14ac:dyDescent="0.3">
      <c r="A11" s="37"/>
    </row>
    <row r="12" spans="1:2" x14ac:dyDescent="0.3">
      <c r="B12" s="37" t="s">
        <v>343</v>
      </c>
    </row>
    <row r="13" spans="1:2" s="38" customFormat="1" x14ac:dyDescent="0.3">
      <c r="A13" s="37"/>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AC1D-5DC7-C446-A603-B1EF490BA67D}">
  <sheetPr>
    <tabColor rgb="FFFFFF00"/>
  </sheetPr>
  <dimension ref="B1:J161"/>
  <sheetViews>
    <sheetView showGridLines="0" workbookViewId="0">
      <selection activeCell="C17" sqref="C17"/>
    </sheetView>
  </sheetViews>
  <sheetFormatPr baseColWidth="10" defaultColWidth="8.83203125" defaultRowHeight="15" x14ac:dyDescent="0.2"/>
  <cols>
    <col min="1" max="1" width="2.83203125" style="44" customWidth="1"/>
    <col min="2" max="2" width="30.1640625" style="44" customWidth="1"/>
    <col min="3" max="3" width="107" style="43" customWidth="1"/>
    <col min="4" max="4" width="25.83203125" style="44" customWidth="1"/>
    <col min="5" max="5" width="19" style="44" customWidth="1"/>
    <col min="6" max="6" width="16.33203125" style="44" customWidth="1"/>
    <col min="7" max="7" width="13.83203125" style="44" customWidth="1"/>
    <col min="8" max="9" width="8.83203125" style="44"/>
    <col min="10" max="10" width="36.33203125" style="44" bestFit="1" customWidth="1"/>
    <col min="11" max="16384" width="8.83203125" style="44"/>
  </cols>
  <sheetData>
    <row r="1" spans="2:10" ht="17" thickBot="1" x14ac:dyDescent="0.25">
      <c r="B1" s="42" t="s">
        <v>189</v>
      </c>
      <c r="J1" s="45"/>
    </row>
    <row r="2" spans="2:10" ht="66" x14ac:dyDescent="0.2">
      <c r="B2" s="141" t="s">
        <v>190</v>
      </c>
      <c r="C2" s="46" t="s">
        <v>377</v>
      </c>
    </row>
    <row r="3" spans="2:10" ht="21" x14ac:dyDescent="0.2">
      <c r="B3" s="142"/>
      <c r="C3" s="47"/>
    </row>
    <row r="4" spans="2:10" ht="22" x14ac:dyDescent="0.2">
      <c r="B4" s="142"/>
      <c r="C4" s="48" t="s">
        <v>191</v>
      </c>
    </row>
    <row r="5" spans="2:10" ht="22" x14ac:dyDescent="0.2">
      <c r="B5" s="142"/>
      <c r="C5" s="47" t="s">
        <v>192</v>
      </c>
    </row>
    <row r="6" spans="2:10" ht="22" x14ac:dyDescent="0.2">
      <c r="B6" s="142"/>
      <c r="C6" s="47" t="s">
        <v>193</v>
      </c>
    </row>
    <row r="7" spans="2:10" ht="22" x14ac:dyDescent="0.2">
      <c r="B7" s="142"/>
      <c r="C7" s="47" t="s">
        <v>194</v>
      </c>
    </row>
    <row r="8" spans="2:10" ht="22" x14ac:dyDescent="0.2">
      <c r="B8" s="142"/>
      <c r="C8" s="47" t="s">
        <v>195</v>
      </c>
    </row>
    <row r="9" spans="2:10" ht="22" x14ac:dyDescent="0.2">
      <c r="B9" s="142"/>
      <c r="C9" s="47" t="s">
        <v>196</v>
      </c>
    </row>
    <row r="10" spans="2:10" ht="21" x14ac:dyDescent="0.2">
      <c r="B10" s="142"/>
      <c r="C10" s="47"/>
    </row>
    <row r="11" spans="2:10" ht="22" x14ac:dyDescent="0.2">
      <c r="B11" s="142"/>
      <c r="C11" s="48" t="s">
        <v>197</v>
      </c>
    </row>
    <row r="12" spans="2:10" ht="22" x14ac:dyDescent="0.2">
      <c r="B12" s="142"/>
      <c r="C12" s="47" t="s">
        <v>198</v>
      </c>
    </row>
    <row r="13" spans="2:10" ht="22" x14ac:dyDescent="0.2">
      <c r="B13" s="142"/>
      <c r="C13" s="47" t="s">
        <v>344</v>
      </c>
    </row>
    <row r="14" spans="2:10" ht="22" x14ac:dyDescent="0.2">
      <c r="B14" s="142"/>
      <c r="C14" s="47" t="s">
        <v>199</v>
      </c>
    </row>
    <row r="15" spans="2:10" ht="22" x14ac:dyDescent="0.2">
      <c r="B15" s="142"/>
      <c r="C15" s="47" t="s">
        <v>200</v>
      </c>
    </row>
    <row r="16" spans="2:10" ht="22" x14ac:dyDescent="0.2">
      <c r="B16" s="142"/>
      <c r="C16" s="47" t="s">
        <v>201</v>
      </c>
    </row>
    <row r="17" spans="2:3" ht="21" x14ac:dyDescent="0.2">
      <c r="B17" s="142"/>
      <c r="C17" s="47"/>
    </row>
    <row r="18" spans="2:3" ht="22" x14ac:dyDescent="0.2">
      <c r="B18" s="142"/>
      <c r="C18" s="48" t="s">
        <v>202</v>
      </c>
    </row>
    <row r="19" spans="2:3" ht="22" x14ac:dyDescent="0.2">
      <c r="B19" s="142"/>
      <c r="C19" s="47" t="s">
        <v>203</v>
      </c>
    </row>
    <row r="20" spans="2:3" ht="22" x14ac:dyDescent="0.2">
      <c r="B20" s="142"/>
      <c r="C20" s="47" t="s">
        <v>346</v>
      </c>
    </row>
    <row r="21" spans="2:3" ht="22" x14ac:dyDescent="0.2">
      <c r="B21" s="142"/>
      <c r="C21" s="47" t="s">
        <v>204</v>
      </c>
    </row>
    <row r="22" spans="2:3" ht="22" x14ac:dyDescent="0.2">
      <c r="B22" s="142"/>
      <c r="C22" s="47" t="s">
        <v>205</v>
      </c>
    </row>
    <row r="23" spans="2:3" ht="22" x14ac:dyDescent="0.2">
      <c r="B23" s="142"/>
      <c r="C23" s="47" t="s">
        <v>206</v>
      </c>
    </row>
    <row r="24" spans="2:3" ht="22" thickBot="1" x14ac:dyDescent="0.25">
      <c r="B24" s="143"/>
      <c r="C24" s="49"/>
    </row>
    <row r="25" spans="2:3" ht="21" x14ac:dyDescent="0.2">
      <c r="B25" s="141" t="s">
        <v>207</v>
      </c>
      <c r="C25" s="50"/>
    </row>
    <row r="26" spans="2:3" ht="22" x14ac:dyDescent="0.2">
      <c r="B26" s="142"/>
      <c r="C26" s="51" t="s">
        <v>208</v>
      </c>
    </row>
    <row r="27" spans="2:3" ht="21" x14ac:dyDescent="0.2">
      <c r="B27" s="142"/>
      <c r="C27" s="162"/>
    </row>
    <row r="28" spans="2:3" ht="22" x14ac:dyDescent="0.2">
      <c r="B28" s="142"/>
      <c r="C28" s="51" t="s">
        <v>209</v>
      </c>
    </row>
    <row r="29" spans="2:3" ht="21" x14ac:dyDescent="0.2">
      <c r="B29" s="142"/>
      <c r="C29" s="162"/>
    </row>
    <row r="30" spans="2:3" ht="22" x14ac:dyDescent="0.2">
      <c r="B30" s="142"/>
      <c r="C30" s="51" t="s">
        <v>210</v>
      </c>
    </row>
    <row r="31" spans="2:3" ht="21" x14ac:dyDescent="0.2">
      <c r="B31" s="142"/>
      <c r="C31" s="162"/>
    </row>
    <row r="32" spans="2:3" ht="22" x14ac:dyDescent="0.2">
      <c r="B32" s="142"/>
      <c r="C32" s="51" t="s">
        <v>313</v>
      </c>
    </row>
    <row r="33" spans="2:3" ht="22" thickBot="1" x14ac:dyDescent="0.25">
      <c r="B33" s="143"/>
      <c r="C33" s="163"/>
    </row>
    <row r="34" spans="2:3" ht="21" x14ac:dyDescent="0.2">
      <c r="B34" s="141" t="s">
        <v>211</v>
      </c>
      <c r="C34" s="52"/>
    </row>
    <row r="35" spans="2:3" ht="17" x14ac:dyDescent="0.2">
      <c r="B35" s="142"/>
      <c r="C35" s="122" t="s">
        <v>212</v>
      </c>
    </row>
    <row r="36" spans="2:3" s="54" customFormat="1" ht="22" x14ac:dyDescent="0.2">
      <c r="B36" s="142"/>
      <c r="C36" s="53" t="s">
        <v>345</v>
      </c>
    </row>
    <row r="37" spans="2:3" ht="22" thickBot="1" x14ac:dyDescent="0.25">
      <c r="B37" s="143"/>
      <c r="C37" s="55"/>
    </row>
    <row r="38" spans="2:3" x14ac:dyDescent="0.2">
      <c r="C38" s="44"/>
    </row>
    <row r="39" spans="2:3" ht="28.5" customHeight="1" x14ac:dyDescent="0.2">
      <c r="C39" s="44"/>
    </row>
    <row r="40" spans="2:3" ht="15.75" customHeight="1" x14ac:dyDescent="0.2">
      <c r="C40" s="44"/>
    </row>
    <row r="41" spans="2:3" ht="15.75" customHeight="1" x14ac:dyDescent="0.2">
      <c r="C41" s="44"/>
    </row>
    <row r="42" spans="2:3" ht="15.75" customHeight="1" x14ac:dyDescent="0.2">
      <c r="C42" s="44"/>
    </row>
    <row r="43" spans="2:3" ht="15.75" customHeight="1" x14ac:dyDescent="0.2">
      <c r="C43" s="44"/>
    </row>
    <row r="44" spans="2:3" ht="15.75" customHeight="1" x14ac:dyDescent="0.2">
      <c r="C44" s="44"/>
    </row>
    <row r="45" spans="2:3" ht="15.75" customHeight="1" x14ac:dyDescent="0.2">
      <c r="C45" s="44"/>
    </row>
    <row r="46" spans="2:3" ht="15.75" customHeight="1" x14ac:dyDescent="0.2">
      <c r="C46" s="44"/>
    </row>
    <row r="47" spans="2:3" ht="15.75" customHeight="1" x14ac:dyDescent="0.2">
      <c r="C47" s="44"/>
    </row>
    <row r="48" spans="2:3" ht="15.75" customHeight="1" x14ac:dyDescent="0.2">
      <c r="C48" s="44"/>
    </row>
    <row r="49" spans="3:3" ht="15.75" customHeight="1" x14ac:dyDescent="0.2">
      <c r="C49" s="44"/>
    </row>
    <row r="50" spans="3:3" ht="15.75" customHeight="1" x14ac:dyDescent="0.2">
      <c r="C50" s="44"/>
    </row>
    <row r="51" spans="3:3" ht="15.75" customHeight="1" x14ac:dyDescent="0.2">
      <c r="C51" s="44"/>
    </row>
    <row r="52" spans="3:3" ht="15.75" customHeight="1" x14ac:dyDescent="0.2">
      <c r="C52" s="44"/>
    </row>
    <row r="53" spans="3:3" ht="15.75" customHeight="1" x14ac:dyDescent="0.2">
      <c r="C53" s="44"/>
    </row>
    <row r="54" spans="3:3" ht="15.75" customHeight="1" x14ac:dyDescent="0.2">
      <c r="C54" s="44"/>
    </row>
    <row r="55" spans="3:3" ht="15.75" customHeight="1" x14ac:dyDescent="0.2">
      <c r="C55" s="44"/>
    </row>
    <row r="56" spans="3:3" ht="15.75" customHeight="1" x14ac:dyDescent="0.2">
      <c r="C56" s="44"/>
    </row>
    <row r="57" spans="3:3" ht="15.75" customHeight="1" x14ac:dyDescent="0.2">
      <c r="C57" s="44"/>
    </row>
    <row r="58" spans="3:3" ht="15.75" customHeight="1" x14ac:dyDescent="0.2">
      <c r="C58" s="44"/>
    </row>
    <row r="59" spans="3:3" ht="15.75" customHeight="1" x14ac:dyDescent="0.2">
      <c r="C59" s="44"/>
    </row>
    <row r="60" spans="3:3" x14ac:dyDescent="0.2">
      <c r="C60" s="44"/>
    </row>
    <row r="61" spans="3:3" ht="14.25" customHeight="1" x14ac:dyDescent="0.2">
      <c r="C61" s="44"/>
    </row>
    <row r="62" spans="3:3" ht="14.25" customHeight="1" x14ac:dyDescent="0.2">
      <c r="C62" s="44"/>
    </row>
    <row r="63" spans="3:3" x14ac:dyDescent="0.2">
      <c r="C63" s="44"/>
    </row>
    <row r="64" spans="3:3" x14ac:dyDescent="0.2">
      <c r="C64" s="44"/>
    </row>
    <row r="65" spans="3:3" x14ac:dyDescent="0.2">
      <c r="C65" s="44"/>
    </row>
    <row r="66" spans="3:3" x14ac:dyDescent="0.2">
      <c r="C66" s="44"/>
    </row>
    <row r="67" spans="3:3" x14ac:dyDescent="0.2">
      <c r="C67" s="44"/>
    </row>
    <row r="68" spans="3:3" x14ac:dyDescent="0.2">
      <c r="C68" s="44"/>
    </row>
    <row r="69" spans="3:3" x14ac:dyDescent="0.2">
      <c r="C69" s="44"/>
    </row>
    <row r="70" spans="3:3" x14ac:dyDescent="0.2">
      <c r="C70" s="44"/>
    </row>
    <row r="71" spans="3:3" x14ac:dyDescent="0.2">
      <c r="C71" s="44"/>
    </row>
    <row r="72" spans="3:3" x14ac:dyDescent="0.2">
      <c r="C72" s="44"/>
    </row>
    <row r="73" spans="3:3" x14ac:dyDescent="0.2">
      <c r="C73" s="44"/>
    </row>
    <row r="74" spans="3:3" ht="409.5" customHeight="1" x14ac:dyDescent="0.2">
      <c r="C74" s="44"/>
    </row>
    <row r="75" spans="3:3" x14ac:dyDescent="0.2">
      <c r="C75" s="44"/>
    </row>
    <row r="76" spans="3:3" x14ac:dyDescent="0.2">
      <c r="C76" s="44"/>
    </row>
    <row r="77" spans="3:3" x14ac:dyDescent="0.2">
      <c r="C77" s="44"/>
    </row>
    <row r="78" spans="3:3" x14ac:dyDescent="0.2">
      <c r="C78" s="44"/>
    </row>
    <row r="79" spans="3:3" x14ac:dyDescent="0.2">
      <c r="C79" s="44"/>
    </row>
    <row r="80" spans="3:3" x14ac:dyDescent="0.2">
      <c r="C80" s="44"/>
    </row>
    <row r="81" spans="3:3" x14ac:dyDescent="0.2">
      <c r="C81" s="44"/>
    </row>
    <row r="82" spans="3:3" ht="114" customHeight="1" x14ac:dyDescent="0.2">
      <c r="C82" s="44"/>
    </row>
    <row r="83" spans="3:3" x14ac:dyDescent="0.2">
      <c r="C83" s="44"/>
    </row>
    <row r="84" spans="3:3" x14ac:dyDescent="0.2">
      <c r="C84" s="44"/>
    </row>
    <row r="85" spans="3:3" x14ac:dyDescent="0.2">
      <c r="C85" s="44"/>
    </row>
    <row r="86" spans="3:3" x14ac:dyDescent="0.2">
      <c r="C86" s="44"/>
    </row>
    <row r="87" spans="3:3" x14ac:dyDescent="0.2">
      <c r="C87" s="44"/>
    </row>
    <row r="88" spans="3:3" x14ac:dyDescent="0.2">
      <c r="C88" s="44"/>
    </row>
    <row r="89" spans="3:3" x14ac:dyDescent="0.2">
      <c r="C89" s="44"/>
    </row>
    <row r="90" spans="3:3" x14ac:dyDescent="0.2">
      <c r="C90" s="44"/>
    </row>
    <row r="91" spans="3:3" x14ac:dyDescent="0.2">
      <c r="C91" s="44"/>
    </row>
    <row r="92" spans="3:3" x14ac:dyDescent="0.2">
      <c r="C92" s="44"/>
    </row>
    <row r="93" spans="3:3" x14ac:dyDescent="0.2">
      <c r="C93" s="44"/>
    </row>
    <row r="94" spans="3:3" x14ac:dyDescent="0.2">
      <c r="C94" s="44"/>
    </row>
    <row r="95" spans="3:3" x14ac:dyDescent="0.2">
      <c r="C95" s="44"/>
    </row>
    <row r="96" spans="3:3" x14ac:dyDescent="0.2">
      <c r="C96" s="44"/>
    </row>
    <row r="97" spans="3:3" x14ac:dyDescent="0.2">
      <c r="C97" s="44"/>
    </row>
    <row r="98" spans="3:3" x14ac:dyDescent="0.2">
      <c r="C98" s="44"/>
    </row>
    <row r="99" spans="3:3" x14ac:dyDescent="0.2">
      <c r="C99" s="44"/>
    </row>
    <row r="100" spans="3:3" x14ac:dyDescent="0.2">
      <c r="C100" s="44"/>
    </row>
    <row r="101" spans="3:3" x14ac:dyDescent="0.2">
      <c r="C101" s="44"/>
    </row>
    <row r="102" spans="3:3" x14ac:dyDescent="0.2">
      <c r="C102" s="44"/>
    </row>
    <row r="103" spans="3:3" x14ac:dyDescent="0.2">
      <c r="C103" s="44"/>
    </row>
    <row r="104" spans="3:3" x14ac:dyDescent="0.2">
      <c r="C104" s="44"/>
    </row>
    <row r="105" spans="3:3" x14ac:dyDescent="0.2">
      <c r="C105" s="44"/>
    </row>
    <row r="106" spans="3:3" x14ac:dyDescent="0.2">
      <c r="C106" s="44"/>
    </row>
    <row r="107" spans="3:3" x14ac:dyDescent="0.2">
      <c r="C107" s="44"/>
    </row>
    <row r="108" spans="3:3" x14ac:dyDescent="0.2">
      <c r="C108" s="44"/>
    </row>
    <row r="109" spans="3:3" x14ac:dyDescent="0.2">
      <c r="C109" s="44"/>
    </row>
    <row r="110" spans="3:3" x14ac:dyDescent="0.2">
      <c r="C110" s="44"/>
    </row>
    <row r="111" spans="3:3" x14ac:dyDescent="0.2">
      <c r="C111" s="44"/>
    </row>
    <row r="112" spans="3:3" x14ac:dyDescent="0.2">
      <c r="C112" s="44"/>
    </row>
    <row r="113" spans="3:3" x14ac:dyDescent="0.2">
      <c r="C113" s="44"/>
    </row>
    <row r="114" spans="3:3" x14ac:dyDescent="0.2">
      <c r="C114" s="44"/>
    </row>
    <row r="115" spans="3:3" x14ac:dyDescent="0.2">
      <c r="C115" s="44"/>
    </row>
    <row r="116" spans="3:3" x14ac:dyDescent="0.2">
      <c r="C116" s="44"/>
    </row>
    <row r="117" spans="3:3" x14ac:dyDescent="0.2">
      <c r="C117" s="44"/>
    </row>
    <row r="118" spans="3:3" x14ac:dyDescent="0.2">
      <c r="C118" s="44"/>
    </row>
    <row r="119" spans="3:3" ht="13" customHeight="1" x14ac:dyDescent="0.2">
      <c r="C119" s="44"/>
    </row>
    <row r="120" spans="3:3" ht="13" customHeight="1" x14ac:dyDescent="0.2">
      <c r="C120" s="44"/>
    </row>
    <row r="121" spans="3:3" ht="13" customHeight="1" x14ac:dyDescent="0.2">
      <c r="C121" s="44"/>
    </row>
    <row r="122" spans="3:3" ht="13" customHeight="1" x14ac:dyDescent="0.2">
      <c r="C122" s="44"/>
    </row>
    <row r="123" spans="3:3" ht="13" customHeight="1" x14ac:dyDescent="0.2">
      <c r="C123" s="44"/>
    </row>
    <row r="124" spans="3:3" ht="13" customHeight="1" x14ac:dyDescent="0.2">
      <c r="C124" s="44"/>
    </row>
    <row r="125" spans="3:3" ht="13" customHeight="1" x14ac:dyDescent="0.2">
      <c r="C125" s="44"/>
    </row>
    <row r="126" spans="3:3" ht="13" customHeight="1" x14ac:dyDescent="0.2">
      <c r="C126" s="44"/>
    </row>
    <row r="127" spans="3:3" ht="13" customHeight="1" x14ac:dyDescent="0.2">
      <c r="C127" s="44"/>
    </row>
    <row r="128" spans="3:3" ht="13" customHeight="1" x14ac:dyDescent="0.2">
      <c r="C128" s="44"/>
    </row>
    <row r="129" spans="3:3" ht="13" customHeight="1" x14ac:dyDescent="0.2">
      <c r="C129" s="44"/>
    </row>
    <row r="130" spans="3:3" ht="13" customHeight="1" x14ac:dyDescent="0.2">
      <c r="C130" s="44"/>
    </row>
    <row r="131" spans="3:3" ht="13" customHeight="1" x14ac:dyDescent="0.2">
      <c r="C131" s="44"/>
    </row>
    <row r="132" spans="3:3" ht="13" customHeight="1" x14ac:dyDescent="0.2">
      <c r="C132" s="44"/>
    </row>
    <row r="133" spans="3:3" ht="13" customHeight="1" x14ac:dyDescent="0.2">
      <c r="C133" s="44"/>
    </row>
    <row r="134" spans="3:3" x14ac:dyDescent="0.2">
      <c r="C134" s="44"/>
    </row>
    <row r="135" spans="3:3" x14ac:dyDescent="0.2">
      <c r="C135" s="44"/>
    </row>
    <row r="136" spans="3:3" x14ac:dyDescent="0.2">
      <c r="C136" s="44"/>
    </row>
    <row r="137" spans="3:3" x14ac:dyDescent="0.2">
      <c r="C137" s="44"/>
    </row>
    <row r="138" spans="3:3" x14ac:dyDescent="0.2">
      <c r="C138" s="44"/>
    </row>
    <row r="139" spans="3:3" x14ac:dyDescent="0.2">
      <c r="C139" s="44"/>
    </row>
    <row r="140" spans="3:3" x14ac:dyDescent="0.2">
      <c r="C140" s="44"/>
    </row>
    <row r="141" spans="3:3" x14ac:dyDescent="0.2">
      <c r="C141" s="44"/>
    </row>
    <row r="142" spans="3:3" x14ac:dyDescent="0.2">
      <c r="C142" s="44"/>
    </row>
    <row r="143" spans="3:3" x14ac:dyDescent="0.2">
      <c r="C143" s="44"/>
    </row>
    <row r="144" spans="3:3" x14ac:dyDescent="0.2">
      <c r="C144" s="44"/>
    </row>
    <row r="145" spans="3:3" x14ac:dyDescent="0.2">
      <c r="C145" s="44"/>
    </row>
    <row r="146" spans="3:3" x14ac:dyDescent="0.2">
      <c r="C146" s="44"/>
    </row>
    <row r="147" spans="3:3" x14ac:dyDescent="0.2">
      <c r="C147" s="44"/>
    </row>
    <row r="148" spans="3:3" ht="14.25" customHeight="1" x14ac:dyDescent="0.2">
      <c r="C148" s="44"/>
    </row>
    <row r="149" spans="3:3" x14ac:dyDescent="0.2">
      <c r="C149" s="44"/>
    </row>
    <row r="150" spans="3:3" x14ac:dyDescent="0.2">
      <c r="C150" s="44"/>
    </row>
    <row r="151" spans="3:3" x14ac:dyDescent="0.2">
      <c r="C151" s="44"/>
    </row>
    <row r="152" spans="3:3" x14ac:dyDescent="0.2">
      <c r="C152" s="44"/>
    </row>
    <row r="153" spans="3:3" x14ac:dyDescent="0.2">
      <c r="C153" s="44"/>
    </row>
    <row r="154" spans="3:3" x14ac:dyDescent="0.2">
      <c r="C154" s="44"/>
    </row>
    <row r="155" spans="3:3" x14ac:dyDescent="0.2">
      <c r="C155" s="44"/>
    </row>
    <row r="156" spans="3:3" x14ac:dyDescent="0.2">
      <c r="C156" s="44"/>
    </row>
    <row r="157" spans="3:3" ht="0.5" customHeight="1" x14ac:dyDescent="0.2">
      <c r="C157" s="44"/>
    </row>
    <row r="158" spans="3:3" x14ac:dyDescent="0.2">
      <c r="C158" s="44"/>
    </row>
    <row r="159" spans="3:3" x14ac:dyDescent="0.2">
      <c r="C159" s="44"/>
    </row>
    <row r="160" spans="3:3" x14ac:dyDescent="0.2">
      <c r="C160" s="44"/>
    </row>
    <row r="161" spans="3:3" ht="14.25" customHeight="1" x14ac:dyDescent="0.2">
      <c r="C161" s="44"/>
    </row>
  </sheetData>
  <mergeCells count="3">
    <mergeCell ref="B2:B24"/>
    <mergeCell ref="B25:B33"/>
    <mergeCell ref="B34:B37"/>
  </mergeCells>
  <hyperlinks>
    <hyperlink ref="C35" r:id="rId1" xr:uid="{DE3D1FF6-7D04-F843-A6D8-FA5A74CE4158}"/>
  </hyperlinks>
  <pageMargins left="0.7" right="0.7" top="0.75" bottom="0.75" header="0.3" footer="0.3"/>
  <pageSetup paperSize="9" fitToWidth="0" fitToHeight="0" orientation="portrait"/>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3A194-E52D-3647-953E-488FDC0203CD}">
  <sheetPr>
    <tabColor rgb="FFFFFF00"/>
  </sheetPr>
  <dimension ref="B1:I33"/>
  <sheetViews>
    <sheetView showGridLines="0" zoomScaleNormal="100" workbookViewId="0"/>
  </sheetViews>
  <sheetFormatPr baseColWidth="10" defaultColWidth="8.83203125" defaultRowHeight="15" x14ac:dyDescent="0.2"/>
  <cols>
    <col min="1" max="1" width="2.83203125" style="44" customWidth="1"/>
    <col min="2" max="2" width="30.33203125" style="44" customWidth="1"/>
    <col min="3" max="3" width="30.1640625" style="44" customWidth="1"/>
    <col min="4" max="4" width="30.1640625" style="43" customWidth="1"/>
    <col min="5" max="7" width="30.1640625" style="44" customWidth="1"/>
    <col min="8" max="8" width="13.83203125" style="44" customWidth="1"/>
    <col min="9" max="10" width="8.83203125" style="44"/>
    <col min="11" max="11" width="36.33203125" style="44" bestFit="1" customWidth="1"/>
    <col min="12" max="16384" width="8.83203125" style="44"/>
  </cols>
  <sheetData>
    <row r="1" spans="2:9" ht="16" thickBot="1" x14ac:dyDescent="0.25"/>
    <row r="2" spans="2:9" ht="94" customHeight="1" thickBot="1" x14ac:dyDescent="0.25">
      <c r="B2" s="141" t="s">
        <v>190</v>
      </c>
      <c r="C2" s="153" t="s">
        <v>378</v>
      </c>
      <c r="D2" s="154"/>
      <c r="E2" s="154"/>
      <c r="F2" s="154"/>
      <c r="G2" s="155"/>
    </row>
    <row r="3" spans="2:9" ht="23" thickBot="1" x14ac:dyDescent="0.25">
      <c r="B3" s="142"/>
      <c r="C3" s="56" t="s">
        <v>213</v>
      </c>
      <c r="D3" s="56" t="s">
        <v>214</v>
      </c>
      <c r="E3" s="56" t="s">
        <v>215</v>
      </c>
      <c r="F3" s="56" t="s">
        <v>216</v>
      </c>
      <c r="G3" s="57" t="s">
        <v>217</v>
      </c>
    </row>
    <row r="4" spans="2:9" ht="21" x14ac:dyDescent="0.2">
      <c r="B4" s="142"/>
      <c r="C4" s="58">
        <v>44197</v>
      </c>
      <c r="D4" s="59">
        <v>25000</v>
      </c>
      <c r="E4" s="60" t="s">
        <v>218</v>
      </c>
      <c r="F4" s="61">
        <v>0.06</v>
      </c>
      <c r="G4" s="62">
        <v>44926.25</v>
      </c>
      <c r="H4" s="63"/>
      <c r="I4" s="63"/>
    </row>
    <row r="5" spans="2:9" ht="21" x14ac:dyDescent="0.2">
      <c r="B5" s="142"/>
      <c r="C5" s="58">
        <v>44197</v>
      </c>
      <c r="D5" s="59">
        <v>65000</v>
      </c>
      <c r="E5" s="60" t="s">
        <v>219</v>
      </c>
      <c r="F5" s="61">
        <v>0.06</v>
      </c>
      <c r="G5" s="62">
        <v>44926.25</v>
      </c>
      <c r="H5" s="63"/>
      <c r="I5" s="63"/>
    </row>
    <row r="6" spans="2:9" ht="21" x14ac:dyDescent="0.2">
      <c r="B6" s="142"/>
      <c r="C6" s="58">
        <v>44197</v>
      </c>
      <c r="D6" s="59">
        <v>30000</v>
      </c>
      <c r="E6" s="60" t="s">
        <v>220</v>
      </c>
      <c r="F6" s="61">
        <v>6.3E-2</v>
      </c>
      <c r="G6" s="62">
        <v>44926.25</v>
      </c>
      <c r="H6" s="63"/>
      <c r="I6" s="63"/>
    </row>
    <row r="7" spans="2:9" ht="21" x14ac:dyDescent="0.2">
      <c r="B7" s="142"/>
      <c r="C7" s="58">
        <v>44197</v>
      </c>
      <c r="D7" s="59">
        <v>50000</v>
      </c>
      <c r="E7" s="60" t="s">
        <v>221</v>
      </c>
      <c r="F7" s="61">
        <v>6.3E-2</v>
      </c>
      <c r="G7" s="62">
        <v>44926.25</v>
      </c>
      <c r="H7" s="63"/>
      <c r="I7" s="63"/>
    </row>
    <row r="8" spans="2:9" ht="21" x14ac:dyDescent="0.2">
      <c r="B8" s="142"/>
      <c r="C8" s="58">
        <v>44227.25</v>
      </c>
      <c r="D8" s="59">
        <v>15000</v>
      </c>
      <c r="E8" s="60" t="s">
        <v>222</v>
      </c>
      <c r="F8" s="61">
        <v>6.5000000000000002E-2</v>
      </c>
      <c r="G8" s="62">
        <v>45322.25</v>
      </c>
      <c r="H8" s="63"/>
      <c r="I8" s="63"/>
    </row>
    <row r="9" spans="2:9" ht="21" x14ac:dyDescent="0.2">
      <c r="B9" s="142"/>
      <c r="C9" s="58">
        <v>44227.25</v>
      </c>
      <c r="D9" s="59">
        <v>25000</v>
      </c>
      <c r="E9" s="60" t="s">
        <v>223</v>
      </c>
      <c r="F9" s="61">
        <v>6.5000000000000002E-2</v>
      </c>
      <c r="G9" s="62">
        <v>45322.25</v>
      </c>
      <c r="H9" s="63"/>
      <c r="I9" s="63"/>
    </row>
    <row r="10" spans="2:9" ht="21" x14ac:dyDescent="0.2">
      <c r="B10" s="142"/>
      <c r="C10" s="58">
        <v>44227.25</v>
      </c>
      <c r="D10" s="59">
        <v>35000</v>
      </c>
      <c r="E10" s="60" t="s">
        <v>224</v>
      </c>
      <c r="F10" s="61">
        <v>7.0000000000000007E-2</v>
      </c>
      <c r="G10" s="62">
        <v>45322.25</v>
      </c>
      <c r="H10" s="63"/>
      <c r="I10" s="63"/>
    </row>
    <row r="11" spans="2:9" ht="21" x14ac:dyDescent="0.2">
      <c r="B11" s="142"/>
      <c r="C11" s="58">
        <v>44227.25</v>
      </c>
      <c r="D11" s="59">
        <v>40000</v>
      </c>
      <c r="E11" s="60" t="s">
        <v>225</v>
      </c>
      <c r="F11" s="61">
        <v>7.0000000000000007E-2</v>
      </c>
      <c r="G11" s="62">
        <v>45322.25</v>
      </c>
      <c r="H11" s="63"/>
      <c r="I11" s="63"/>
    </row>
    <row r="12" spans="2:9" ht="21" x14ac:dyDescent="0.2">
      <c r="B12" s="142"/>
      <c r="C12" s="58">
        <v>44255</v>
      </c>
      <c r="D12" s="59">
        <v>75000</v>
      </c>
      <c r="E12" s="60" t="s">
        <v>226</v>
      </c>
      <c r="F12" s="61">
        <v>0.08</v>
      </c>
      <c r="G12" s="62">
        <v>45350.25</v>
      </c>
      <c r="H12" s="63"/>
      <c r="I12" s="63"/>
    </row>
    <row r="13" spans="2:9" ht="21" x14ac:dyDescent="0.2">
      <c r="B13" s="142"/>
      <c r="C13" s="58">
        <v>44255</v>
      </c>
      <c r="D13" s="59">
        <v>55000</v>
      </c>
      <c r="E13" s="60" t="s">
        <v>227</v>
      </c>
      <c r="F13" s="61">
        <v>0.08</v>
      </c>
      <c r="G13" s="62">
        <v>45350.25</v>
      </c>
      <c r="H13" s="63"/>
      <c r="I13" s="63"/>
    </row>
    <row r="14" spans="2:9" ht="21" x14ac:dyDescent="0.2">
      <c r="B14" s="142"/>
      <c r="C14" s="58">
        <v>44255</v>
      </c>
      <c r="D14" s="59">
        <v>90000</v>
      </c>
      <c r="E14" s="60" t="s">
        <v>228</v>
      </c>
      <c r="F14" s="61">
        <v>0.06</v>
      </c>
      <c r="G14" s="62">
        <v>45350.25</v>
      </c>
      <c r="H14" s="63"/>
      <c r="I14" s="63"/>
    </row>
    <row r="15" spans="2:9" ht="21" x14ac:dyDescent="0.2">
      <c r="B15" s="142"/>
      <c r="C15" s="58">
        <v>44255</v>
      </c>
      <c r="D15" s="59">
        <v>10000</v>
      </c>
      <c r="E15" s="60" t="s">
        <v>229</v>
      </c>
      <c r="F15" s="61">
        <v>0.06</v>
      </c>
      <c r="G15" s="62">
        <v>45350.25</v>
      </c>
      <c r="H15" s="63"/>
      <c r="I15" s="63"/>
    </row>
    <row r="16" spans="2:9" ht="21" x14ac:dyDescent="0.2">
      <c r="B16" s="142"/>
      <c r="C16" s="58">
        <v>44286.25</v>
      </c>
      <c r="D16" s="59">
        <v>50000</v>
      </c>
      <c r="E16" s="60" t="s">
        <v>230</v>
      </c>
      <c r="F16" s="61">
        <v>7.0000000000000007E-2</v>
      </c>
      <c r="G16" s="62">
        <v>45747.25</v>
      </c>
      <c r="H16" s="63"/>
      <c r="I16" s="63"/>
    </row>
    <row r="17" spans="2:9" ht="21" x14ac:dyDescent="0.2">
      <c r="B17" s="142"/>
      <c r="C17" s="58">
        <v>44286.25</v>
      </c>
      <c r="D17" s="59">
        <v>60000</v>
      </c>
      <c r="E17" s="60" t="s">
        <v>231</v>
      </c>
      <c r="F17" s="61">
        <v>7.0000000000000007E-2</v>
      </c>
      <c r="G17" s="62">
        <v>45747.25</v>
      </c>
      <c r="H17" s="63"/>
      <c r="I17" s="63"/>
    </row>
    <row r="18" spans="2:9" ht="21" x14ac:dyDescent="0.2">
      <c r="B18" s="142"/>
      <c r="C18" s="58">
        <v>44286.25</v>
      </c>
      <c r="D18" s="59">
        <v>25000</v>
      </c>
      <c r="E18" s="60" t="s">
        <v>232</v>
      </c>
      <c r="F18" s="61">
        <v>7.4999999999999997E-2</v>
      </c>
      <c r="G18" s="62">
        <v>45747.25</v>
      </c>
      <c r="H18" s="63"/>
      <c r="I18" s="63"/>
    </row>
    <row r="19" spans="2:9" ht="21" x14ac:dyDescent="0.2">
      <c r="B19" s="142"/>
      <c r="C19" s="58">
        <v>44286.25</v>
      </c>
      <c r="D19" s="59">
        <v>45000</v>
      </c>
      <c r="E19" s="60" t="s">
        <v>233</v>
      </c>
      <c r="F19" s="61">
        <v>7.4999999999999997E-2</v>
      </c>
      <c r="G19" s="62">
        <v>45747.25</v>
      </c>
      <c r="H19" s="63"/>
      <c r="I19" s="63"/>
    </row>
    <row r="20" spans="2:9" ht="21" x14ac:dyDescent="0.2">
      <c r="B20" s="142"/>
      <c r="C20" s="58">
        <v>44316.25</v>
      </c>
      <c r="D20" s="59">
        <v>40000</v>
      </c>
      <c r="E20" s="60" t="s">
        <v>234</v>
      </c>
      <c r="F20" s="61">
        <v>0.06</v>
      </c>
      <c r="G20" s="62">
        <v>45046.25</v>
      </c>
      <c r="H20" s="63"/>
      <c r="I20" s="63"/>
    </row>
    <row r="21" spans="2:9" ht="21" x14ac:dyDescent="0.2">
      <c r="B21" s="142"/>
      <c r="C21" s="58">
        <v>44316.25</v>
      </c>
      <c r="D21" s="59">
        <v>60000</v>
      </c>
      <c r="E21" s="60" t="s">
        <v>235</v>
      </c>
      <c r="F21" s="61">
        <v>0.06</v>
      </c>
      <c r="G21" s="62">
        <v>45046.25</v>
      </c>
      <c r="H21" s="63"/>
      <c r="I21" s="63"/>
    </row>
    <row r="22" spans="2:9" ht="21" x14ac:dyDescent="0.2">
      <c r="B22" s="142"/>
      <c r="C22" s="58">
        <v>44316.25</v>
      </c>
      <c r="D22" s="59">
        <v>50000</v>
      </c>
      <c r="E22" s="60" t="s">
        <v>236</v>
      </c>
      <c r="F22" s="61">
        <v>6.3E-2</v>
      </c>
      <c r="G22" s="62">
        <v>45046.25</v>
      </c>
      <c r="H22" s="63"/>
      <c r="I22" s="63"/>
    </row>
    <row r="23" spans="2:9" ht="22" thickBot="1" x14ac:dyDescent="0.25">
      <c r="B23" s="143"/>
      <c r="C23" s="58">
        <v>44316.25</v>
      </c>
      <c r="D23" s="64">
        <v>25000</v>
      </c>
      <c r="E23" s="65" t="s">
        <v>237</v>
      </c>
      <c r="F23" s="66">
        <v>6.3E-2</v>
      </c>
      <c r="G23" s="62">
        <v>45046.25</v>
      </c>
      <c r="H23" s="63"/>
      <c r="I23" s="63"/>
    </row>
    <row r="24" spans="2:9" ht="21" x14ac:dyDescent="0.2">
      <c r="B24" s="141" t="s">
        <v>207</v>
      </c>
      <c r="C24" s="156"/>
      <c r="D24" s="156"/>
      <c r="E24" s="156"/>
      <c r="F24" s="156"/>
      <c r="G24" s="157"/>
    </row>
    <row r="25" spans="2:9" ht="14" customHeight="1" x14ac:dyDescent="0.2">
      <c r="B25" s="142"/>
      <c r="C25" s="158" t="s">
        <v>238</v>
      </c>
      <c r="D25" s="158"/>
      <c r="E25" s="158"/>
      <c r="F25" s="158"/>
      <c r="G25" s="159"/>
    </row>
    <row r="26" spans="2:9" ht="14" customHeight="1" x14ac:dyDescent="0.2">
      <c r="B26" s="142"/>
      <c r="C26" s="164"/>
      <c r="D26" s="165"/>
      <c r="E26" s="165"/>
      <c r="F26" s="165"/>
      <c r="G26" s="166"/>
    </row>
    <row r="27" spans="2:9" ht="14" customHeight="1" x14ac:dyDescent="0.2">
      <c r="B27" s="142"/>
      <c r="C27" s="158" t="s">
        <v>239</v>
      </c>
      <c r="D27" s="158"/>
      <c r="E27" s="158"/>
      <c r="F27" s="158"/>
      <c r="G27" s="159"/>
    </row>
    <row r="28" spans="2:9" ht="14" customHeight="1" x14ac:dyDescent="0.2">
      <c r="B28" s="142"/>
      <c r="C28" s="164"/>
      <c r="D28" s="165"/>
      <c r="E28" s="165"/>
      <c r="F28" s="165"/>
      <c r="G28" s="166"/>
    </row>
    <row r="29" spans="2:9" ht="15" customHeight="1" x14ac:dyDescent="0.2">
      <c r="B29" s="142"/>
      <c r="C29" s="158" t="s">
        <v>240</v>
      </c>
      <c r="D29" s="158"/>
      <c r="E29" s="158"/>
      <c r="F29" s="158"/>
      <c r="G29" s="159"/>
    </row>
    <row r="30" spans="2:9" ht="15" customHeight="1" thickBot="1" x14ac:dyDescent="0.25">
      <c r="B30" s="143"/>
      <c r="C30" s="167"/>
      <c r="D30" s="168"/>
      <c r="E30" s="168"/>
      <c r="F30" s="168"/>
      <c r="G30" s="169"/>
    </row>
    <row r="31" spans="2:9" ht="21" x14ac:dyDescent="0.2">
      <c r="B31" s="141" t="s">
        <v>211</v>
      </c>
      <c r="C31" s="144"/>
      <c r="D31" s="145"/>
      <c r="E31" s="145"/>
      <c r="F31" s="145"/>
      <c r="G31" s="146"/>
    </row>
    <row r="32" spans="2:9" ht="21" x14ac:dyDescent="0.2">
      <c r="B32" s="142"/>
      <c r="C32" s="147" t="s">
        <v>241</v>
      </c>
      <c r="D32" s="148"/>
      <c r="E32" s="148"/>
      <c r="F32" s="148"/>
      <c r="G32" s="149"/>
    </row>
    <row r="33" spans="2:7" ht="22" thickBot="1" x14ac:dyDescent="0.25">
      <c r="B33" s="143"/>
      <c r="C33" s="150" t="s">
        <v>242</v>
      </c>
      <c r="D33" s="151"/>
      <c r="E33" s="151"/>
      <c r="F33" s="151"/>
      <c r="G33" s="152"/>
    </row>
  </sheetData>
  <mergeCells count="14">
    <mergeCell ref="B31:B33"/>
    <mergeCell ref="C31:G31"/>
    <mergeCell ref="C32:G32"/>
    <mergeCell ref="C33:G33"/>
    <mergeCell ref="B2:B23"/>
    <mergeCell ref="C2:G2"/>
    <mergeCell ref="B24:B30"/>
    <mergeCell ref="C24:G24"/>
    <mergeCell ref="C25:G25"/>
    <mergeCell ref="C26:G26"/>
    <mergeCell ref="C27:G27"/>
    <mergeCell ref="C28:G28"/>
    <mergeCell ref="C29:G29"/>
    <mergeCell ref="C30:G30"/>
  </mergeCells>
  <hyperlinks>
    <hyperlink ref="C32" r:id="rId1" xr:uid="{1AA81B2F-C1BC-C349-87A1-5F610C9B585A}"/>
  </hyperlinks>
  <pageMargins left="0.7" right="0.7" top="0.75" bottom="0.75" header="0.3" footer="0.3"/>
  <pageSetup paperSize="9" fitToWidth="0"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8861B-3FE4-5B48-8652-49F19622E4C2}">
  <sheetPr>
    <tabColor rgb="FFFFFF00"/>
  </sheetPr>
  <dimension ref="B1:O25"/>
  <sheetViews>
    <sheetView showGridLines="0" workbookViewId="0"/>
  </sheetViews>
  <sheetFormatPr baseColWidth="10" defaultColWidth="8.83203125" defaultRowHeight="15" x14ac:dyDescent="0.2"/>
  <cols>
    <col min="1" max="1" width="2.83203125" style="71" customWidth="1"/>
    <col min="2" max="2" width="12.6640625" style="71" customWidth="1"/>
    <col min="3" max="3" width="11.83203125" style="71" customWidth="1"/>
    <col min="4" max="4" width="12.83203125" style="103" customWidth="1"/>
    <col min="5" max="5" width="9" style="71" bestFit="1" customWidth="1"/>
    <col min="6" max="6" width="12.33203125" style="104" customWidth="1"/>
    <col min="7" max="7" width="16.33203125" style="104" customWidth="1"/>
    <col min="8" max="8" width="15" style="71" customWidth="1"/>
    <col min="9" max="9" width="16.33203125" style="105" customWidth="1"/>
    <col min="10" max="10" width="19.1640625" style="71" customWidth="1"/>
    <col min="11" max="11" width="13.33203125" style="105" customWidth="1"/>
    <col min="12" max="12" width="10.83203125" style="71" customWidth="1"/>
    <col min="13" max="14" width="11.33203125" style="71" customWidth="1"/>
    <col min="15" max="15" width="10.6640625" style="71" customWidth="1"/>
    <col min="16" max="16384" width="8.83203125" style="71"/>
  </cols>
  <sheetData>
    <row r="1" spans="2:15" ht="19" x14ac:dyDescent="0.25">
      <c r="B1" s="67" t="s">
        <v>243</v>
      </c>
      <c r="C1" s="68"/>
      <c r="D1" s="69"/>
      <c r="E1" s="68"/>
      <c r="F1" s="68"/>
      <c r="G1" s="69"/>
      <c r="H1" s="70"/>
      <c r="I1" s="69"/>
      <c r="J1" s="70"/>
      <c r="K1" s="69"/>
      <c r="L1" s="69"/>
      <c r="M1" s="69"/>
      <c r="N1" s="69"/>
    </row>
    <row r="2" spans="2:15" ht="20" thickBot="1" x14ac:dyDescent="0.3">
      <c r="B2" s="69"/>
      <c r="C2" s="68"/>
      <c r="D2" s="69"/>
      <c r="E2" s="68"/>
      <c r="F2" s="68"/>
      <c r="G2" s="69"/>
      <c r="H2" s="70"/>
      <c r="I2" s="69"/>
      <c r="J2" s="70"/>
      <c r="K2" s="69"/>
      <c r="L2" s="69"/>
      <c r="M2" s="69"/>
      <c r="N2" s="69"/>
    </row>
    <row r="3" spans="2:15" ht="80" x14ac:dyDescent="0.2">
      <c r="B3" s="72" t="s">
        <v>213</v>
      </c>
      <c r="C3" s="73" t="s">
        <v>214</v>
      </c>
      <c r="D3" s="73" t="s">
        <v>215</v>
      </c>
      <c r="E3" s="73" t="s">
        <v>216</v>
      </c>
      <c r="F3" s="74" t="s">
        <v>217</v>
      </c>
      <c r="G3" s="75" t="s">
        <v>244</v>
      </c>
      <c r="H3" s="160" t="s">
        <v>245</v>
      </c>
      <c r="I3" s="73" t="s">
        <v>246</v>
      </c>
      <c r="J3" s="161" t="s">
        <v>247</v>
      </c>
      <c r="K3" s="75" t="s">
        <v>248</v>
      </c>
      <c r="L3" s="73" t="s">
        <v>249</v>
      </c>
      <c r="M3" s="76" t="s">
        <v>250</v>
      </c>
      <c r="N3" s="77"/>
    </row>
    <row r="4" spans="2:15" ht="19" x14ac:dyDescent="0.25">
      <c r="B4" s="78">
        <v>44197</v>
      </c>
      <c r="C4" s="79">
        <v>25000</v>
      </c>
      <c r="D4" s="69" t="s">
        <v>218</v>
      </c>
      <c r="E4" s="80">
        <v>0.06</v>
      </c>
      <c r="F4" s="81">
        <v>44926.25</v>
      </c>
      <c r="G4" s="82"/>
      <c r="H4" s="83"/>
      <c r="I4" s="82"/>
      <c r="J4" s="83"/>
      <c r="K4" s="84"/>
      <c r="L4" s="85"/>
      <c r="M4" s="86">
        <f>(K4+L4)/2</f>
        <v>0</v>
      </c>
      <c r="N4" s="69"/>
      <c r="O4" s="87"/>
    </row>
    <row r="5" spans="2:15" ht="19" x14ac:dyDescent="0.25">
      <c r="B5" s="78">
        <v>44197</v>
      </c>
      <c r="C5" s="88">
        <v>65000</v>
      </c>
      <c r="D5" s="69" t="s">
        <v>219</v>
      </c>
      <c r="E5" s="89">
        <v>0.06</v>
      </c>
      <c r="F5" s="81">
        <v>44926.25</v>
      </c>
      <c r="G5" s="82"/>
      <c r="H5" s="83"/>
      <c r="I5" s="82"/>
      <c r="J5" s="83"/>
      <c r="K5" s="84"/>
      <c r="L5" s="85"/>
      <c r="M5" s="86">
        <f t="shared" ref="M5:M23" si="0">(K5+L5)/2</f>
        <v>0</v>
      </c>
      <c r="N5" s="69"/>
      <c r="O5" s="90"/>
    </row>
    <row r="6" spans="2:15" ht="19" x14ac:dyDescent="0.25">
      <c r="B6" s="78">
        <v>44197</v>
      </c>
      <c r="C6" s="88">
        <v>30000</v>
      </c>
      <c r="D6" s="69" t="s">
        <v>220</v>
      </c>
      <c r="E6" s="89">
        <v>6.3E-2</v>
      </c>
      <c r="F6" s="81">
        <v>44926.25</v>
      </c>
      <c r="G6" s="82"/>
      <c r="H6" s="83"/>
      <c r="I6" s="82"/>
      <c r="J6" s="83"/>
      <c r="K6" s="84"/>
      <c r="L6" s="85"/>
      <c r="M6" s="86">
        <f t="shared" si="0"/>
        <v>0</v>
      </c>
      <c r="N6" s="69"/>
      <c r="O6" s="90"/>
    </row>
    <row r="7" spans="2:15" ht="19" x14ac:dyDescent="0.25">
      <c r="B7" s="78">
        <v>44197</v>
      </c>
      <c r="C7" s="88">
        <v>50000</v>
      </c>
      <c r="D7" s="69" t="s">
        <v>221</v>
      </c>
      <c r="E7" s="89">
        <v>6.3E-2</v>
      </c>
      <c r="F7" s="81">
        <v>44926.25</v>
      </c>
      <c r="G7" s="82"/>
      <c r="H7" s="83"/>
      <c r="I7" s="82"/>
      <c r="J7" s="83"/>
      <c r="K7" s="84"/>
      <c r="L7" s="85"/>
      <c r="M7" s="86">
        <f t="shared" si="0"/>
        <v>0</v>
      </c>
      <c r="N7" s="69"/>
      <c r="O7" s="90"/>
    </row>
    <row r="8" spans="2:15" ht="19" x14ac:dyDescent="0.25">
      <c r="B8" s="78">
        <v>44227.25</v>
      </c>
      <c r="C8" s="88">
        <v>15000</v>
      </c>
      <c r="D8" s="69" t="s">
        <v>222</v>
      </c>
      <c r="E8" s="89">
        <v>6.5000000000000002E-2</v>
      </c>
      <c r="F8" s="81">
        <v>45322.25</v>
      </c>
      <c r="G8" s="82"/>
      <c r="H8" s="83"/>
      <c r="I8" s="82"/>
      <c r="J8" s="83"/>
      <c r="K8" s="84"/>
      <c r="L8" s="85"/>
      <c r="M8" s="86">
        <f t="shared" si="0"/>
        <v>0</v>
      </c>
      <c r="N8" s="69"/>
      <c r="O8" s="90"/>
    </row>
    <row r="9" spans="2:15" ht="19" x14ac:dyDescent="0.25">
      <c r="B9" s="78">
        <v>44227.25</v>
      </c>
      <c r="C9" s="88">
        <v>25000</v>
      </c>
      <c r="D9" s="69" t="s">
        <v>223</v>
      </c>
      <c r="E9" s="89">
        <v>6.5000000000000002E-2</v>
      </c>
      <c r="F9" s="81">
        <v>45322.25</v>
      </c>
      <c r="G9" s="82"/>
      <c r="H9" s="83"/>
      <c r="I9" s="82"/>
      <c r="J9" s="83"/>
      <c r="K9" s="84"/>
      <c r="L9" s="85"/>
      <c r="M9" s="86">
        <f t="shared" si="0"/>
        <v>0</v>
      </c>
      <c r="N9" s="69"/>
      <c r="O9" s="90"/>
    </row>
    <row r="10" spans="2:15" ht="19" x14ac:dyDescent="0.25">
      <c r="B10" s="78">
        <v>44227.25</v>
      </c>
      <c r="C10" s="88">
        <v>35000</v>
      </c>
      <c r="D10" s="69" t="s">
        <v>224</v>
      </c>
      <c r="E10" s="89">
        <v>7.0000000000000007E-2</v>
      </c>
      <c r="F10" s="81">
        <v>45322.25</v>
      </c>
      <c r="G10" s="82"/>
      <c r="H10" s="83"/>
      <c r="I10" s="82"/>
      <c r="J10" s="83"/>
      <c r="K10" s="84"/>
      <c r="L10" s="85"/>
      <c r="M10" s="86">
        <f t="shared" si="0"/>
        <v>0</v>
      </c>
      <c r="N10" s="69"/>
      <c r="O10" s="90"/>
    </row>
    <row r="11" spans="2:15" ht="19" x14ac:dyDescent="0.25">
      <c r="B11" s="78">
        <v>44227.25</v>
      </c>
      <c r="C11" s="88">
        <v>40000</v>
      </c>
      <c r="D11" s="69" t="s">
        <v>225</v>
      </c>
      <c r="E11" s="89">
        <v>7.0000000000000007E-2</v>
      </c>
      <c r="F11" s="81">
        <v>45322.25</v>
      </c>
      <c r="G11" s="82"/>
      <c r="H11" s="83"/>
      <c r="I11" s="82"/>
      <c r="J11" s="83"/>
      <c r="K11" s="84"/>
      <c r="L11" s="85"/>
      <c r="M11" s="86">
        <f t="shared" si="0"/>
        <v>0</v>
      </c>
      <c r="N11" s="69"/>
      <c r="O11" s="90"/>
    </row>
    <row r="12" spans="2:15" ht="19" x14ac:dyDescent="0.25">
      <c r="B12" s="78">
        <v>44255</v>
      </c>
      <c r="C12" s="88">
        <v>75000</v>
      </c>
      <c r="D12" s="69" t="s">
        <v>226</v>
      </c>
      <c r="E12" s="89">
        <v>0.08</v>
      </c>
      <c r="F12" s="81">
        <v>45350.25</v>
      </c>
      <c r="G12" s="82"/>
      <c r="H12" s="83"/>
      <c r="I12" s="82"/>
      <c r="J12" s="83"/>
      <c r="K12" s="84"/>
      <c r="L12" s="85"/>
      <c r="M12" s="86">
        <f t="shared" si="0"/>
        <v>0</v>
      </c>
      <c r="N12" s="69"/>
      <c r="O12" s="90"/>
    </row>
    <row r="13" spans="2:15" ht="19" x14ac:dyDescent="0.25">
      <c r="B13" s="78">
        <v>44255</v>
      </c>
      <c r="C13" s="88">
        <v>55000</v>
      </c>
      <c r="D13" s="69" t="s">
        <v>227</v>
      </c>
      <c r="E13" s="89">
        <v>0.08</v>
      </c>
      <c r="F13" s="81">
        <v>45350.25</v>
      </c>
      <c r="G13" s="82"/>
      <c r="H13" s="83"/>
      <c r="I13" s="82"/>
      <c r="J13" s="83"/>
      <c r="K13" s="84"/>
      <c r="L13" s="85"/>
      <c r="M13" s="86">
        <f t="shared" si="0"/>
        <v>0</v>
      </c>
      <c r="N13" s="69"/>
      <c r="O13" s="90"/>
    </row>
    <row r="14" spans="2:15" ht="19" x14ac:dyDescent="0.25">
      <c r="B14" s="78">
        <v>44255</v>
      </c>
      <c r="C14" s="88">
        <v>90000</v>
      </c>
      <c r="D14" s="69" t="s">
        <v>228</v>
      </c>
      <c r="E14" s="89">
        <v>0.06</v>
      </c>
      <c r="F14" s="81">
        <v>45350.25</v>
      </c>
      <c r="G14" s="82"/>
      <c r="H14" s="83"/>
      <c r="I14" s="82"/>
      <c r="J14" s="83"/>
      <c r="K14" s="84"/>
      <c r="L14" s="85"/>
      <c r="M14" s="86">
        <f t="shared" si="0"/>
        <v>0</v>
      </c>
      <c r="N14" s="69"/>
      <c r="O14" s="90"/>
    </row>
    <row r="15" spans="2:15" ht="19" x14ac:dyDescent="0.25">
      <c r="B15" s="78">
        <v>44255</v>
      </c>
      <c r="C15" s="88">
        <v>10000</v>
      </c>
      <c r="D15" s="69" t="s">
        <v>229</v>
      </c>
      <c r="E15" s="89">
        <v>0.06</v>
      </c>
      <c r="F15" s="81">
        <v>45350.25</v>
      </c>
      <c r="G15" s="82"/>
      <c r="H15" s="83"/>
      <c r="I15" s="82"/>
      <c r="J15" s="83"/>
      <c r="K15" s="84"/>
      <c r="L15" s="85"/>
      <c r="M15" s="86">
        <f t="shared" si="0"/>
        <v>0</v>
      </c>
      <c r="N15" s="69"/>
      <c r="O15" s="90"/>
    </row>
    <row r="16" spans="2:15" ht="19" x14ac:dyDescent="0.25">
      <c r="B16" s="78">
        <v>44286.25</v>
      </c>
      <c r="C16" s="88">
        <v>50000</v>
      </c>
      <c r="D16" s="69" t="s">
        <v>230</v>
      </c>
      <c r="E16" s="89">
        <v>7.0000000000000007E-2</v>
      </c>
      <c r="F16" s="81">
        <v>45747.25</v>
      </c>
      <c r="G16" s="82"/>
      <c r="H16" s="83"/>
      <c r="I16" s="82"/>
      <c r="J16" s="83"/>
      <c r="K16" s="84"/>
      <c r="L16" s="85"/>
      <c r="M16" s="86">
        <f t="shared" si="0"/>
        <v>0</v>
      </c>
      <c r="N16" s="69"/>
      <c r="O16" s="90"/>
    </row>
    <row r="17" spans="2:15" ht="19" x14ac:dyDescent="0.25">
      <c r="B17" s="78">
        <v>44286.25</v>
      </c>
      <c r="C17" s="88">
        <v>60000</v>
      </c>
      <c r="D17" s="69" t="s">
        <v>231</v>
      </c>
      <c r="E17" s="89">
        <v>7.0000000000000007E-2</v>
      </c>
      <c r="F17" s="81">
        <v>45747.25</v>
      </c>
      <c r="G17" s="82"/>
      <c r="H17" s="83"/>
      <c r="I17" s="82"/>
      <c r="J17" s="83"/>
      <c r="K17" s="84"/>
      <c r="L17" s="85"/>
      <c r="M17" s="86">
        <f t="shared" si="0"/>
        <v>0</v>
      </c>
      <c r="N17" s="69"/>
      <c r="O17" s="90"/>
    </row>
    <row r="18" spans="2:15" ht="19" x14ac:dyDescent="0.25">
      <c r="B18" s="78">
        <v>44286.25</v>
      </c>
      <c r="C18" s="88">
        <v>25000</v>
      </c>
      <c r="D18" s="69" t="s">
        <v>232</v>
      </c>
      <c r="E18" s="89">
        <v>7.4999999999999997E-2</v>
      </c>
      <c r="F18" s="81">
        <v>45747.25</v>
      </c>
      <c r="G18" s="82"/>
      <c r="H18" s="83"/>
      <c r="I18" s="82"/>
      <c r="J18" s="83"/>
      <c r="K18" s="84"/>
      <c r="L18" s="85"/>
      <c r="M18" s="86">
        <f t="shared" si="0"/>
        <v>0</v>
      </c>
      <c r="N18" s="69"/>
      <c r="O18" s="90"/>
    </row>
    <row r="19" spans="2:15" ht="19" x14ac:dyDescent="0.25">
      <c r="B19" s="78">
        <v>44286.25</v>
      </c>
      <c r="C19" s="88">
        <v>45000</v>
      </c>
      <c r="D19" s="69" t="s">
        <v>233</v>
      </c>
      <c r="E19" s="89">
        <v>7.4999999999999997E-2</v>
      </c>
      <c r="F19" s="81">
        <v>45747.25</v>
      </c>
      <c r="G19" s="82"/>
      <c r="H19" s="83"/>
      <c r="I19" s="82"/>
      <c r="J19" s="83"/>
      <c r="K19" s="84"/>
      <c r="L19" s="85"/>
      <c r="M19" s="86">
        <f t="shared" si="0"/>
        <v>0</v>
      </c>
      <c r="N19" s="69"/>
      <c r="O19" s="90"/>
    </row>
    <row r="20" spans="2:15" ht="19" x14ac:dyDescent="0.25">
      <c r="B20" s="78">
        <v>44316.25</v>
      </c>
      <c r="C20" s="88">
        <v>40000</v>
      </c>
      <c r="D20" s="69" t="s">
        <v>234</v>
      </c>
      <c r="E20" s="89">
        <v>0.06</v>
      </c>
      <c r="F20" s="81">
        <v>45046.25</v>
      </c>
      <c r="G20" s="82"/>
      <c r="H20" s="83"/>
      <c r="I20" s="82"/>
      <c r="J20" s="83"/>
      <c r="K20" s="84"/>
      <c r="L20" s="85"/>
      <c r="M20" s="86">
        <f t="shared" si="0"/>
        <v>0</v>
      </c>
      <c r="N20" s="69"/>
      <c r="O20" s="90"/>
    </row>
    <row r="21" spans="2:15" ht="19" x14ac:dyDescent="0.25">
      <c r="B21" s="78">
        <v>44316.25</v>
      </c>
      <c r="C21" s="88">
        <v>60000</v>
      </c>
      <c r="D21" s="69" t="s">
        <v>235</v>
      </c>
      <c r="E21" s="89">
        <v>0.06</v>
      </c>
      <c r="F21" s="81">
        <v>45046.25</v>
      </c>
      <c r="G21" s="82"/>
      <c r="H21" s="83"/>
      <c r="I21" s="82"/>
      <c r="J21" s="83"/>
      <c r="K21" s="84"/>
      <c r="L21" s="85"/>
      <c r="M21" s="86">
        <f t="shared" si="0"/>
        <v>0</v>
      </c>
      <c r="N21" s="69"/>
      <c r="O21" s="90"/>
    </row>
    <row r="22" spans="2:15" ht="19" x14ac:dyDescent="0.25">
      <c r="B22" s="78">
        <v>44316.25</v>
      </c>
      <c r="C22" s="88">
        <v>50000</v>
      </c>
      <c r="D22" s="69" t="s">
        <v>236</v>
      </c>
      <c r="E22" s="89">
        <v>6.3E-2</v>
      </c>
      <c r="F22" s="81">
        <v>45046.25</v>
      </c>
      <c r="G22" s="82"/>
      <c r="H22" s="83"/>
      <c r="I22" s="82"/>
      <c r="J22" s="83"/>
      <c r="K22" s="84"/>
      <c r="L22" s="85"/>
      <c r="M22" s="86">
        <f t="shared" si="0"/>
        <v>0</v>
      </c>
      <c r="N22" s="69"/>
      <c r="O22" s="90"/>
    </row>
    <row r="23" spans="2:15" ht="20" thickBot="1" x14ac:dyDescent="0.3">
      <c r="B23" s="91">
        <v>44316.25</v>
      </c>
      <c r="C23" s="92">
        <v>25000</v>
      </c>
      <c r="D23" s="93" t="s">
        <v>237</v>
      </c>
      <c r="E23" s="94">
        <v>6.3E-2</v>
      </c>
      <c r="F23" s="95">
        <v>45046.25</v>
      </c>
      <c r="G23" s="96"/>
      <c r="H23" s="97"/>
      <c r="I23" s="96"/>
      <c r="J23" s="97"/>
      <c r="K23" s="98"/>
      <c r="L23" s="99"/>
      <c r="M23" s="100">
        <f t="shared" si="0"/>
        <v>0</v>
      </c>
      <c r="N23" s="69"/>
      <c r="O23" s="90"/>
    </row>
    <row r="24" spans="2:15" ht="19" x14ac:dyDescent="0.25">
      <c r="B24" s="69"/>
      <c r="C24" s="68"/>
      <c r="D24" s="69"/>
      <c r="E24" s="68"/>
      <c r="F24" s="68"/>
      <c r="G24" s="69"/>
      <c r="H24" s="70"/>
      <c r="I24" s="69"/>
      <c r="J24" s="70"/>
      <c r="K24" s="69"/>
      <c r="L24" s="69"/>
      <c r="M24" s="69"/>
      <c r="N24" s="69"/>
      <c r="O24" s="90"/>
    </row>
    <row r="25" spans="2:15" ht="19" x14ac:dyDescent="0.25">
      <c r="B25" s="69"/>
      <c r="C25" s="68"/>
      <c r="D25" s="69"/>
      <c r="E25" s="68"/>
      <c r="F25" s="68"/>
      <c r="G25" s="69"/>
      <c r="H25" s="70"/>
      <c r="I25" s="101" t="s">
        <v>251</v>
      </c>
      <c r="J25" s="70"/>
      <c r="K25" s="102">
        <f>SUM(K4:K23)</f>
        <v>0</v>
      </c>
      <c r="L25" s="102">
        <f>SUM(L4:L23)</f>
        <v>0</v>
      </c>
      <c r="M25" s="102">
        <f>SUM(M4:M23)</f>
        <v>0</v>
      </c>
      <c r="N25" s="6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86A7A-B960-CC4F-8482-6BA91BE85DBB}">
  <sheetPr>
    <tabColor rgb="FFFFFF00"/>
  </sheetPr>
  <dimension ref="B1:C46"/>
  <sheetViews>
    <sheetView showGridLines="0" zoomScaleNormal="100" workbookViewId="0"/>
  </sheetViews>
  <sheetFormatPr baseColWidth="10" defaultColWidth="8.83203125" defaultRowHeight="15" x14ac:dyDescent="0.2"/>
  <cols>
    <col min="1" max="1" width="2.83203125" style="44" customWidth="1"/>
    <col min="2" max="2" width="27.6640625" style="44" customWidth="1"/>
    <col min="3" max="3" width="168.33203125" style="44" customWidth="1"/>
    <col min="4" max="5" width="8.83203125" style="44"/>
    <col min="6" max="6" width="36.33203125" style="44" bestFit="1" customWidth="1"/>
    <col min="7" max="16384" width="8.83203125" style="44"/>
  </cols>
  <sheetData>
    <row r="1" spans="2:3" ht="22" thickBot="1" x14ac:dyDescent="0.3">
      <c r="B1" s="106"/>
      <c r="C1" s="107" t="s">
        <v>189</v>
      </c>
    </row>
    <row r="2" spans="2:3" ht="22" x14ac:dyDescent="0.2">
      <c r="B2" s="141" t="s">
        <v>190</v>
      </c>
      <c r="C2" s="108" t="s">
        <v>379</v>
      </c>
    </row>
    <row r="3" spans="2:3" ht="22" x14ac:dyDescent="0.2">
      <c r="B3" s="142"/>
      <c r="C3" s="138" t="s">
        <v>360</v>
      </c>
    </row>
    <row r="4" spans="2:3" ht="22" x14ac:dyDescent="0.2">
      <c r="B4" s="142"/>
      <c r="C4" s="138" t="s">
        <v>361</v>
      </c>
    </row>
    <row r="5" spans="2:3" ht="21" x14ac:dyDescent="0.2">
      <c r="B5" s="142"/>
      <c r="C5" s="109"/>
    </row>
    <row r="6" spans="2:3" ht="22" x14ac:dyDescent="0.2">
      <c r="B6" s="142"/>
      <c r="C6" s="110" t="s">
        <v>350</v>
      </c>
    </row>
    <row r="7" spans="2:3" ht="22" x14ac:dyDescent="0.2">
      <c r="B7" s="142"/>
      <c r="C7" s="109" t="s">
        <v>354</v>
      </c>
    </row>
    <row r="8" spans="2:3" ht="22" x14ac:dyDescent="0.2">
      <c r="B8" s="142"/>
      <c r="C8" s="109" t="s">
        <v>359</v>
      </c>
    </row>
    <row r="9" spans="2:3" ht="22" x14ac:dyDescent="0.2">
      <c r="B9" s="142"/>
      <c r="C9" s="109" t="s">
        <v>252</v>
      </c>
    </row>
    <row r="10" spans="2:3" ht="21" x14ac:dyDescent="0.2">
      <c r="B10" s="142"/>
      <c r="C10" s="109"/>
    </row>
    <row r="11" spans="2:3" ht="22" x14ac:dyDescent="0.2">
      <c r="B11" s="142"/>
      <c r="C11" s="110" t="s">
        <v>351</v>
      </c>
    </row>
    <row r="12" spans="2:3" ht="22" x14ac:dyDescent="0.2">
      <c r="B12" s="142"/>
      <c r="C12" s="109" t="s">
        <v>355</v>
      </c>
    </row>
    <row r="13" spans="2:3" ht="22" x14ac:dyDescent="0.2">
      <c r="B13" s="142"/>
      <c r="C13" s="109" t="s">
        <v>359</v>
      </c>
    </row>
    <row r="14" spans="2:3" ht="22" x14ac:dyDescent="0.2">
      <c r="B14" s="142"/>
      <c r="C14" s="109" t="s">
        <v>356</v>
      </c>
    </row>
    <row r="15" spans="2:3" ht="21" x14ac:dyDescent="0.2">
      <c r="B15" s="142"/>
      <c r="C15" s="109"/>
    </row>
    <row r="16" spans="2:3" ht="22" x14ac:dyDescent="0.2">
      <c r="B16" s="142"/>
      <c r="C16" s="110" t="s">
        <v>352</v>
      </c>
    </row>
    <row r="17" spans="2:3" ht="22" x14ac:dyDescent="0.2">
      <c r="B17" s="142"/>
      <c r="C17" s="109" t="s">
        <v>357</v>
      </c>
    </row>
    <row r="18" spans="2:3" ht="22" x14ac:dyDescent="0.2">
      <c r="B18" s="142"/>
      <c r="C18" s="109" t="s">
        <v>359</v>
      </c>
    </row>
    <row r="19" spans="2:3" ht="22" x14ac:dyDescent="0.2">
      <c r="B19" s="142"/>
      <c r="C19" s="109" t="s">
        <v>252</v>
      </c>
    </row>
    <row r="20" spans="2:3" ht="21" x14ac:dyDescent="0.2">
      <c r="B20" s="142"/>
      <c r="C20" s="111"/>
    </row>
    <row r="21" spans="2:3" ht="22" x14ac:dyDescent="0.2">
      <c r="B21" s="142"/>
      <c r="C21" s="110" t="s">
        <v>353</v>
      </c>
    </row>
    <row r="22" spans="2:3" ht="22" x14ac:dyDescent="0.2">
      <c r="B22" s="142"/>
      <c r="C22" s="109" t="s">
        <v>358</v>
      </c>
    </row>
    <row r="23" spans="2:3" ht="22" x14ac:dyDescent="0.2">
      <c r="B23" s="142"/>
      <c r="C23" s="109" t="s">
        <v>359</v>
      </c>
    </row>
    <row r="24" spans="2:3" ht="22" x14ac:dyDescent="0.2">
      <c r="B24" s="142"/>
      <c r="C24" s="109" t="s">
        <v>356</v>
      </c>
    </row>
    <row r="25" spans="2:3" ht="22" thickBot="1" x14ac:dyDescent="0.25">
      <c r="B25" s="143"/>
      <c r="C25" s="112"/>
    </row>
    <row r="26" spans="2:3" ht="21" x14ac:dyDescent="0.2">
      <c r="B26" s="141" t="s">
        <v>207</v>
      </c>
      <c r="C26" s="132"/>
    </row>
    <row r="27" spans="2:3" ht="22" x14ac:dyDescent="0.2">
      <c r="B27" s="142"/>
      <c r="C27" s="133" t="s">
        <v>362</v>
      </c>
    </row>
    <row r="28" spans="2:3" ht="21" x14ac:dyDescent="0.2">
      <c r="B28" s="142"/>
      <c r="C28" s="139"/>
    </row>
    <row r="29" spans="2:3" ht="22" x14ac:dyDescent="0.2">
      <c r="B29" s="142"/>
      <c r="C29" s="133" t="s">
        <v>363</v>
      </c>
    </row>
    <row r="30" spans="2:3" ht="21" x14ac:dyDescent="0.2">
      <c r="B30" s="142"/>
      <c r="C30" s="139"/>
    </row>
    <row r="31" spans="2:3" ht="22" x14ac:dyDescent="0.2">
      <c r="B31" s="142"/>
      <c r="C31" s="133" t="s">
        <v>364</v>
      </c>
    </row>
    <row r="32" spans="2:3" ht="21" x14ac:dyDescent="0.2">
      <c r="B32" s="142"/>
      <c r="C32" s="139"/>
    </row>
    <row r="33" spans="2:3" ht="22" x14ac:dyDescent="0.2">
      <c r="B33" s="142"/>
      <c r="C33" s="133" t="s">
        <v>365</v>
      </c>
    </row>
    <row r="34" spans="2:3" ht="21" x14ac:dyDescent="0.2">
      <c r="B34" s="142"/>
      <c r="C34" s="139"/>
    </row>
    <row r="35" spans="2:3" ht="22" x14ac:dyDescent="0.2">
      <c r="B35" s="142"/>
      <c r="C35" s="133" t="s">
        <v>366</v>
      </c>
    </row>
    <row r="36" spans="2:3" ht="21" x14ac:dyDescent="0.2">
      <c r="B36" s="142"/>
      <c r="C36" s="139"/>
    </row>
    <row r="37" spans="2:3" ht="21" x14ac:dyDescent="0.2">
      <c r="B37" s="142"/>
      <c r="C37" s="139"/>
    </row>
    <row r="38" spans="2:3" ht="21" x14ac:dyDescent="0.2">
      <c r="B38" s="142"/>
      <c r="C38" s="139"/>
    </row>
    <row r="39" spans="2:3" ht="21" x14ac:dyDescent="0.2">
      <c r="B39" s="142"/>
      <c r="C39" s="139"/>
    </row>
    <row r="40" spans="2:3" ht="22" x14ac:dyDescent="0.2">
      <c r="B40" s="142"/>
      <c r="C40" s="133" t="s">
        <v>369</v>
      </c>
    </row>
    <row r="41" spans="2:3" ht="21" x14ac:dyDescent="0.2">
      <c r="B41" s="142"/>
      <c r="C41" s="140"/>
    </row>
    <row r="42" spans="2:3" ht="21" x14ac:dyDescent="0.2">
      <c r="B42" s="142" t="s">
        <v>367</v>
      </c>
      <c r="C42" s="134"/>
    </row>
    <row r="43" spans="2:3" ht="21" x14ac:dyDescent="0.2">
      <c r="B43" s="142"/>
      <c r="C43" s="136" t="s">
        <v>368</v>
      </c>
    </row>
    <row r="44" spans="2:3" ht="22" x14ac:dyDescent="0.2">
      <c r="B44" s="142"/>
      <c r="C44" s="135" t="s">
        <v>253</v>
      </c>
    </row>
    <row r="45" spans="2:3" ht="20" x14ac:dyDescent="0.2">
      <c r="B45" s="142"/>
      <c r="C45" s="136"/>
    </row>
    <row r="46" spans="2:3" ht="21" x14ac:dyDescent="0.2">
      <c r="B46" s="143"/>
      <c r="C46" s="137"/>
    </row>
  </sheetData>
  <mergeCells count="3">
    <mergeCell ref="B2:B25"/>
    <mergeCell ref="B26:B41"/>
    <mergeCell ref="B42:B46"/>
  </mergeCells>
  <hyperlinks>
    <hyperlink ref="C44" r:id="rId1" display="Moody’s corporate default rates (Exhibit 35, p. 43):" xr:uid="{93C5DDA8-EE9D-3B4A-AE69-AD19D9C5E417}"/>
  </hyperlinks>
  <pageMargins left="0.7" right="0.7" top="0.75" bottom="0.75" header="0.3" footer="0.3"/>
  <pageSetup paperSize="9" fitToWidth="0"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641EE-2336-0D47-B14D-E7D30E146022}">
  <sheetPr>
    <tabColor rgb="FFFFFF00"/>
  </sheetPr>
  <dimension ref="A1"/>
  <sheetViews>
    <sheetView workbookViewId="0"/>
  </sheetViews>
  <sheetFormatPr baseColWidth="10" defaultRowHeight="26" x14ac:dyDescent="0.3"/>
  <cols>
    <col min="1" max="16384" width="10.83203125" style="37"/>
  </cols>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2:B8"/>
  <sheetViews>
    <sheetView workbookViewId="0"/>
  </sheetViews>
  <sheetFormatPr baseColWidth="10" defaultRowHeight="29" x14ac:dyDescent="0.35"/>
  <cols>
    <col min="1" max="16384" width="10.83203125" style="1"/>
  </cols>
  <sheetData>
    <row r="2" spans="2:2" x14ac:dyDescent="0.35">
      <c r="B2" s="1" t="s">
        <v>129</v>
      </c>
    </row>
    <row r="4" spans="2:2" x14ac:dyDescent="0.35">
      <c r="B4" s="1" t="s">
        <v>133</v>
      </c>
    </row>
    <row r="6" spans="2:2" x14ac:dyDescent="0.35">
      <c r="B6" s="1" t="s">
        <v>131</v>
      </c>
    </row>
    <row r="8" spans="2:2" x14ac:dyDescent="0.35">
      <c r="B8" s="1" t="s">
        <v>132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2"/>
  <sheetViews>
    <sheetView workbookViewId="0"/>
  </sheetViews>
  <sheetFormatPr baseColWidth="10" defaultRowHeight="29" x14ac:dyDescent="0.35"/>
  <cols>
    <col min="1" max="16384" width="10.83203125" style="1"/>
  </cols>
  <sheetData>
    <row r="2" spans="2:2" x14ac:dyDescent="0.35">
      <c r="B2" s="1" t="s">
        <v>314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59</vt:i4>
      </vt:variant>
    </vt:vector>
  </HeadingPairs>
  <TitlesOfParts>
    <vt:vector size="82" baseType="lpstr">
      <vt:lpstr>Class6</vt:lpstr>
      <vt:lpstr>AltmansZ</vt:lpstr>
      <vt:lpstr>AltmansZQuestion</vt:lpstr>
      <vt:lpstr>CreditMatrix</vt:lpstr>
      <vt:lpstr>CreditMatrix_Weighted</vt:lpstr>
      <vt:lpstr>CreditMatrix_Loss</vt:lpstr>
      <vt:lpstr>Merton1</vt:lpstr>
      <vt:lpstr>Merton2</vt:lpstr>
      <vt:lpstr>ELoss</vt:lpstr>
      <vt:lpstr>CVA</vt:lpstr>
      <vt:lpstr>CVA_Sim</vt:lpstr>
      <vt:lpstr>Homework</vt:lpstr>
      <vt:lpstr>Q_AltmansZ</vt:lpstr>
      <vt:lpstr>Q_TMat</vt:lpstr>
      <vt:lpstr>CQ3_MM</vt:lpstr>
      <vt:lpstr>Models</vt:lpstr>
      <vt:lpstr>PD</vt:lpstr>
      <vt:lpstr>EAD</vt:lpstr>
      <vt:lpstr>EAD_Workspace</vt:lpstr>
      <vt:lpstr>LGD</vt:lpstr>
      <vt:lpstr>CreditRatings</vt:lpstr>
      <vt:lpstr>Remember</vt:lpstr>
      <vt:lpstr>Discussion</vt:lpstr>
      <vt:lpstr>Merton2!D</vt:lpstr>
      <vt:lpstr>D0</vt:lpstr>
      <vt:lpstr>Merton2!d2_</vt:lpstr>
      <vt:lpstr>Dmarket</vt:lpstr>
      <vt:lpstr>E0</vt:lpstr>
      <vt:lpstr>EEc</vt:lpstr>
      <vt:lpstr>ET</vt:lpstr>
      <vt:lpstr>K</vt:lpstr>
      <vt:lpstr>LGD</vt:lpstr>
      <vt:lpstr>LGDc</vt:lpstr>
      <vt:lpstr>Merton2!N_d1</vt:lpstr>
      <vt:lpstr>Merton2!N_d2</vt:lpstr>
      <vt:lpstr>P0</vt:lpstr>
      <vt:lpstr>PD</vt:lpstr>
      <vt:lpstr>Merton2!r_</vt:lpstr>
      <vt:lpstr>CreditMatrix_Loss!RatingLast</vt:lpstr>
      <vt:lpstr>CreditMatrix_Weighted!RatingLast</vt:lpstr>
      <vt:lpstr>Q_TMat!RatingLast</vt:lpstr>
      <vt:lpstr>RatingLast</vt:lpstr>
      <vt:lpstr>CreditMatrix_Loss!RatingNow</vt:lpstr>
      <vt:lpstr>CreditMatrix_Weighted!RatingNow</vt:lpstr>
      <vt:lpstr>Q_TMat!RatingNow</vt:lpstr>
      <vt:lpstr>RatingNow</vt:lpstr>
      <vt:lpstr>CreditMatrix_Loss!ratingsTbl</vt:lpstr>
      <vt:lpstr>CreditMatrix_Weighted!ratingsTbl</vt:lpstr>
      <vt:lpstr>Q_TMat!ratingsTbl</vt:lpstr>
      <vt:lpstr>ratingsTbl</vt:lpstr>
      <vt:lpstr>RR</vt:lpstr>
      <vt:lpstr>sE</vt:lpstr>
      <vt:lpstr>Sim1_</vt:lpstr>
      <vt:lpstr>Sim10_</vt:lpstr>
      <vt:lpstr>Sim2_</vt:lpstr>
      <vt:lpstr>Sim3_</vt:lpstr>
      <vt:lpstr>Sim4_</vt:lpstr>
      <vt:lpstr>Sim5_</vt:lpstr>
      <vt:lpstr>Sim6_</vt:lpstr>
      <vt:lpstr>Sim7_</vt:lpstr>
      <vt:lpstr>Sim8_</vt:lpstr>
      <vt:lpstr>Sim9_</vt:lpstr>
      <vt:lpstr>sV</vt:lpstr>
      <vt:lpstr>Merton2!T</vt:lpstr>
      <vt:lpstr>time0</vt:lpstr>
      <vt:lpstr>time1</vt:lpstr>
      <vt:lpstr>time10</vt:lpstr>
      <vt:lpstr>time11</vt:lpstr>
      <vt:lpstr>time12</vt:lpstr>
      <vt:lpstr>time2</vt:lpstr>
      <vt:lpstr>time3</vt:lpstr>
      <vt:lpstr>time4</vt:lpstr>
      <vt:lpstr>time5</vt:lpstr>
      <vt:lpstr>time6</vt:lpstr>
      <vt:lpstr>time7</vt:lpstr>
      <vt:lpstr>time8</vt:lpstr>
      <vt:lpstr>time9</vt:lpstr>
      <vt:lpstr>V0</vt:lpstr>
      <vt:lpstr>VT</vt:lpstr>
      <vt:lpstr>CreditMatrix_Loss!weight</vt:lpstr>
      <vt:lpstr>Q_TMat!weight</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2017-06-30T14:38:47Z</dcterms:created>
  <dcterms:modified xsi:type="dcterms:W3CDTF">2023-02-22T21:30:43Z</dcterms:modified>
</cp:coreProperties>
</file>