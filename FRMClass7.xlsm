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vidromoff/Downloads/frmout/here/"/>
    </mc:Choice>
  </mc:AlternateContent>
  <xr:revisionPtr revIDLastSave="0" documentId="13_ncr:1_{63FB1960-8E90-9542-AD5E-015B679882CF}" xr6:coauthVersionLast="47" xr6:coauthVersionMax="47" xr10:uidLastSave="{00000000-0000-0000-0000-000000000000}"/>
  <bookViews>
    <workbookView xWindow="0" yWindow="0" windowWidth="28800" windowHeight="16200" tabRatio="500" xr2:uid="{00000000-000D-0000-FFFF-FFFF00000000}"/>
  </bookViews>
  <sheets>
    <sheet name="Class7" sheetId="5" r:id="rId1"/>
    <sheet name="Spreads" sheetId="45" r:id="rId2"/>
    <sheet name="CDS" sheetId="18" state="hidden" r:id="rId3"/>
    <sheet name="ELoss" sheetId="21" state="hidden" r:id="rId4"/>
    <sheet name="Spread2PD" sheetId="20" state="hidden" r:id="rId5"/>
    <sheet name="CreditMetrics" sheetId="48" r:id="rId6"/>
    <sheet name="Tables" sheetId="38" state="hidden" r:id="rId7"/>
    <sheet name="TransSim" sheetId="41" state="hidden" r:id="rId8"/>
    <sheet name="Data" sheetId="42" state="hidden" r:id="rId9"/>
    <sheet name="Spread_PnL" sheetId="44" state="hidden" r:id="rId10"/>
    <sheet name="Loan_Management" sheetId="46" r:id="rId11"/>
    <sheet name="LoanCovenants" sheetId="8" state="hidden" r:id="rId12"/>
    <sheet name="LoanSegmentation" sheetId="2" state="hidden" r:id="rId13"/>
    <sheet name="CashVsProfit" sheetId="17" state="hidden" r:id="rId14"/>
    <sheet name="HazardRates" sheetId="47" r:id="rId15"/>
    <sheet name="HazardRate1" sheetId="28" state="hidden" r:id="rId16"/>
    <sheet name="HazardRate2" sheetId="29" state="hidden" r:id="rId17"/>
    <sheet name="HazardRate_Appendix" sheetId="30" state="hidden" r:id="rId18"/>
    <sheet name="Prep4NextClass" sheetId="23" r:id="rId19"/>
    <sheet name="Questions" sheetId="32" r:id="rId20"/>
    <sheet name="1_Spread2PD" sheetId="25" r:id="rId21"/>
    <sheet name="2_HazardRates" sheetId="31" r:id="rId22"/>
    <sheet name="Remember" sheetId="4" r:id="rId23"/>
  </sheets>
  <externalReferences>
    <externalReference r:id="rId24"/>
    <externalReference r:id="rId25"/>
  </externalReferences>
  <definedNames>
    <definedName name="A" localSheetId="8">Data!$I$31:$N$31</definedName>
    <definedName name="A" localSheetId="9">Spread_PnL!$I$31:$N$31</definedName>
    <definedName name="A" localSheetId="7">TransSim!$I$31:$N$31</definedName>
    <definedName name="A">#REF!</definedName>
    <definedName name="avg_hazard_rate">HazardRate2!$C$10</definedName>
    <definedName name="B" localSheetId="8">Data!$I$32:$N$32</definedName>
    <definedName name="B" localSheetId="9">Spread_PnL!$I$32:$N$32</definedName>
    <definedName name="B" localSheetId="7">TransSim!$I$32:$N$32</definedName>
    <definedName name="B">#REF!</definedName>
    <definedName name="Bond_Value" localSheetId="13">#REF!</definedName>
    <definedName name="Bond_Value" localSheetId="4">Spread2PD!$G$10:$G$19</definedName>
    <definedName name="Bond_Value_" localSheetId="13">#REF!</definedName>
    <definedName name="C_" localSheetId="8">Data!$I$33:$N$33</definedName>
    <definedName name="C_" localSheetId="9">Spread_PnL!$I$33:$N$33</definedName>
    <definedName name="C_" localSheetId="7">TransSim!$I$33:$N$33</definedName>
    <definedName name="C_">#REF!</definedName>
    <definedName name="Cd" localSheetId="13">[1]Options2!#REF!</definedName>
    <definedName name="Change" localSheetId="13">[2]VaR0!#REF!</definedName>
    <definedName name="CI" localSheetId="13">#REF!</definedName>
    <definedName name="CI_lo" localSheetId="13">#REF!</definedName>
    <definedName name="CouponPmt" localSheetId="13">#REF!</definedName>
    <definedName name="CouponPmt" localSheetId="4">Spread2PD!$C$15</definedName>
    <definedName name="CouponRate" localSheetId="13">#REF!</definedName>
    <definedName name="CouponRate" localSheetId="4">Spread2PD!$C$10</definedName>
    <definedName name="Cu" localSheetId="13">[1]Options2!#REF!</definedName>
    <definedName name="D" localSheetId="8">Data!$I$34:$N$34</definedName>
    <definedName name="D" localSheetId="9">Spread_PnL!$I$34:$N$34</definedName>
    <definedName name="D" localSheetId="7">TransSim!$I$34:$N$34</definedName>
    <definedName name="D">#REF!</definedName>
    <definedName name="d1_" localSheetId="13">#REF!</definedName>
    <definedName name="d2_" localSheetId="13">#REF!</definedName>
    <definedName name="dr">#REF!</definedName>
    <definedName name="Duration">#REF!</definedName>
    <definedName name="Duration_" localSheetId="8">Data!$AB$10:$AB$109</definedName>
    <definedName name="Duration_" localSheetId="9">Spread_PnL!$AB$10:$AB$109</definedName>
    <definedName name="Duration_">#REF!</definedName>
    <definedName name="E" localSheetId="8">Data!$I$35:$N$35</definedName>
    <definedName name="E" localSheetId="9">Spread_PnL!$I$35:$N$35</definedName>
    <definedName name="E" localSheetId="7">TransSim!$I$35:$N$35</definedName>
    <definedName name="E">#REF!</definedName>
    <definedName name="Eloss" localSheetId="4">Spread2PD!$C$18</definedName>
    <definedName name="F" localSheetId="8">Data!$I$36:$N$36</definedName>
    <definedName name="F" localSheetId="9">Spread_PnL!$I$36:$N$36</definedName>
    <definedName name="F" localSheetId="7">TransSim!$I$36:$N$36</definedName>
    <definedName name="F">#REF!</definedName>
    <definedName name="Face" localSheetId="13">#REF!</definedName>
    <definedName name="Face" localSheetId="4">Spread2PD!$C$9</definedName>
    <definedName name="Frequency" localSheetId="13">#REF!</definedName>
    <definedName name="Frequency" localSheetId="4">Spread2PD!$C$11</definedName>
    <definedName name="Loss" localSheetId="4">Spread2PD!$E$32:$E$36</definedName>
    <definedName name="loss_30" localSheetId="13">#REF!</definedName>
    <definedName name="loss_t" localSheetId="13">#REF!</definedName>
    <definedName name="lossAmount" localSheetId="4">Spread2PD!$G$37</definedName>
    <definedName name="max">#REF!</definedName>
    <definedName name="Mean" localSheetId="13">#REF!</definedName>
    <definedName name="min">#REF!</definedName>
    <definedName name="n" localSheetId="13">#REF!</definedName>
    <definedName name="n" localSheetId="4">Spread2PD!$C$12</definedName>
    <definedName name="NewSpread">#REF!</definedName>
    <definedName name="Notional">#REF!</definedName>
    <definedName name="NumTable">#REF!</definedName>
    <definedName name="NumTable1" localSheetId="8">Data!$Z$10:$AA$15</definedName>
    <definedName name="NumTable1" localSheetId="9">Spread_PnL!$Z$10:$AA$15</definedName>
    <definedName name="NumTable1">TransSim!$Z$10:$AA$15</definedName>
    <definedName name="OldSpread">#REF!</definedName>
    <definedName name="p_d" localSheetId="8">Data!$AC$10:$AC$109</definedName>
    <definedName name="p_d" localSheetId="9">Spread_PnL!$AC$10:$AC$109</definedName>
    <definedName name="p_d">#REF!</definedName>
    <definedName name="Period" localSheetId="13">#REF!</definedName>
    <definedName name="Period" localSheetId="4">Spread2PD!$F$10:$F$19</definedName>
    <definedName name="pmt" localSheetId="13">#REF!</definedName>
    <definedName name="pmt" localSheetId="4">Spread2PD!$H$10:$H$19</definedName>
    <definedName name="Price" localSheetId="13">[2]VaR0!#REF!</definedName>
    <definedName name="Price_" localSheetId="8">Data!$AA$10:$AA$109</definedName>
    <definedName name="Price_" localSheetId="9">Spread_PnL!$AA$10:$AA$109</definedName>
    <definedName name="Price_">#REF!</definedName>
    <definedName name="pv" localSheetId="13">#REF!</definedName>
    <definedName name="pv" localSheetId="4">Spread2PD!$I$10:$I$19</definedName>
    <definedName name="pv_rf" localSheetId="4">Spread2PD!$J$10:$J$19</definedName>
    <definedName name="pv_rf_" localSheetId="4">Spread2PD!$F$32:$F$36</definedName>
    <definedName name="pv_rf_pmt" localSheetId="4">Spread2PD!$G$21:$G$21</definedName>
    <definedName name="q" localSheetId="13">#REF!</definedName>
    <definedName name="r_" localSheetId="13">#REF!</definedName>
    <definedName name="range">#REF!</definedName>
    <definedName name="Rating">#REF!</definedName>
    <definedName name="RatingLast" localSheetId="8">Data!$D$10:$D$109</definedName>
    <definedName name="RatingLast" localSheetId="9">Spread_PnL!$D$10:$D$109</definedName>
    <definedName name="RatingLast" localSheetId="6">Tables!$D$10:$D$109</definedName>
    <definedName name="RatingLast" localSheetId="7">TransSim!$D$10:$D$109</definedName>
    <definedName name="RatingNow" localSheetId="8">Data!$E$10:$E$109</definedName>
    <definedName name="RatingNow" localSheetId="9">Spread_PnL!$E$10:$E$109</definedName>
    <definedName name="RatingNow" localSheetId="6">Tables!$E$10:$E$109</definedName>
    <definedName name="RatingNow" localSheetId="7">TransSim!$E$10:$E$109</definedName>
    <definedName name="RatingSim" localSheetId="9">Spread_PnL!$Y$10:$Y$109</definedName>
    <definedName name="RatingSim">Data!$Y$10:$Y$109</definedName>
    <definedName name="ratingsTbl" localSheetId="8">Data!$B$2:$C$7</definedName>
    <definedName name="ratingsTbl" localSheetId="9">Spread_PnL!$B$2:$C$7</definedName>
    <definedName name="ratingsTbl" localSheetId="6">Tables!$B$2:$C$7</definedName>
    <definedName name="ratingsTbl" localSheetId="7">TransSim!$B$2:$C$7</definedName>
    <definedName name="Recovery" localSheetId="4">Spread2PD!$D$32:$D$36</definedName>
    <definedName name="s" localSheetId="13">#REF!</definedName>
    <definedName name="S0" localSheetId="13">#REF!</definedName>
    <definedName name="SD" localSheetId="13">#REF!</definedName>
    <definedName name="Sensitivity">#REF!</definedName>
    <definedName name="SpreadCh">Spread_PnL!$AJ$10:$AJ$109</definedName>
    <definedName name="SpreadLast">Spread_PnL!$AH$10:$AH$109</definedName>
    <definedName name="SpreadNew">Spread_PnL!$AI$10:$AI$109</definedName>
    <definedName name="t" localSheetId="13">#REF!</definedName>
    <definedName name="t">HazardRate2!$C$12:$G$12</definedName>
    <definedName name="Time" localSheetId="13">#REF!</definedName>
    <definedName name="Time_" localSheetId="4">Spread2PD!$B$32:$B$36</definedName>
    <definedName name="TimeR" localSheetId="4">Spread2PD!$C$25:$C$29</definedName>
    <definedName name="TMat">#REF!</definedName>
    <definedName name="tmat12" localSheetId="13">#REF!</definedName>
    <definedName name="value_lo" localSheetId="13">#REF!</definedName>
    <definedName name="value_rf_" localSheetId="4">Spread2PD!$C$32:$C$36</definedName>
    <definedName name="ValueCh">Spread_PnL!$AK$10:$AK$109</definedName>
    <definedName name="X" localSheetId="13">#REF!</definedName>
    <definedName name="YTM" localSheetId="13">#REF!</definedName>
    <definedName name="YTM" localSheetId="4">Spread2PD!$C$13</definedName>
    <definedName name="YTM_rf" localSheetId="13">#REF!</definedName>
    <definedName name="YTM_rf" localSheetId="4">Spread2PD!$C$14</definedName>
  </definedNames>
  <calcPr calcId="191029" calcMode="autoNoTable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H11" i="44" l="1"/>
  <c r="AH12" i="44"/>
  <c r="AH13" i="44"/>
  <c r="AH14" i="44"/>
  <c r="AH15" i="44"/>
  <c r="AH16" i="44"/>
  <c r="AH17" i="44"/>
  <c r="AH18" i="44"/>
  <c r="AH19" i="44"/>
  <c r="AH20" i="44"/>
  <c r="AH21" i="44"/>
  <c r="AH22" i="44"/>
  <c r="AH23" i="44"/>
  <c r="AH24" i="44"/>
  <c r="AH25" i="44"/>
  <c r="AH26" i="44"/>
  <c r="AH27" i="44"/>
  <c r="AH28" i="44"/>
  <c r="AH29" i="44"/>
  <c r="AH30" i="44"/>
  <c r="AH31" i="44"/>
  <c r="AH32" i="44"/>
  <c r="AH33" i="44"/>
  <c r="AH34" i="44"/>
  <c r="AH35" i="44"/>
  <c r="AH36" i="44"/>
  <c r="AH37" i="44"/>
  <c r="AH38" i="44"/>
  <c r="AH39" i="44"/>
  <c r="AH40" i="44"/>
  <c r="AH41" i="44"/>
  <c r="AH42" i="44"/>
  <c r="AH43" i="44"/>
  <c r="AH44" i="44"/>
  <c r="AH45" i="44"/>
  <c r="AH46" i="44"/>
  <c r="AH47" i="44"/>
  <c r="AH48" i="44"/>
  <c r="AH49" i="44"/>
  <c r="AH50" i="44"/>
  <c r="AH51" i="44"/>
  <c r="AH52" i="44"/>
  <c r="AH53" i="44"/>
  <c r="AH54" i="44"/>
  <c r="AH55" i="44"/>
  <c r="AH56" i="44"/>
  <c r="AH57" i="44"/>
  <c r="AH58" i="44"/>
  <c r="AH59" i="44"/>
  <c r="AH60" i="44"/>
  <c r="AH61" i="44"/>
  <c r="AH62" i="44"/>
  <c r="AH63" i="44"/>
  <c r="AH64" i="44"/>
  <c r="AH65" i="44"/>
  <c r="AH66" i="44"/>
  <c r="AH67" i="44"/>
  <c r="AH68" i="44"/>
  <c r="AH69" i="44"/>
  <c r="AH70" i="44"/>
  <c r="AH71" i="44"/>
  <c r="AH72" i="44"/>
  <c r="AH73" i="44"/>
  <c r="AH74" i="44"/>
  <c r="AH75" i="44"/>
  <c r="AH76" i="44"/>
  <c r="AH77" i="44"/>
  <c r="AH78" i="44"/>
  <c r="AH79" i="44"/>
  <c r="AH80" i="44"/>
  <c r="AH81" i="44"/>
  <c r="AH82" i="44"/>
  <c r="AH83" i="44"/>
  <c r="AH84" i="44"/>
  <c r="AH85" i="44"/>
  <c r="AH86" i="44"/>
  <c r="AH87" i="44"/>
  <c r="AH88" i="44"/>
  <c r="AH89" i="44"/>
  <c r="AH90" i="44"/>
  <c r="AH91" i="44"/>
  <c r="AH92" i="44"/>
  <c r="AH93" i="44"/>
  <c r="AH94" i="44"/>
  <c r="AH95" i="44"/>
  <c r="AH96" i="44"/>
  <c r="AH97" i="44"/>
  <c r="AH98" i="44"/>
  <c r="AH99" i="44"/>
  <c r="AH100" i="44"/>
  <c r="AH101" i="44"/>
  <c r="AH102" i="44"/>
  <c r="AH103" i="44"/>
  <c r="AH104" i="44"/>
  <c r="AH105" i="44"/>
  <c r="AH106" i="44"/>
  <c r="AH107" i="44"/>
  <c r="AH108" i="44"/>
  <c r="AH109" i="44"/>
  <c r="AH10" i="44"/>
  <c r="W109" i="44"/>
  <c r="W108" i="44"/>
  <c r="W107" i="44"/>
  <c r="W106" i="44"/>
  <c r="W105" i="44"/>
  <c r="W104" i="44"/>
  <c r="W103" i="44"/>
  <c r="W102" i="44"/>
  <c r="W101" i="44"/>
  <c r="W100" i="44"/>
  <c r="W99" i="44"/>
  <c r="W98" i="44"/>
  <c r="W97" i="44"/>
  <c r="W96" i="44"/>
  <c r="W95" i="44"/>
  <c r="W94" i="44"/>
  <c r="W93" i="44"/>
  <c r="W92" i="44"/>
  <c r="W91" i="44"/>
  <c r="W90" i="44"/>
  <c r="W89" i="44"/>
  <c r="W88" i="44"/>
  <c r="W87" i="44"/>
  <c r="W86" i="44"/>
  <c r="W85" i="44"/>
  <c r="W84" i="44"/>
  <c r="W83" i="44"/>
  <c r="W82" i="44"/>
  <c r="W81" i="44"/>
  <c r="W80" i="44"/>
  <c r="W79" i="44"/>
  <c r="W78" i="44"/>
  <c r="W77" i="44"/>
  <c r="W76" i="44"/>
  <c r="W75" i="44"/>
  <c r="W74" i="44"/>
  <c r="W73" i="44"/>
  <c r="W72" i="44"/>
  <c r="W71" i="44"/>
  <c r="W70" i="44"/>
  <c r="W69" i="44"/>
  <c r="W68" i="44"/>
  <c r="W67" i="44"/>
  <c r="W66" i="44"/>
  <c r="W65" i="44"/>
  <c r="W64" i="44"/>
  <c r="W63" i="44"/>
  <c r="W62" i="44"/>
  <c r="W61" i="44"/>
  <c r="W60" i="44"/>
  <c r="W59" i="44"/>
  <c r="W58" i="44"/>
  <c r="W57" i="44"/>
  <c r="W56" i="44"/>
  <c r="W55" i="44"/>
  <c r="W54" i="44"/>
  <c r="W53" i="44"/>
  <c r="W52" i="44"/>
  <c r="W51" i="44"/>
  <c r="W50" i="44"/>
  <c r="W49" i="44"/>
  <c r="W48" i="44"/>
  <c r="W47" i="44"/>
  <c r="W46" i="44"/>
  <c r="W45" i="44"/>
  <c r="W44" i="44"/>
  <c r="W43" i="44"/>
  <c r="W42" i="44"/>
  <c r="W41" i="44"/>
  <c r="W40" i="44"/>
  <c r="W39" i="44"/>
  <c r="W38" i="44"/>
  <c r="W37" i="44"/>
  <c r="W36" i="44"/>
  <c r="W35" i="44"/>
  <c r="W34" i="44"/>
  <c r="W33" i="44"/>
  <c r="W32" i="44"/>
  <c r="W31" i="44"/>
  <c r="W30" i="44"/>
  <c r="W29" i="44"/>
  <c r="W28" i="44"/>
  <c r="W27" i="44"/>
  <c r="W26" i="44"/>
  <c r="W25" i="44"/>
  <c r="W24" i="44"/>
  <c r="W23" i="44"/>
  <c r="W22" i="44"/>
  <c r="W21" i="44"/>
  <c r="W20" i="44"/>
  <c r="W19" i="44"/>
  <c r="W17" i="44"/>
  <c r="W16" i="44"/>
  <c r="W15" i="44"/>
  <c r="N15" i="44"/>
  <c r="M15" i="44"/>
  <c r="L15" i="44"/>
  <c r="K15" i="44"/>
  <c r="J15" i="44"/>
  <c r="I15" i="44"/>
  <c r="W14" i="44"/>
  <c r="N14" i="44"/>
  <c r="M14" i="44"/>
  <c r="L14" i="44"/>
  <c r="K14" i="44"/>
  <c r="J14" i="44"/>
  <c r="I24" i="44" s="1" a="1"/>
  <c r="I14" i="44"/>
  <c r="W13" i="44"/>
  <c r="N13" i="44"/>
  <c r="M13" i="44"/>
  <c r="L13" i="44"/>
  <c r="K13" i="44"/>
  <c r="J13" i="44"/>
  <c r="I13" i="44"/>
  <c r="I23" i="44" s="1" a="1"/>
  <c r="W12" i="44"/>
  <c r="N12" i="44"/>
  <c r="M12" i="44"/>
  <c r="L12" i="44"/>
  <c r="K12" i="44"/>
  <c r="J12" i="44"/>
  <c r="I22" i="44" s="1" a="1"/>
  <c r="I12" i="44"/>
  <c r="W11" i="44"/>
  <c r="N11" i="44"/>
  <c r="M11" i="44"/>
  <c r="L11" i="44"/>
  <c r="K11" i="44"/>
  <c r="J11" i="44"/>
  <c r="I11" i="44"/>
  <c r="AC10" i="44" a="1"/>
  <c r="AC10" i="44" s="1"/>
  <c r="W10" i="44"/>
  <c r="N10" i="44"/>
  <c r="M10" i="44"/>
  <c r="L10" i="44"/>
  <c r="K10" i="44"/>
  <c r="J10" i="44"/>
  <c r="I10" i="44"/>
  <c r="P10" i="44" a="1"/>
  <c r="I25" i="44" l="1" a="1"/>
  <c r="I25" i="44" s="1"/>
  <c r="I36" i="44" s="1"/>
  <c r="P10" i="44"/>
  <c r="N22" i="44"/>
  <c r="M22" i="44"/>
  <c r="L22" i="44"/>
  <c r="K22" i="44"/>
  <c r="J22" i="44"/>
  <c r="I22" i="44"/>
  <c r="I33" i="44" s="1"/>
  <c r="I21" i="44" a="1"/>
  <c r="M24" i="44"/>
  <c r="L24" i="44"/>
  <c r="K24" i="44"/>
  <c r="J24" i="44"/>
  <c r="I24" i="44"/>
  <c r="I35" i="44" s="1"/>
  <c r="I20" i="44" a="1"/>
  <c r="N24" i="44"/>
  <c r="J23" i="44"/>
  <c r="I23" i="44"/>
  <c r="I34" i="44" s="1"/>
  <c r="N23" i="44"/>
  <c r="M23" i="44"/>
  <c r="L23" i="44"/>
  <c r="K23" i="44"/>
  <c r="M25" i="44" l="1"/>
  <c r="N25" i="44"/>
  <c r="J25" i="44"/>
  <c r="J36" i="44" s="1"/>
  <c r="J34" i="44"/>
  <c r="K25" i="44"/>
  <c r="K36" i="44" s="1"/>
  <c r="J33" i="44"/>
  <c r="K33" i="44"/>
  <c r="L33" i="44" s="1"/>
  <c r="J35" i="44"/>
  <c r="K35" i="44" s="1"/>
  <c r="L35" i="44" s="1"/>
  <c r="M35" i="44" s="1"/>
  <c r="N35" i="44" s="1"/>
  <c r="L25" i="44"/>
  <c r="K34" i="44"/>
  <c r="I20" i="44"/>
  <c r="I31" i="44" s="1"/>
  <c r="N20" i="44"/>
  <c r="M20" i="44"/>
  <c r="L20" i="44"/>
  <c r="K20" i="44"/>
  <c r="J20" i="44"/>
  <c r="L21" i="44"/>
  <c r="K21" i="44"/>
  <c r="J21" i="44"/>
  <c r="I21" i="44"/>
  <c r="I32" i="44" s="1"/>
  <c r="N21" i="44"/>
  <c r="M21" i="44"/>
  <c r="Q88" i="44" a="1"/>
  <c r="Q15" i="44" a="1"/>
  <c r="Q91" i="44" a="1"/>
  <c r="Q49" i="44" a="1"/>
  <c r="Q55" i="44" a="1"/>
  <c r="Q92" i="44" a="1"/>
  <c r="Q44" i="44" a="1"/>
  <c r="Q95" i="44" a="1"/>
  <c r="Q11" i="44" a="1"/>
  <c r="Q58" i="44" a="1"/>
  <c r="Q21" i="44" a="1"/>
  <c r="Q35" i="44" a="1"/>
  <c r="Q46" i="44" a="1"/>
  <c r="Q87" i="44" a="1"/>
  <c r="Q29" i="44" a="1"/>
  <c r="Q90" i="44" a="1"/>
  <c r="Q63" i="44" a="1"/>
  <c r="Q54" i="44" a="1"/>
  <c r="Q102" i="44" a="1"/>
  <c r="L36" i="44" l="1"/>
  <c r="J32" i="44"/>
  <c r="K32" i="44" s="1"/>
  <c r="L32" i="44" s="1"/>
  <c r="M32" i="44" s="1"/>
  <c r="N32" i="44" s="1"/>
  <c r="Q44" i="44"/>
  <c r="X44" i="44" s="1" a="1"/>
  <c r="X44" i="44" s="1"/>
  <c r="Y44" i="44" s="1"/>
  <c r="AI44" i="44" s="1"/>
  <c r="AJ44" i="44" s="1"/>
  <c r="AK44" i="44" s="1"/>
  <c r="Q49" i="44"/>
  <c r="X49" i="44" s="1" a="1"/>
  <c r="X49" i="44" s="1"/>
  <c r="Y49" i="44" s="1"/>
  <c r="AI49" i="44" s="1"/>
  <c r="AJ49" i="44" s="1"/>
  <c r="AK49" i="44" s="1"/>
  <c r="Q54" i="44"/>
  <c r="X54" i="44" s="1" a="1"/>
  <c r="X54" i="44" s="1"/>
  <c r="Y54" i="44" s="1"/>
  <c r="AI54" i="44" s="1"/>
  <c r="AJ54" i="44" s="1"/>
  <c r="AK54" i="44" s="1"/>
  <c r="Q11" i="44"/>
  <c r="X11" i="44" s="1" a="1"/>
  <c r="X11" i="44" s="1"/>
  <c r="Y11" i="44" s="1"/>
  <c r="AI11" i="44" s="1"/>
  <c r="AJ11" i="44" s="1"/>
  <c r="AK11" i="44" s="1"/>
  <c r="Q29" i="44"/>
  <c r="X29" i="44" s="1" a="1"/>
  <c r="X29" i="44" s="1"/>
  <c r="Y29" i="44" s="1"/>
  <c r="AI29" i="44" s="1"/>
  <c r="AJ29" i="44" s="1"/>
  <c r="AK29" i="44" s="1"/>
  <c r="Q92" i="44"/>
  <c r="X92" i="44" s="1" a="1"/>
  <c r="X92" i="44" s="1"/>
  <c r="Y92" i="44" s="1"/>
  <c r="AI92" i="44" s="1"/>
  <c r="AJ92" i="44" s="1"/>
  <c r="AK92" i="44" s="1"/>
  <c r="Q46" i="44"/>
  <c r="X46" i="44" s="1" a="1"/>
  <c r="X46" i="44" s="1"/>
  <c r="Y46" i="44" s="1"/>
  <c r="AI46" i="44" s="1"/>
  <c r="AJ46" i="44" s="1"/>
  <c r="AK46" i="44" s="1"/>
  <c r="Q95" i="44"/>
  <c r="X95" i="44" s="1" a="1"/>
  <c r="X95" i="44" s="1"/>
  <c r="Y95" i="44" s="1"/>
  <c r="AI95" i="44" s="1"/>
  <c r="AJ95" i="44" s="1"/>
  <c r="AK95" i="44" s="1"/>
  <c r="Q63" i="44"/>
  <c r="X63" i="44" s="1" a="1"/>
  <c r="X63" i="44" s="1"/>
  <c r="Y63" i="44" s="1"/>
  <c r="AI63" i="44" s="1"/>
  <c r="AJ63" i="44" s="1"/>
  <c r="AK63" i="44" s="1"/>
  <c r="Q88" i="44"/>
  <c r="X88" i="44" s="1" a="1"/>
  <c r="X88" i="44" s="1"/>
  <c r="Y88" i="44" s="1"/>
  <c r="AI88" i="44" s="1"/>
  <c r="AJ88" i="44" s="1"/>
  <c r="AK88" i="44" s="1"/>
  <c r="Q21" i="44"/>
  <c r="X21" i="44" s="1" a="1"/>
  <c r="X21" i="44" s="1"/>
  <c r="Y21" i="44" s="1"/>
  <c r="AI21" i="44" s="1"/>
  <c r="AJ21" i="44" s="1"/>
  <c r="AK21" i="44" s="1"/>
  <c r="Q102" i="44"/>
  <c r="X102" i="44" s="1" a="1"/>
  <c r="X102" i="44" s="1"/>
  <c r="Y102" i="44" s="1"/>
  <c r="AI102" i="44" s="1"/>
  <c r="AJ102" i="44" s="1"/>
  <c r="AK102" i="44" s="1"/>
  <c r="Q90" i="44"/>
  <c r="X90" i="44" s="1" a="1"/>
  <c r="X90" i="44" s="1"/>
  <c r="Y90" i="44" s="1"/>
  <c r="AI90" i="44" s="1"/>
  <c r="AJ90" i="44" s="1"/>
  <c r="AK90" i="44" s="1"/>
  <c r="Q55" i="44"/>
  <c r="X55" i="44" s="1" a="1"/>
  <c r="X55" i="44" s="1"/>
  <c r="Y55" i="44" s="1"/>
  <c r="AI55" i="44" s="1"/>
  <c r="AJ55" i="44" s="1"/>
  <c r="AK55" i="44" s="1"/>
  <c r="Q15" i="44"/>
  <c r="X15" i="44" s="1" a="1"/>
  <c r="X15" i="44" s="1"/>
  <c r="Y15" i="44" s="1"/>
  <c r="AI15" i="44" s="1"/>
  <c r="AJ15" i="44" s="1"/>
  <c r="AK15" i="44" s="1"/>
  <c r="Q91" i="44"/>
  <c r="X91" i="44" s="1" a="1"/>
  <c r="X91" i="44" s="1"/>
  <c r="Y91" i="44" s="1"/>
  <c r="AI91" i="44" s="1"/>
  <c r="AJ91" i="44" s="1"/>
  <c r="AK91" i="44" s="1"/>
  <c r="Q87" i="44"/>
  <c r="X87" i="44" s="1" a="1"/>
  <c r="X87" i="44" s="1"/>
  <c r="Y87" i="44" s="1"/>
  <c r="AI87" i="44" s="1"/>
  <c r="AJ87" i="44" s="1"/>
  <c r="AK87" i="44" s="1"/>
  <c r="Q58" i="44"/>
  <c r="X58" i="44" s="1" a="1"/>
  <c r="X58" i="44" s="1"/>
  <c r="Y58" i="44" s="1"/>
  <c r="AI58" i="44" s="1"/>
  <c r="AJ58" i="44" s="1"/>
  <c r="AK58" i="44" s="1"/>
  <c r="Q35" i="44"/>
  <c r="X35" i="44" s="1" a="1"/>
  <c r="X35" i="44" s="1"/>
  <c r="Y35" i="44" s="1"/>
  <c r="AI35" i="44" s="1"/>
  <c r="AJ35" i="44" s="1"/>
  <c r="AK35" i="44" s="1"/>
  <c r="L34" i="44"/>
  <c r="J31" i="44"/>
  <c r="K31" i="44" s="1"/>
  <c r="L31" i="44" s="1"/>
  <c r="M31" i="44" s="1"/>
  <c r="N31" i="44" s="1"/>
  <c r="M33" i="44"/>
  <c r="Q78" i="44" a="1"/>
  <c r="Q96" i="44" a="1"/>
  <c r="Q45" i="44" a="1"/>
  <c r="Q39" i="44" a="1"/>
  <c r="Q69" i="44" a="1"/>
  <c r="Q52" i="44" a="1"/>
  <c r="Q34" i="44" a="1"/>
  <c r="Q50" i="44" a="1"/>
  <c r="Q53" i="44" a="1"/>
  <c r="Q27" i="44" a="1"/>
  <c r="Q93" i="44" a="1"/>
  <c r="Q89" i="44" a="1"/>
  <c r="Q16" i="44" a="1"/>
  <c r="Q38" i="44" a="1"/>
  <c r="Q74" i="44" a="1"/>
  <c r="Q108" i="44" a="1"/>
  <c r="Q83" i="44" a="1"/>
  <c r="Q97" i="44" a="1"/>
  <c r="Q41" i="44" a="1"/>
  <c r="Q73" i="44" a="1"/>
  <c r="Q48" i="44" a="1"/>
  <c r="Q82" i="44" a="1"/>
  <c r="Q33" i="44" a="1"/>
  <c r="Q85" i="44" a="1"/>
  <c r="Q43" i="44" a="1"/>
  <c r="Q24" i="44" a="1"/>
  <c r="M36" i="44" l="1"/>
  <c r="Q39" i="44"/>
  <c r="X39" i="44" s="1" a="1"/>
  <c r="X39" i="44" s="1"/>
  <c r="Y39" i="44" s="1"/>
  <c r="AI39" i="44" s="1"/>
  <c r="AJ39" i="44" s="1"/>
  <c r="AK39" i="44" s="1"/>
  <c r="Q74" i="44"/>
  <c r="X74" i="44" s="1" a="1"/>
  <c r="X74" i="44" s="1"/>
  <c r="Y74" i="44" s="1"/>
  <c r="AI74" i="44" s="1"/>
  <c r="AJ74" i="44" s="1"/>
  <c r="AK74" i="44" s="1"/>
  <c r="Q82" i="44"/>
  <c r="X82" i="44" s="1" a="1"/>
  <c r="X82" i="44" s="1"/>
  <c r="Y82" i="44" s="1"/>
  <c r="AI82" i="44" s="1"/>
  <c r="AJ82" i="44" s="1"/>
  <c r="AK82" i="44" s="1"/>
  <c r="Q89" i="44"/>
  <c r="X89" i="44" s="1" a="1"/>
  <c r="X89" i="44" s="1"/>
  <c r="Y89" i="44" s="1"/>
  <c r="AI89" i="44" s="1"/>
  <c r="AJ89" i="44" s="1"/>
  <c r="AK89" i="44" s="1"/>
  <c r="Q52" i="44"/>
  <c r="X52" i="44" s="1" a="1"/>
  <c r="X52" i="44" s="1"/>
  <c r="Y52" i="44" s="1"/>
  <c r="AI52" i="44" s="1"/>
  <c r="AJ52" i="44" s="1"/>
  <c r="AK52" i="44" s="1"/>
  <c r="Q85" i="44"/>
  <c r="X85" i="44" s="1" a="1"/>
  <c r="X85" i="44" s="1"/>
  <c r="Y85" i="44" s="1"/>
  <c r="AI85" i="44" s="1"/>
  <c r="AJ85" i="44" s="1"/>
  <c r="AK85" i="44" s="1"/>
  <c r="Q48" i="44"/>
  <c r="X48" i="44" s="1" a="1"/>
  <c r="X48" i="44" s="1"/>
  <c r="Y48" i="44" s="1"/>
  <c r="AI48" i="44" s="1"/>
  <c r="AJ48" i="44" s="1"/>
  <c r="AK48" i="44" s="1"/>
  <c r="Q93" i="44"/>
  <c r="X93" i="44" s="1" a="1"/>
  <c r="X93" i="44" s="1"/>
  <c r="Y93" i="44" s="1"/>
  <c r="AI93" i="44" s="1"/>
  <c r="AJ93" i="44" s="1"/>
  <c r="AK93" i="44" s="1"/>
  <c r="Q27" i="44"/>
  <c r="X27" i="44" s="1" a="1"/>
  <c r="X27" i="44" s="1"/>
  <c r="Y27" i="44" s="1"/>
  <c r="AI27" i="44" s="1"/>
  <c r="AJ27" i="44" s="1"/>
  <c r="AK27" i="44" s="1"/>
  <c r="Q97" i="44"/>
  <c r="X97" i="44" s="1" a="1"/>
  <c r="X97" i="44" s="1"/>
  <c r="Y97" i="44" s="1"/>
  <c r="AI97" i="44" s="1"/>
  <c r="AJ97" i="44" s="1"/>
  <c r="AK97" i="44" s="1"/>
  <c r="Q69" i="44"/>
  <c r="X69" i="44" s="1" a="1"/>
  <c r="X69" i="44" s="1"/>
  <c r="Y69" i="44" s="1"/>
  <c r="AI69" i="44" s="1"/>
  <c r="AJ69" i="44" s="1"/>
  <c r="AK69" i="44" s="1"/>
  <c r="Q41" i="44"/>
  <c r="X41" i="44" s="1" a="1"/>
  <c r="X41" i="44" s="1"/>
  <c r="Y41" i="44" s="1"/>
  <c r="AI41" i="44" s="1"/>
  <c r="AJ41" i="44" s="1"/>
  <c r="AK41" i="44" s="1"/>
  <c r="Q73" i="44"/>
  <c r="X73" i="44" s="1" a="1"/>
  <c r="X73" i="44" s="1"/>
  <c r="Y73" i="44" s="1"/>
  <c r="AI73" i="44" s="1"/>
  <c r="AJ73" i="44" s="1"/>
  <c r="AK73" i="44" s="1"/>
  <c r="Q43" i="44"/>
  <c r="X43" i="44" s="1" a="1"/>
  <c r="X43" i="44" s="1"/>
  <c r="Y43" i="44" s="1"/>
  <c r="AI43" i="44" s="1"/>
  <c r="AJ43" i="44" s="1"/>
  <c r="AK43" i="44" s="1"/>
  <c r="Q38" i="44"/>
  <c r="X38" i="44" s="1" a="1"/>
  <c r="X38" i="44" s="1"/>
  <c r="Y38" i="44" s="1"/>
  <c r="AI38" i="44" s="1"/>
  <c r="AJ38" i="44" s="1"/>
  <c r="AK38" i="44" s="1"/>
  <c r="Q45" i="44"/>
  <c r="X45" i="44" s="1" a="1"/>
  <c r="X45" i="44" s="1"/>
  <c r="Y45" i="44" s="1"/>
  <c r="AI45" i="44" s="1"/>
  <c r="AJ45" i="44" s="1"/>
  <c r="AK45" i="44" s="1"/>
  <c r="Q50" i="44"/>
  <c r="X50" i="44" s="1" a="1"/>
  <c r="X50" i="44" s="1"/>
  <c r="Y50" i="44" s="1"/>
  <c r="AI50" i="44" s="1"/>
  <c r="AJ50" i="44" s="1"/>
  <c r="AK50" i="44" s="1"/>
  <c r="Q34" i="44"/>
  <c r="X34" i="44" s="1" a="1"/>
  <c r="X34" i="44" s="1"/>
  <c r="Y34" i="44" s="1"/>
  <c r="AI34" i="44" s="1"/>
  <c r="AJ34" i="44" s="1"/>
  <c r="AK34" i="44" s="1"/>
  <c r="Q96" i="44"/>
  <c r="X96" i="44" s="1" a="1"/>
  <c r="X96" i="44" s="1"/>
  <c r="Y96" i="44" s="1"/>
  <c r="AI96" i="44" s="1"/>
  <c r="AJ96" i="44" s="1"/>
  <c r="AK96" i="44" s="1"/>
  <c r="Q53" i="44"/>
  <c r="X53" i="44" s="1" a="1"/>
  <c r="X53" i="44" s="1"/>
  <c r="Y53" i="44" s="1"/>
  <c r="AI53" i="44" s="1"/>
  <c r="AJ53" i="44" s="1"/>
  <c r="AK53" i="44" s="1"/>
  <c r="Q24" i="44"/>
  <c r="X24" i="44" s="1" a="1"/>
  <c r="X24" i="44" s="1"/>
  <c r="Y24" i="44" s="1"/>
  <c r="AI24" i="44" s="1"/>
  <c r="AJ24" i="44" s="1"/>
  <c r="AK24" i="44" s="1"/>
  <c r="Q33" i="44"/>
  <c r="X33" i="44" s="1" a="1"/>
  <c r="X33" i="44" s="1"/>
  <c r="Y33" i="44" s="1"/>
  <c r="AI33" i="44" s="1"/>
  <c r="AJ33" i="44" s="1"/>
  <c r="AK33" i="44" s="1"/>
  <c r="Q78" i="44"/>
  <c r="X78" i="44" s="1" a="1"/>
  <c r="X78" i="44" s="1"/>
  <c r="Y78" i="44" s="1"/>
  <c r="AI78" i="44" s="1"/>
  <c r="AJ78" i="44" s="1"/>
  <c r="AK78" i="44" s="1"/>
  <c r="Q16" i="44"/>
  <c r="X16" i="44" s="1" a="1"/>
  <c r="X16" i="44" s="1"/>
  <c r="Y16" i="44" s="1"/>
  <c r="AI16" i="44" s="1"/>
  <c r="AJ16" i="44" s="1"/>
  <c r="AK16" i="44" s="1"/>
  <c r="Q108" i="44"/>
  <c r="X108" i="44" s="1" a="1"/>
  <c r="X108" i="44" s="1"/>
  <c r="Y108" i="44" s="1"/>
  <c r="AI108" i="44" s="1"/>
  <c r="AJ108" i="44" s="1"/>
  <c r="AK108" i="44" s="1"/>
  <c r="Q83" i="44"/>
  <c r="X83" i="44" s="1" a="1"/>
  <c r="X83" i="44" s="1"/>
  <c r="Y83" i="44" s="1"/>
  <c r="AI83" i="44" s="1"/>
  <c r="AJ83" i="44" s="1"/>
  <c r="AK83" i="44" s="1"/>
  <c r="M34" i="44"/>
  <c r="N33" i="44"/>
  <c r="Q99" i="44" a="1"/>
  <c r="Q75" i="44" a="1"/>
  <c r="Q98" i="44" a="1"/>
  <c r="Q20" i="44" a="1"/>
  <c r="Q106" i="44" a="1"/>
  <c r="Q66" i="44" a="1"/>
  <c r="Q19" i="44" a="1"/>
  <c r="Q64" i="44" a="1"/>
  <c r="Q18" i="44" a="1"/>
  <c r="Q71" i="44" a="1"/>
  <c r="Q22" i="44" a="1"/>
  <c r="Q17" i="44" a="1"/>
  <c r="Q72" i="44" a="1"/>
  <c r="Q79" i="44" a="1"/>
  <c r="N36" i="44" l="1"/>
  <c r="Q22" i="44"/>
  <c r="X22" i="44" s="1" a="1"/>
  <c r="X22" i="44" s="1"/>
  <c r="Y22" i="44" s="1"/>
  <c r="AI22" i="44" s="1"/>
  <c r="AJ22" i="44" s="1"/>
  <c r="AK22" i="44" s="1"/>
  <c r="Q18" i="44"/>
  <c r="X18" i="44" s="1" a="1"/>
  <c r="X18" i="44" s="1"/>
  <c r="Y18" i="44" s="1"/>
  <c r="AI18" i="44" s="1"/>
  <c r="AJ18" i="44" s="1"/>
  <c r="AK18" i="44" s="1"/>
  <c r="Q79" i="44"/>
  <c r="X79" i="44" s="1" a="1"/>
  <c r="X79" i="44" s="1"/>
  <c r="Y79" i="44" s="1"/>
  <c r="AI79" i="44" s="1"/>
  <c r="AJ79" i="44" s="1"/>
  <c r="AK79" i="44" s="1"/>
  <c r="Q72" i="44"/>
  <c r="X72" i="44" s="1" a="1"/>
  <c r="X72" i="44" s="1"/>
  <c r="Y72" i="44" s="1"/>
  <c r="AI72" i="44" s="1"/>
  <c r="AJ72" i="44" s="1"/>
  <c r="AK72" i="44" s="1"/>
  <c r="Q75" i="44"/>
  <c r="X75" i="44" s="1" a="1"/>
  <c r="X75" i="44" s="1"/>
  <c r="Y75" i="44" s="1"/>
  <c r="AI75" i="44" s="1"/>
  <c r="AJ75" i="44" s="1"/>
  <c r="AK75" i="44" s="1"/>
  <c r="Q71" i="44"/>
  <c r="X71" i="44" s="1" a="1"/>
  <c r="X71" i="44" s="1"/>
  <c r="Y71" i="44" s="1"/>
  <c r="AI71" i="44" s="1"/>
  <c r="AJ71" i="44" s="1"/>
  <c r="AK71" i="44" s="1"/>
  <c r="Q64" i="44"/>
  <c r="X64" i="44" s="1" a="1"/>
  <c r="X64" i="44" s="1"/>
  <c r="Y64" i="44" s="1"/>
  <c r="AI64" i="44" s="1"/>
  <c r="AJ64" i="44" s="1"/>
  <c r="AK64" i="44" s="1"/>
  <c r="Q99" i="44"/>
  <c r="X99" i="44" s="1" a="1"/>
  <c r="X99" i="44" s="1"/>
  <c r="Y99" i="44" s="1"/>
  <c r="AI99" i="44" s="1"/>
  <c r="AJ99" i="44" s="1"/>
  <c r="AK99" i="44" s="1"/>
  <c r="Q106" i="44"/>
  <c r="X106" i="44" s="1" a="1"/>
  <c r="X106" i="44" s="1"/>
  <c r="Y106" i="44" s="1"/>
  <c r="AI106" i="44" s="1"/>
  <c r="AJ106" i="44" s="1"/>
  <c r="AK106" i="44" s="1"/>
  <c r="Q98" i="44"/>
  <c r="X98" i="44" s="1" a="1"/>
  <c r="X98" i="44" s="1"/>
  <c r="Y98" i="44" s="1"/>
  <c r="AI98" i="44" s="1"/>
  <c r="AJ98" i="44" s="1"/>
  <c r="AK98" i="44" s="1"/>
  <c r="Q17" i="44"/>
  <c r="X17" i="44" s="1" a="1"/>
  <c r="X17" i="44" s="1"/>
  <c r="Y17" i="44" s="1"/>
  <c r="AI17" i="44" s="1"/>
  <c r="AJ17" i="44" s="1"/>
  <c r="AK17" i="44" s="1"/>
  <c r="Q20" i="44"/>
  <c r="X20" i="44" s="1" a="1"/>
  <c r="X20" i="44" s="1"/>
  <c r="Y20" i="44" s="1"/>
  <c r="AI20" i="44" s="1"/>
  <c r="AJ20" i="44" s="1"/>
  <c r="AK20" i="44" s="1"/>
  <c r="Q66" i="44"/>
  <c r="X66" i="44" s="1" a="1"/>
  <c r="X66" i="44" s="1"/>
  <c r="Y66" i="44" s="1"/>
  <c r="AI66" i="44" s="1"/>
  <c r="AJ66" i="44" s="1"/>
  <c r="AK66" i="44" s="1"/>
  <c r="Q19" i="44"/>
  <c r="X19" i="44" s="1" a="1"/>
  <c r="X19" i="44" s="1"/>
  <c r="Y19" i="44" s="1"/>
  <c r="AI19" i="44" s="1"/>
  <c r="AJ19" i="44" s="1"/>
  <c r="AK19" i="44" s="1"/>
  <c r="N34" i="44"/>
  <c r="Q37" i="44" a="1"/>
  <c r="Q65" i="44" a="1"/>
  <c r="Q26" i="44" a="1"/>
  <c r="Q36" i="44" a="1"/>
  <c r="Q101" i="44" a="1"/>
  <c r="Q57" i="44" a="1"/>
  <c r="Q68" i="44" a="1"/>
  <c r="Q13" i="44" a="1"/>
  <c r="Q70" i="44" a="1"/>
  <c r="Q105" i="44" a="1"/>
  <c r="Q23" i="44" a="1"/>
  <c r="Q60" i="44" a="1"/>
  <c r="Q107" i="44" a="1"/>
  <c r="Q84" i="44" a="1"/>
  <c r="Q42" i="44" a="1"/>
  <c r="Q32" i="44" a="1"/>
  <c r="Q51" i="44" a="1"/>
  <c r="Q100" i="44" a="1"/>
  <c r="Q40" i="44" a="1"/>
  <c r="Q62" i="44" a="1"/>
  <c r="Q67" i="44" a="1"/>
  <c r="Q25" i="44" a="1"/>
  <c r="Q77" i="44" a="1"/>
  <c r="Q31" i="44" a="1"/>
  <c r="Q86" i="44" a="1"/>
  <c r="Q76" i="44" a="1"/>
  <c r="Q103" i="44" a="1"/>
  <c r="Q47" i="44" a="1"/>
  <c r="Q10" i="44" a="1"/>
  <c r="Q14" i="44" a="1"/>
  <c r="Q59" i="44" a="1"/>
  <c r="Q81" i="44" a="1"/>
  <c r="Q12" i="44" a="1"/>
  <c r="Q104" i="44" a="1"/>
  <c r="Q61" i="44" a="1"/>
  <c r="Q80" i="44" a="1"/>
  <c r="Q30" i="44" a="1"/>
  <c r="Q109" i="44" a="1"/>
  <c r="Q56" i="44" a="1"/>
  <c r="Q94" i="44" a="1"/>
  <c r="Q28" i="44" a="1"/>
  <c r="Q101" i="44" l="1"/>
  <c r="X101" i="44" s="1" a="1"/>
  <c r="X101" i="44" s="1"/>
  <c r="Y101" i="44" s="1"/>
  <c r="AI101" i="44" s="1"/>
  <c r="AJ101" i="44" s="1"/>
  <c r="AK101" i="44" s="1"/>
  <c r="Q86" i="44"/>
  <c r="X86" i="44" s="1" a="1"/>
  <c r="X86" i="44" s="1"/>
  <c r="Y86" i="44" s="1"/>
  <c r="AI86" i="44" s="1"/>
  <c r="AJ86" i="44" s="1"/>
  <c r="AK86" i="44" s="1"/>
  <c r="Q57" i="44"/>
  <c r="X57" i="44" s="1" a="1"/>
  <c r="X57" i="44" s="1"/>
  <c r="Y57" i="44" s="1"/>
  <c r="AI57" i="44" s="1"/>
  <c r="AJ57" i="44" s="1"/>
  <c r="AK57" i="44" s="1"/>
  <c r="Q70" i="44"/>
  <c r="X70" i="44" s="1" a="1"/>
  <c r="X70" i="44" s="1"/>
  <c r="Y70" i="44" s="1"/>
  <c r="AI70" i="44" s="1"/>
  <c r="AJ70" i="44" s="1"/>
  <c r="AK70" i="44" s="1"/>
  <c r="Q25" i="44"/>
  <c r="X25" i="44" s="1" a="1"/>
  <c r="X25" i="44" s="1"/>
  <c r="Y25" i="44" s="1"/>
  <c r="AI25" i="44" s="1"/>
  <c r="AJ25" i="44" s="1"/>
  <c r="AK25" i="44" s="1"/>
  <c r="Q37" i="44"/>
  <c r="X37" i="44" s="1" a="1"/>
  <c r="X37" i="44" s="1"/>
  <c r="Y37" i="44" s="1"/>
  <c r="AI37" i="44" s="1"/>
  <c r="AJ37" i="44" s="1"/>
  <c r="AK37" i="44" s="1"/>
  <c r="Q60" i="44"/>
  <c r="X60" i="44" s="1" a="1"/>
  <c r="X60" i="44" s="1"/>
  <c r="Y60" i="44" s="1"/>
  <c r="AI60" i="44" s="1"/>
  <c r="AJ60" i="44" s="1"/>
  <c r="AK60" i="44" s="1"/>
  <c r="Q67" i="44"/>
  <c r="X67" i="44" s="1" a="1"/>
  <c r="X67" i="44" s="1"/>
  <c r="Y67" i="44" s="1"/>
  <c r="AI67" i="44" s="1"/>
  <c r="AJ67" i="44" s="1"/>
  <c r="AK67" i="44" s="1"/>
  <c r="Q62" i="44"/>
  <c r="X62" i="44" s="1" a="1"/>
  <c r="X62" i="44" s="1"/>
  <c r="Y62" i="44" s="1"/>
  <c r="AI62" i="44" s="1"/>
  <c r="AJ62" i="44" s="1"/>
  <c r="AK62" i="44" s="1"/>
  <c r="Q31" i="44"/>
  <c r="X31" i="44" s="1" a="1"/>
  <c r="X31" i="44" s="1"/>
  <c r="Y31" i="44" s="1"/>
  <c r="AI31" i="44" s="1"/>
  <c r="AJ31" i="44" s="1"/>
  <c r="AK31" i="44" s="1"/>
  <c r="Q105" i="44"/>
  <c r="X105" i="44" s="1" a="1"/>
  <c r="X105" i="44" s="1"/>
  <c r="Y105" i="44" s="1"/>
  <c r="AI105" i="44" s="1"/>
  <c r="AJ105" i="44" s="1"/>
  <c r="AK105" i="44" s="1"/>
  <c r="Q10" i="44"/>
  <c r="X10" i="44" s="1" a="1"/>
  <c r="X10" i="44" s="1"/>
  <c r="Y10" i="44" s="1"/>
  <c r="AI10" i="44" s="1"/>
  <c r="AJ10" i="44" s="1"/>
  <c r="AK10" i="44" s="1"/>
  <c r="Q94" i="44"/>
  <c r="X94" i="44" s="1" a="1"/>
  <c r="X94" i="44" s="1"/>
  <c r="Y94" i="44" s="1"/>
  <c r="AI94" i="44" s="1"/>
  <c r="AJ94" i="44" s="1"/>
  <c r="AK94" i="44" s="1"/>
  <c r="Q40" i="44"/>
  <c r="X40" i="44" s="1" a="1"/>
  <c r="X40" i="44" s="1"/>
  <c r="Y40" i="44" s="1"/>
  <c r="AI40" i="44" s="1"/>
  <c r="AJ40" i="44" s="1"/>
  <c r="AK40" i="44" s="1"/>
  <c r="Q104" i="44"/>
  <c r="X104" i="44" s="1" a="1"/>
  <c r="X104" i="44" s="1"/>
  <c r="Y104" i="44" s="1"/>
  <c r="AI104" i="44" s="1"/>
  <c r="AJ104" i="44" s="1"/>
  <c r="AK104" i="44" s="1"/>
  <c r="Q47" i="44"/>
  <c r="X47" i="44" s="1" a="1"/>
  <c r="X47" i="44" s="1"/>
  <c r="Y47" i="44" s="1"/>
  <c r="AI47" i="44" s="1"/>
  <c r="AJ47" i="44" s="1"/>
  <c r="AK47" i="44" s="1"/>
  <c r="Q42" i="44"/>
  <c r="X42" i="44" s="1" a="1"/>
  <c r="X42" i="44" s="1"/>
  <c r="Y42" i="44" s="1"/>
  <c r="AI42" i="44" s="1"/>
  <c r="AJ42" i="44" s="1"/>
  <c r="AK42" i="44" s="1"/>
  <c r="Q13" i="44"/>
  <c r="X13" i="44" s="1" a="1"/>
  <c r="X13" i="44" s="1"/>
  <c r="Y13" i="44" s="1"/>
  <c r="AI13" i="44" s="1"/>
  <c r="AJ13" i="44" s="1"/>
  <c r="AK13" i="44" s="1"/>
  <c r="Q81" i="44"/>
  <c r="X81" i="44" s="1" a="1"/>
  <c r="X81" i="44" s="1"/>
  <c r="Y81" i="44" s="1"/>
  <c r="AI81" i="44" s="1"/>
  <c r="AJ81" i="44" s="1"/>
  <c r="AK81" i="44" s="1"/>
  <c r="Q103" i="44"/>
  <c r="X103" i="44" s="1" a="1"/>
  <c r="X103" i="44" s="1"/>
  <c r="Y103" i="44" s="1"/>
  <c r="AI103" i="44" s="1"/>
  <c r="AJ103" i="44" s="1"/>
  <c r="AK103" i="44" s="1"/>
  <c r="Q23" i="44"/>
  <c r="X23" i="44" s="1" a="1"/>
  <c r="X23" i="44" s="1"/>
  <c r="Y23" i="44" s="1"/>
  <c r="AI23" i="44" s="1"/>
  <c r="AJ23" i="44" s="1"/>
  <c r="AK23" i="44" s="1"/>
  <c r="Q80" i="44"/>
  <c r="X80" i="44" s="1" a="1"/>
  <c r="X80" i="44" s="1"/>
  <c r="Y80" i="44" s="1"/>
  <c r="AI80" i="44" s="1"/>
  <c r="AJ80" i="44" s="1"/>
  <c r="AK80" i="44" s="1"/>
  <c r="Q26" i="44"/>
  <c r="X26" i="44" s="1" a="1"/>
  <c r="X26" i="44" s="1"/>
  <c r="Y26" i="44" s="1"/>
  <c r="AI26" i="44" s="1"/>
  <c r="AJ26" i="44" s="1"/>
  <c r="AK26" i="44" s="1"/>
  <c r="Q84" i="44"/>
  <c r="X84" i="44" s="1" a="1"/>
  <c r="X84" i="44" s="1"/>
  <c r="Y84" i="44" s="1"/>
  <c r="AI84" i="44" s="1"/>
  <c r="AJ84" i="44" s="1"/>
  <c r="AK84" i="44" s="1"/>
  <c r="Q59" i="44"/>
  <c r="X59" i="44" s="1" a="1"/>
  <c r="X59" i="44" s="1"/>
  <c r="Y59" i="44" s="1"/>
  <c r="AI59" i="44" s="1"/>
  <c r="AJ59" i="44" s="1"/>
  <c r="AK59" i="44" s="1"/>
  <c r="Q61" i="44"/>
  <c r="X61" i="44" s="1" a="1"/>
  <c r="X61" i="44" s="1"/>
  <c r="Y61" i="44" s="1"/>
  <c r="AI61" i="44" s="1"/>
  <c r="AJ61" i="44" s="1"/>
  <c r="AK61" i="44" s="1"/>
  <c r="Q30" i="44"/>
  <c r="X30" i="44" s="1" a="1"/>
  <c r="X30" i="44" s="1"/>
  <c r="Y30" i="44" s="1"/>
  <c r="AI30" i="44" s="1"/>
  <c r="AJ30" i="44" s="1"/>
  <c r="AK30" i="44" s="1"/>
  <c r="Q56" i="44"/>
  <c r="X56" i="44" s="1" a="1"/>
  <c r="X56" i="44" s="1"/>
  <c r="Y56" i="44" s="1"/>
  <c r="AI56" i="44" s="1"/>
  <c r="AJ56" i="44" s="1"/>
  <c r="AK56" i="44" s="1"/>
  <c r="Q14" i="44"/>
  <c r="X14" i="44" s="1" a="1"/>
  <c r="X14" i="44" s="1"/>
  <c r="Y14" i="44" s="1"/>
  <c r="AI14" i="44" s="1"/>
  <c r="AJ14" i="44" s="1"/>
  <c r="AK14" i="44" s="1"/>
  <c r="Q65" i="44"/>
  <c r="X65" i="44" s="1" a="1"/>
  <c r="X65" i="44" s="1"/>
  <c r="Y65" i="44" s="1"/>
  <c r="AI65" i="44" s="1"/>
  <c r="AJ65" i="44" s="1"/>
  <c r="AK65" i="44" s="1"/>
  <c r="Q32" i="44"/>
  <c r="X32" i="44" s="1" a="1"/>
  <c r="X32" i="44" s="1"/>
  <c r="Y32" i="44" s="1"/>
  <c r="AI32" i="44" s="1"/>
  <c r="AJ32" i="44" s="1"/>
  <c r="AK32" i="44" s="1"/>
  <c r="Q12" i="44"/>
  <c r="X12" i="44" s="1" a="1"/>
  <c r="X12" i="44" s="1"/>
  <c r="Y12" i="44" s="1"/>
  <c r="AI12" i="44" s="1"/>
  <c r="AJ12" i="44" s="1"/>
  <c r="AK12" i="44" s="1"/>
  <c r="Q28" i="44"/>
  <c r="X28" i="44" s="1" a="1"/>
  <c r="X28" i="44" s="1"/>
  <c r="Y28" i="44" s="1"/>
  <c r="AI28" i="44" s="1"/>
  <c r="AJ28" i="44" s="1"/>
  <c r="AK28" i="44" s="1"/>
  <c r="Q36" i="44"/>
  <c r="X36" i="44" s="1" a="1"/>
  <c r="X36" i="44" s="1"/>
  <c r="Y36" i="44" s="1"/>
  <c r="AI36" i="44" s="1"/>
  <c r="AJ36" i="44" s="1"/>
  <c r="AK36" i="44" s="1"/>
  <c r="Q68" i="44"/>
  <c r="X68" i="44" s="1" a="1"/>
  <c r="X68" i="44" s="1"/>
  <c r="Y68" i="44" s="1"/>
  <c r="AI68" i="44" s="1"/>
  <c r="AJ68" i="44" s="1"/>
  <c r="AK68" i="44" s="1"/>
  <c r="Q100" i="44"/>
  <c r="X100" i="44" s="1" a="1"/>
  <c r="X100" i="44" s="1"/>
  <c r="Y100" i="44" s="1"/>
  <c r="AI100" i="44" s="1"/>
  <c r="AJ100" i="44" s="1"/>
  <c r="AK100" i="44" s="1"/>
  <c r="Q107" i="44"/>
  <c r="X107" i="44" s="1" a="1"/>
  <c r="X107" i="44" s="1"/>
  <c r="Y107" i="44" s="1"/>
  <c r="AI107" i="44" s="1"/>
  <c r="AJ107" i="44" s="1"/>
  <c r="AK107" i="44" s="1"/>
  <c r="Q77" i="44"/>
  <c r="X77" i="44" s="1" a="1"/>
  <c r="X77" i="44" s="1"/>
  <c r="Y77" i="44" s="1"/>
  <c r="AI77" i="44" s="1"/>
  <c r="AJ77" i="44" s="1"/>
  <c r="AK77" i="44" s="1"/>
  <c r="Q109" i="44"/>
  <c r="X109" i="44" s="1" a="1"/>
  <c r="X109" i="44" s="1"/>
  <c r="Y109" i="44" s="1"/>
  <c r="AI109" i="44" s="1"/>
  <c r="AJ109" i="44" s="1"/>
  <c r="AK109" i="44" s="1"/>
  <c r="Q76" i="44"/>
  <c r="X76" i="44" s="1" a="1"/>
  <c r="X76" i="44" s="1"/>
  <c r="Y76" i="44" s="1"/>
  <c r="AI76" i="44" s="1"/>
  <c r="AJ76" i="44" s="1"/>
  <c r="AK76" i="44" s="1"/>
  <c r="Q51" i="44"/>
  <c r="X51" i="44" s="1" a="1"/>
  <c r="X51" i="44" s="1"/>
  <c r="Y51" i="44" s="1"/>
  <c r="AI51" i="44" s="1"/>
  <c r="AJ51" i="44" s="1"/>
  <c r="AK51" i="44" s="1"/>
  <c r="AM10" i="44" l="1"/>
  <c r="AC10" i="42" l="1" a="1"/>
  <c r="AC10" i="42" s="1"/>
  <c r="W109" i="42"/>
  <c r="W108" i="42"/>
  <c r="W107" i="42"/>
  <c r="W106" i="42"/>
  <c r="W105" i="42"/>
  <c r="W104" i="42"/>
  <c r="W103" i="42"/>
  <c r="W102" i="42"/>
  <c r="W101" i="42"/>
  <c r="W100" i="42"/>
  <c r="W99" i="42"/>
  <c r="W98" i="42"/>
  <c r="W97" i="42"/>
  <c r="W96" i="42"/>
  <c r="W95" i="42"/>
  <c r="W94" i="42"/>
  <c r="W93" i="42"/>
  <c r="W92" i="42"/>
  <c r="W91" i="42"/>
  <c r="W90" i="42"/>
  <c r="W89" i="42"/>
  <c r="W88" i="42"/>
  <c r="W87" i="42"/>
  <c r="W86" i="42"/>
  <c r="W85" i="42"/>
  <c r="W84" i="42"/>
  <c r="W83" i="42"/>
  <c r="W82" i="42"/>
  <c r="W81" i="42"/>
  <c r="W80" i="42"/>
  <c r="W79" i="42"/>
  <c r="W78" i="42"/>
  <c r="W77" i="42"/>
  <c r="W76" i="42"/>
  <c r="W75" i="42"/>
  <c r="W74" i="42"/>
  <c r="W73" i="42"/>
  <c r="W72" i="42"/>
  <c r="W71" i="42"/>
  <c r="W70" i="42"/>
  <c r="W69" i="42"/>
  <c r="W68" i="42"/>
  <c r="W67" i="42"/>
  <c r="W66" i="42"/>
  <c r="W65" i="42"/>
  <c r="W64" i="42"/>
  <c r="W63" i="42"/>
  <c r="W62" i="42"/>
  <c r="W61" i="42"/>
  <c r="W60" i="42"/>
  <c r="W59" i="42"/>
  <c r="W58" i="42"/>
  <c r="W57" i="42"/>
  <c r="W56" i="42"/>
  <c r="W55" i="42"/>
  <c r="W54" i="42"/>
  <c r="W53" i="42"/>
  <c r="W52" i="42"/>
  <c r="W51" i="42"/>
  <c r="W50" i="42"/>
  <c r="W49" i="42"/>
  <c r="W48" i="42"/>
  <c r="W47" i="42"/>
  <c r="W46" i="42"/>
  <c r="W45" i="42"/>
  <c r="W44" i="42"/>
  <c r="W43" i="42"/>
  <c r="W42" i="42"/>
  <c r="W41" i="42"/>
  <c r="W40" i="42"/>
  <c r="W39" i="42"/>
  <c r="W38" i="42"/>
  <c r="W37" i="42"/>
  <c r="W36" i="42"/>
  <c r="W35" i="42"/>
  <c r="W34" i="42"/>
  <c r="W33" i="42"/>
  <c r="W32" i="42"/>
  <c r="W31" i="42"/>
  <c r="W30" i="42"/>
  <c r="W29" i="42"/>
  <c r="W28" i="42"/>
  <c r="W27" i="42"/>
  <c r="W26" i="42"/>
  <c r="W25" i="42"/>
  <c r="W24" i="42"/>
  <c r="W23" i="42"/>
  <c r="W22" i="42"/>
  <c r="W21" i="42"/>
  <c r="W20" i="42"/>
  <c r="W19" i="42"/>
  <c r="W17" i="42"/>
  <c r="W16" i="42"/>
  <c r="W15" i="42"/>
  <c r="N15" i="42"/>
  <c r="M15" i="42"/>
  <c r="L15" i="42"/>
  <c r="K15" i="42"/>
  <c r="J15" i="42"/>
  <c r="I15" i="42"/>
  <c r="W14" i="42"/>
  <c r="N14" i="42"/>
  <c r="M14" i="42"/>
  <c r="L14" i="42"/>
  <c r="K14" i="42"/>
  <c r="J14" i="42"/>
  <c r="I14" i="42"/>
  <c r="W13" i="42"/>
  <c r="N13" i="42"/>
  <c r="M13" i="42"/>
  <c r="L13" i="42"/>
  <c r="K13" i="42"/>
  <c r="J13" i="42"/>
  <c r="I13" i="42"/>
  <c r="W12" i="42"/>
  <c r="N12" i="42"/>
  <c r="M12" i="42"/>
  <c r="L12" i="42"/>
  <c r="K12" i="42"/>
  <c r="J12" i="42"/>
  <c r="I12" i="42"/>
  <c r="W11" i="42"/>
  <c r="N11" i="42"/>
  <c r="M11" i="42"/>
  <c r="L11" i="42"/>
  <c r="K11" i="42"/>
  <c r="J11" i="42"/>
  <c r="I11" i="42"/>
  <c r="I21" i="42" s="1" a="1"/>
  <c r="W10" i="42"/>
  <c r="N10" i="42"/>
  <c r="M10" i="42"/>
  <c r="L10" i="42"/>
  <c r="K10" i="42"/>
  <c r="J10" i="42"/>
  <c r="I10" i="42"/>
  <c r="W109" i="41"/>
  <c r="W108" i="41"/>
  <c r="W107" i="41"/>
  <c r="W106" i="41"/>
  <c r="W105" i="41"/>
  <c r="W104" i="41"/>
  <c r="W103" i="41"/>
  <c r="W102" i="41"/>
  <c r="W101" i="41"/>
  <c r="W100" i="41"/>
  <c r="W99" i="41"/>
  <c r="W98" i="41"/>
  <c r="W97" i="41"/>
  <c r="W96" i="41"/>
  <c r="W95" i="41"/>
  <c r="W94" i="41"/>
  <c r="W93" i="41"/>
  <c r="W92" i="41"/>
  <c r="W91" i="41"/>
  <c r="W90" i="41"/>
  <c r="W89" i="41"/>
  <c r="W88" i="41"/>
  <c r="W87" i="41"/>
  <c r="W86" i="41"/>
  <c r="W85" i="41"/>
  <c r="W84" i="41"/>
  <c r="W83" i="41"/>
  <c r="W82" i="41"/>
  <c r="W81" i="41"/>
  <c r="W80" i="41"/>
  <c r="W79" i="41"/>
  <c r="W78" i="41"/>
  <c r="W77" i="41"/>
  <c r="W76" i="41"/>
  <c r="W75" i="41"/>
  <c r="W74" i="41"/>
  <c r="W73" i="41"/>
  <c r="W72" i="41"/>
  <c r="W71" i="41"/>
  <c r="W70" i="41"/>
  <c r="W69" i="41"/>
  <c r="W68" i="41"/>
  <c r="W67" i="41"/>
  <c r="W66" i="41"/>
  <c r="W65" i="41"/>
  <c r="W64" i="41"/>
  <c r="W63" i="41"/>
  <c r="W62" i="41"/>
  <c r="W61" i="41"/>
  <c r="W60" i="41"/>
  <c r="W59" i="41"/>
  <c r="W58" i="41"/>
  <c r="W57" i="41"/>
  <c r="W56" i="41"/>
  <c r="W55" i="41"/>
  <c r="W54" i="41"/>
  <c r="W53" i="41"/>
  <c r="W52" i="41"/>
  <c r="W51" i="41"/>
  <c r="W50" i="41"/>
  <c r="W49" i="41"/>
  <c r="W48" i="41"/>
  <c r="W47" i="41"/>
  <c r="W46" i="41"/>
  <c r="W45" i="41"/>
  <c r="W44" i="41"/>
  <c r="W43" i="41"/>
  <c r="W42" i="41"/>
  <c r="W41" i="41"/>
  <c r="W40" i="41"/>
  <c r="W39" i="41"/>
  <c r="W38" i="41"/>
  <c r="W37" i="41"/>
  <c r="W36" i="41"/>
  <c r="W35" i="41"/>
  <c r="W34" i="41"/>
  <c r="W33" i="41"/>
  <c r="W32" i="41"/>
  <c r="W31" i="41"/>
  <c r="W30" i="41"/>
  <c r="W29" i="41"/>
  <c r="W28" i="41"/>
  <c r="W27" i="41"/>
  <c r="W26" i="41"/>
  <c r="W25" i="41"/>
  <c r="W24" i="41"/>
  <c r="W23" i="41"/>
  <c r="W22" i="41"/>
  <c r="W21" i="41"/>
  <c r="W20" i="41"/>
  <c r="W19" i="41"/>
  <c r="W17" i="41"/>
  <c r="W16" i="41"/>
  <c r="W15" i="41"/>
  <c r="N15" i="41"/>
  <c r="M15" i="41"/>
  <c r="L15" i="41"/>
  <c r="K15" i="41"/>
  <c r="J15" i="41"/>
  <c r="I15" i="41"/>
  <c r="W14" i="41"/>
  <c r="N14" i="41"/>
  <c r="M14" i="41"/>
  <c r="L14" i="41"/>
  <c r="K14" i="41"/>
  <c r="J14" i="41"/>
  <c r="I24" i="41" s="1" a="1"/>
  <c r="I14" i="41"/>
  <c r="W13" i="41"/>
  <c r="N13" i="41"/>
  <c r="M13" i="41"/>
  <c r="L13" i="41"/>
  <c r="K13" i="41"/>
  <c r="J13" i="41"/>
  <c r="I13" i="41"/>
  <c r="W12" i="41"/>
  <c r="N12" i="41"/>
  <c r="M12" i="41"/>
  <c r="L12" i="41"/>
  <c r="K12" i="41"/>
  <c r="J12" i="41"/>
  <c r="I12" i="41"/>
  <c r="W11" i="41"/>
  <c r="N11" i="41"/>
  <c r="M11" i="41"/>
  <c r="L11" i="41"/>
  <c r="K11" i="41"/>
  <c r="J11" i="41"/>
  <c r="I11" i="41"/>
  <c r="W10" i="41"/>
  <c r="N10" i="41"/>
  <c r="M10" i="41"/>
  <c r="L10" i="41"/>
  <c r="K10" i="41"/>
  <c r="J10" i="41"/>
  <c r="I10" i="41"/>
  <c r="N15" i="38"/>
  <c r="M15" i="38"/>
  <c r="L15" i="38"/>
  <c r="K15" i="38"/>
  <c r="J15" i="38"/>
  <c r="I15" i="38"/>
  <c r="N14" i="38"/>
  <c r="M14" i="38"/>
  <c r="L14" i="38"/>
  <c r="K14" i="38"/>
  <c r="J14" i="38"/>
  <c r="I14" i="38"/>
  <c r="N13" i="38"/>
  <c r="M13" i="38"/>
  <c r="L13" i="38"/>
  <c r="K13" i="38"/>
  <c r="J13" i="38"/>
  <c r="I13" i="38"/>
  <c r="N12" i="38"/>
  <c r="M12" i="38"/>
  <c r="L12" i="38"/>
  <c r="K12" i="38"/>
  <c r="J12" i="38"/>
  <c r="I12" i="38"/>
  <c r="N11" i="38"/>
  <c r="M11" i="38"/>
  <c r="L11" i="38"/>
  <c r="K11" i="38"/>
  <c r="J11" i="38"/>
  <c r="I11" i="38"/>
  <c r="N10" i="38"/>
  <c r="M10" i="38"/>
  <c r="L10" i="38"/>
  <c r="K10" i="38"/>
  <c r="J10" i="38"/>
  <c r="I10" i="38"/>
  <c r="C26" i="28"/>
  <c r="C15" i="29" a="1"/>
  <c r="C23" i="28"/>
  <c r="C20" i="28"/>
  <c r="P10" i="42" a="1"/>
  <c r="P10" i="41" a="1"/>
  <c r="I25" i="41" l="1" a="1"/>
  <c r="M25" i="41" s="1"/>
  <c r="I22" i="42" a="1"/>
  <c r="P10" i="42"/>
  <c r="N22" i="42"/>
  <c r="M22" i="42"/>
  <c r="L22" i="42"/>
  <c r="K22" i="42"/>
  <c r="J22" i="42"/>
  <c r="I22" i="42"/>
  <c r="I33" i="42" s="1"/>
  <c r="L21" i="42"/>
  <c r="K21" i="42"/>
  <c r="J21" i="42"/>
  <c r="I21" i="42"/>
  <c r="I32" i="42" s="1"/>
  <c r="N21" i="42"/>
  <c r="M21" i="42"/>
  <c r="I23" i="42" a="1"/>
  <c r="I24" i="42" a="1"/>
  <c r="I25" i="42" a="1"/>
  <c r="I20" i="42" a="1"/>
  <c r="I20" i="41" a="1"/>
  <c r="J20" i="41" s="1"/>
  <c r="I21" i="41" a="1"/>
  <c r="I23" i="41" a="1"/>
  <c r="K23" i="41" s="1"/>
  <c r="I22" i="41" a="1"/>
  <c r="I22" i="41" s="1"/>
  <c r="I33" i="41" s="1"/>
  <c r="P10" i="41"/>
  <c r="N20" i="41"/>
  <c r="M20" i="41"/>
  <c r="L20" i="41"/>
  <c r="K20" i="41"/>
  <c r="I20" i="41"/>
  <c r="I31" i="41" s="1"/>
  <c r="J23" i="41"/>
  <c r="I23" i="41"/>
  <c r="I34" i="41" s="1"/>
  <c r="N23" i="41"/>
  <c r="M23" i="41"/>
  <c r="L23" i="41"/>
  <c r="N24" i="41"/>
  <c r="M24" i="41"/>
  <c r="L24" i="41"/>
  <c r="K24" i="41"/>
  <c r="J24" i="41"/>
  <c r="I24" i="41"/>
  <c r="I35" i="41" s="1"/>
  <c r="K21" i="41"/>
  <c r="J21" i="41"/>
  <c r="I21" i="41"/>
  <c r="I32" i="41" s="1"/>
  <c r="N21" i="41"/>
  <c r="M21" i="41"/>
  <c r="L21" i="41"/>
  <c r="M22" i="41"/>
  <c r="K22" i="41"/>
  <c r="J22" i="41"/>
  <c r="I21" i="38" a="1"/>
  <c r="L21" i="38" s="1"/>
  <c r="I22" i="38" a="1"/>
  <c r="K22" i="38" s="1"/>
  <c r="I25" i="38" a="1"/>
  <c r="M25" i="38" s="1"/>
  <c r="I24" i="38" a="1"/>
  <c r="K24" i="38" s="1"/>
  <c r="I20" i="38" a="1"/>
  <c r="N20" i="38" s="1"/>
  <c r="I23" i="38" a="1"/>
  <c r="I23" i="38" s="1"/>
  <c r="I34" i="38" s="1"/>
  <c r="N22" i="38"/>
  <c r="C15" i="29"/>
  <c r="C18" i="29" s="1"/>
  <c r="C21" i="29" s="1"/>
  <c r="E18" i="29"/>
  <c r="E21" i="29" s="1"/>
  <c r="F18" i="29"/>
  <c r="F21" i="29" s="1"/>
  <c r="G18" i="29"/>
  <c r="G21" i="29" s="1"/>
  <c r="N25" i="41" l="1"/>
  <c r="J25" i="41"/>
  <c r="K25" i="41"/>
  <c r="I25" i="41"/>
  <c r="I36" i="41" s="1"/>
  <c r="J36" i="41" s="1"/>
  <c r="K36" i="41" s="1"/>
  <c r="L25" i="41"/>
  <c r="J32" i="42"/>
  <c r="K32" i="42" s="1"/>
  <c r="L32" i="42" s="1"/>
  <c r="M32" i="42" s="1"/>
  <c r="N32" i="42" s="1"/>
  <c r="I20" i="42"/>
  <c r="I31" i="42" s="1"/>
  <c r="N20" i="42"/>
  <c r="M20" i="42"/>
  <c r="L20" i="42"/>
  <c r="K20" i="42"/>
  <c r="J20" i="42"/>
  <c r="M24" i="42"/>
  <c r="L24" i="42"/>
  <c r="K24" i="42"/>
  <c r="J24" i="42"/>
  <c r="I24" i="42"/>
  <c r="I35" i="42" s="1"/>
  <c r="N24" i="42"/>
  <c r="N25" i="42"/>
  <c r="M25" i="42"/>
  <c r="L25" i="42"/>
  <c r="K25" i="42"/>
  <c r="J25" i="42"/>
  <c r="I25" i="42"/>
  <c r="I36" i="42" s="1"/>
  <c r="J23" i="42"/>
  <c r="I23" i="42"/>
  <c r="I34" i="42" s="1"/>
  <c r="N23" i="42"/>
  <c r="M23" i="42"/>
  <c r="L23" i="42"/>
  <c r="K23" i="42"/>
  <c r="J33" i="42"/>
  <c r="J32" i="41"/>
  <c r="K32" i="41" s="1"/>
  <c r="L32" i="41" s="1"/>
  <c r="M32" i="41" s="1"/>
  <c r="N32" i="41" s="1"/>
  <c r="L22" i="41"/>
  <c r="N22" i="41"/>
  <c r="J34" i="41"/>
  <c r="K34" i="41" s="1"/>
  <c r="L34" i="41" s="1"/>
  <c r="M34" i="41" s="1"/>
  <c r="N34" i="41" s="1"/>
  <c r="L24" i="38"/>
  <c r="J33" i="41"/>
  <c r="J35" i="41"/>
  <c r="K35" i="41" s="1"/>
  <c r="L35" i="41" s="1"/>
  <c r="M35" i="41" s="1"/>
  <c r="N35" i="41" s="1"/>
  <c r="J31" i="41"/>
  <c r="J22" i="38"/>
  <c r="I22" i="38"/>
  <c r="I33" i="38" s="1"/>
  <c r="L22" i="38"/>
  <c r="M22" i="38"/>
  <c r="N21" i="38"/>
  <c r="K21" i="38"/>
  <c r="M21" i="38"/>
  <c r="I21" i="38"/>
  <c r="I32" i="38" s="1"/>
  <c r="J21" i="38"/>
  <c r="J25" i="38"/>
  <c r="I25" i="38"/>
  <c r="I36" i="38" s="1"/>
  <c r="K25" i="38"/>
  <c r="L25" i="38"/>
  <c r="N25" i="38"/>
  <c r="M23" i="38"/>
  <c r="I24" i="38"/>
  <c r="I35" i="38" s="1"/>
  <c r="J23" i="38"/>
  <c r="J34" i="38" s="1"/>
  <c r="I20" i="38"/>
  <c r="I31" i="38" s="1"/>
  <c r="K23" i="38"/>
  <c r="M24" i="38"/>
  <c r="J20" i="38"/>
  <c r="L23" i="38"/>
  <c r="N24" i="38"/>
  <c r="K20" i="38"/>
  <c r="N23" i="38"/>
  <c r="L20" i="38"/>
  <c r="J24" i="38"/>
  <c r="M20" i="38"/>
  <c r="D18" i="29"/>
  <c r="D21" i="29" s="1"/>
  <c r="F36" i="20"/>
  <c r="F35" i="20"/>
  <c r="F34" i="20"/>
  <c r="F33" i="20"/>
  <c r="F32" i="20"/>
  <c r="C29" i="20"/>
  <c r="D29" i="20" s="1"/>
  <c r="C28" i="20"/>
  <c r="D28" i="20" s="1"/>
  <c r="N28" i="20" s="1"/>
  <c r="C27" i="20"/>
  <c r="C26" i="20"/>
  <c r="D26" i="20" s="1"/>
  <c r="C25" i="20"/>
  <c r="M25" i="20" s="1"/>
  <c r="J19" i="20"/>
  <c r="I19" i="20"/>
  <c r="J18" i="20"/>
  <c r="I18" i="20"/>
  <c r="J17" i="20"/>
  <c r="I17" i="20"/>
  <c r="J16" i="20"/>
  <c r="I16" i="20"/>
  <c r="J15" i="20"/>
  <c r="I15" i="20"/>
  <c r="J14" i="20"/>
  <c r="I14" i="20"/>
  <c r="J13" i="20"/>
  <c r="I13" i="20"/>
  <c r="J12" i="20"/>
  <c r="I12" i="20"/>
  <c r="J11" i="20"/>
  <c r="I11" i="20"/>
  <c r="J10" i="20"/>
  <c r="I10" i="20"/>
  <c r="C15" i="20"/>
  <c r="H18" i="20" s="1"/>
  <c r="Q21" i="41" a="1"/>
  <c r="Q102" i="41" a="1"/>
  <c r="Q12" i="41" a="1"/>
  <c r="Q54" i="41" a="1"/>
  <c r="Q100" i="41" a="1"/>
  <c r="Q39" i="41" a="1"/>
  <c r="Q97" i="42" a="1"/>
  <c r="Q80" i="41" a="1"/>
  <c r="Q51" i="41" a="1"/>
  <c r="Q93" i="41" a="1"/>
  <c r="Q45" i="41" a="1"/>
  <c r="Q68" i="41" a="1"/>
  <c r="Q95" i="41" a="1"/>
  <c r="Q46" i="41" a="1"/>
  <c r="Q43" i="41" a="1"/>
  <c r="Q39" i="42" a="1"/>
  <c r="Q85" i="42" a="1"/>
  <c r="Q23" i="41" a="1"/>
  <c r="Q73" i="41" a="1"/>
  <c r="Q29" i="41" a="1"/>
  <c r="Q59" i="41" a="1"/>
  <c r="Q28" i="41" a="1"/>
  <c r="Q48" i="42" a="1"/>
  <c r="Q27" i="41" a="1"/>
  <c r="Q69" i="42" a="1"/>
  <c r="Q15" i="41" a="1"/>
  <c r="Q50" i="42" a="1"/>
  <c r="Q50" i="41" a="1"/>
  <c r="Q56" i="41" a="1"/>
  <c r="Q63" i="41" a="1"/>
  <c r="Q82" i="42" a="1"/>
  <c r="Q74" i="42" a="1"/>
  <c r="Q41" i="42" a="1"/>
  <c r="Q85" i="41" a="1"/>
  <c r="Q45" i="42" a="1"/>
  <c r="Q14" i="41" a="1"/>
  <c r="Q32" i="41" a="1"/>
  <c r="Q74" i="41" a="1"/>
  <c r="Q26" i="41" a="1"/>
  <c r="Q84" i="41" a="1"/>
  <c r="Q90" i="41" a="1"/>
  <c r="Q93" i="42" a="1"/>
  <c r="Q107" i="41" a="1"/>
  <c r="Q103" i="41" a="1"/>
  <c r="Q69" i="41" a="1"/>
  <c r="Q52" i="41" a="1"/>
  <c r="Q38" i="41" a="1"/>
  <c r="Q41" i="41" a="1"/>
  <c r="Q48" i="41" a="1"/>
  <c r="Q44" i="41" a="1"/>
  <c r="Q30" i="41" a="1"/>
  <c r="Q58" i="41" a="1"/>
  <c r="Q76" i="41" a="1"/>
  <c r="Q97" i="41" a="1"/>
  <c r="Q49" i="41" a="1"/>
  <c r="Q77" i="41" a="1"/>
  <c r="Q43" i="42" a="1"/>
  <c r="Q89" i="42" a="1"/>
  <c r="Q36" i="41" a="1"/>
  <c r="Q35" i="41" a="1"/>
  <c r="Q61" i="41" a="1"/>
  <c r="Q88" i="41" a="1"/>
  <c r="Q38" i="42" a="1"/>
  <c r="Q82" i="41" a="1"/>
  <c r="Q87" i="41" a="1"/>
  <c r="Q109" i="41" a="1"/>
  <c r="Q91" i="41" a="1"/>
  <c r="Q89" i="41" a="1"/>
  <c r="Q65" i="41" a="1"/>
  <c r="Q55" i="41" a="1"/>
  <c r="Q73" i="42" a="1"/>
  <c r="Q92" i="41" a="1"/>
  <c r="Q52" i="42" a="1"/>
  <c r="Q27" i="42" a="1"/>
  <c r="Q11" i="41" a="1"/>
  <c r="J34" i="42" l="1"/>
  <c r="Q52" i="42"/>
  <c r="X52" i="42" s="1" a="1"/>
  <c r="X52" i="42" s="1"/>
  <c r="Y52" i="42" s="1"/>
  <c r="Q89" i="42"/>
  <c r="X89" i="42" s="1" a="1"/>
  <c r="X89" i="42" s="1"/>
  <c r="Y89" i="42" s="1"/>
  <c r="Q43" i="42"/>
  <c r="X43" i="42" s="1" a="1"/>
  <c r="X43" i="42" s="1"/>
  <c r="Y43" i="42" s="1"/>
  <c r="Q48" i="42"/>
  <c r="X48" i="42" s="1" a="1"/>
  <c r="X48" i="42" s="1"/>
  <c r="Y48" i="42" s="1"/>
  <c r="Q85" i="42"/>
  <c r="X85" i="42" s="1" a="1"/>
  <c r="X85" i="42" s="1"/>
  <c r="Y85" i="42" s="1"/>
  <c r="Q74" i="42"/>
  <c r="X74" i="42" s="1" a="1"/>
  <c r="X74" i="42" s="1"/>
  <c r="Y74" i="42" s="1"/>
  <c r="Q39" i="42"/>
  <c r="X39" i="42" s="1" a="1"/>
  <c r="X39" i="42" s="1"/>
  <c r="Y39" i="42" s="1"/>
  <c r="Q45" i="42"/>
  <c r="X45" i="42" s="1" a="1"/>
  <c r="X45" i="42" s="1"/>
  <c r="Y45" i="42" s="1"/>
  <c r="Q82" i="42"/>
  <c r="X82" i="42" s="1" a="1"/>
  <c r="X82" i="42" s="1"/>
  <c r="Y82" i="42" s="1"/>
  <c r="Q73" i="42"/>
  <c r="X73" i="42" s="1" a="1"/>
  <c r="X73" i="42" s="1"/>
  <c r="Y73" i="42" s="1"/>
  <c r="Q41" i="42"/>
  <c r="X41" i="42" s="1" a="1"/>
  <c r="X41" i="42" s="1"/>
  <c r="Y41" i="42" s="1"/>
  <c r="Q38" i="42"/>
  <c r="X38" i="42" s="1" a="1"/>
  <c r="X38" i="42" s="1"/>
  <c r="Y38" i="42" s="1"/>
  <c r="Q69" i="42"/>
  <c r="X69" i="42" s="1" a="1"/>
  <c r="X69" i="42" s="1"/>
  <c r="Y69" i="42" s="1"/>
  <c r="Q50" i="42"/>
  <c r="X50" i="42" s="1" a="1"/>
  <c r="X50" i="42" s="1"/>
  <c r="Y50" i="42" s="1"/>
  <c r="Q97" i="42"/>
  <c r="X97" i="42" s="1" a="1"/>
  <c r="X97" i="42" s="1"/>
  <c r="Y97" i="42" s="1"/>
  <c r="Q27" i="42"/>
  <c r="X27" i="42" s="1" a="1"/>
  <c r="X27" i="42" s="1"/>
  <c r="Y27" i="42" s="1"/>
  <c r="Q93" i="42"/>
  <c r="X93" i="42" s="1" a="1"/>
  <c r="X93" i="42" s="1"/>
  <c r="Y93" i="42" s="1"/>
  <c r="J31" i="42"/>
  <c r="J33" i="38"/>
  <c r="K33" i="38" s="1"/>
  <c r="J35" i="42"/>
  <c r="K35" i="42" s="1"/>
  <c r="L35" i="42" s="1"/>
  <c r="M35" i="42" s="1"/>
  <c r="N35" i="42" s="1"/>
  <c r="K34" i="42"/>
  <c r="J36" i="42"/>
  <c r="K36" i="42" s="1"/>
  <c r="L36" i="42" s="1"/>
  <c r="M36" i="42" s="1"/>
  <c r="N36" i="42" s="1"/>
  <c r="K33" i="42"/>
  <c r="J36" i="38"/>
  <c r="Q41" i="41"/>
  <c r="X41" i="41" s="1" a="1"/>
  <c r="X41" i="41" s="1"/>
  <c r="Y41" i="41" s="1"/>
  <c r="Q48" i="41"/>
  <c r="X48" i="41" s="1" a="1"/>
  <c r="X48" i="41" s="1"/>
  <c r="Y48" i="41" s="1"/>
  <c r="Q97" i="41"/>
  <c r="X97" i="41" s="1" a="1"/>
  <c r="X97" i="41" s="1"/>
  <c r="Y97" i="41" s="1"/>
  <c r="Q89" i="41"/>
  <c r="X89" i="41" s="1" a="1"/>
  <c r="X89" i="41" s="1"/>
  <c r="Y89" i="41" s="1"/>
  <c r="Q39" i="41"/>
  <c r="X39" i="41" s="1" a="1"/>
  <c r="X39" i="41" s="1"/>
  <c r="Y39" i="41" s="1"/>
  <c r="Q82" i="41"/>
  <c r="X82" i="41" s="1" a="1"/>
  <c r="X82" i="41" s="1"/>
  <c r="Y82" i="41" s="1"/>
  <c r="Q45" i="41"/>
  <c r="X45" i="41" s="1" a="1"/>
  <c r="X45" i="41" s="1"/>
  <c r="Y45" i="41" s="1"/>
  <c r="Q74" i="41"/>
  <c r="X74" i="41" s="1" a="1"/>
  <c r="X74" i="41" s="1"/>
  <c r="Y74" i="41" s="1"/>
  <c r="Q73" i="41"/>
  <c r="X73" i="41" s="1" a="1"/>
  <c r="X73" i="41" s="1"/>
  <c r="Y73" i="41" s="1"/>
  <c r="Q27" i="41"/>
  <c r="X27" i="41" s="1" a="1"/>
  <c r="X27" i="41" s="1"/>
  <c r="Y27" i="41" s="1"/>
  <c r="Q93" i="41"/>
  <c r="X93" i="41" s="1" a="1"/>
  <c r="X93" i="41" s="1"/>
  <c r="Y93" i="41" s="1"/>
  <c r="Q85" i="41"/>
  <c r="X85" i="41" s="1" a="1"/>
  <c r="X85" i="41" s="1"/>
  <c r="Y85" i="41" s="1"/>
  <c r="Q50" i="41"/>
  <c r="X50" i="41" s="1" a="1"/>
  <c r="X50" i="41" s="1"/>
  <c r="Y50" i="41" s="1"/>
  <c r="Q43" i="41"/>
  <c r="X43" i="41" s="1" a="1"/>
  <c r="X43" i="41" s="1"/>
  <c r="Y43" i="41" s="1"/>
  <c r="Q52" i="41"/>
  <c r="X52" i="41" s="1" a="1"/>
  <c r="X52" i="41" s="1"/>
  <c r="Y52" i="41" s="1"/>
  <c r="Q69" i="41"/>
  <c r="X69" i="41" s="1" a="1"/>
  <c r="X69" i="41" s="1"/>
  <c r="Y69" i="41" s="1"/>
  <c r="Q38" i="41"/>
  <c r="X38" i="41" s="1" a="1"/>
  <c r="X38" i="41" s="1"/>
  <c r="Y38" i="41" s="1"/>
  <c r="Q44" i="41"/>
  <c r="X44" i="41" s="1" a="1"/>
  <c r="X44" i="41" s="1"/>
  <c r="Y44" i="41" s="1"/>
  <c r="Q55" i="41"/>
  <c r="X55" i="41" s="1" a="1"/>
  <c r="X55" i="41" s="1"/>
  <c r="Y55" i="41" s="1"/>
  <c r="Q91" i="41"/>
  <c r="X91" i="41" s="1" a="1"/>
  <c r="X91" i="41" s="1"/>
  <c r="Y91" i="41" s="1"/>
  <c r="Q90" i="41"/>
  <c r="X90" i="41" s="1" a="1"/>
  <c r="X90" i="41" s="1"/>
  <c r="Y90" i="41" s="1"/>
  <c r="Q11" i="41"/>
  <c r="X11" i="41" s="1" a="1"/>
  <c r="X11" i="41" s="1"/>
  <c r="Y11" i="41" s="1"/>
  <c r="Q29" i="41"/>
  <c r="X29" i="41" s="1" a="1"/>
  <c r="X29" i="41" s="1"/>
  <c r="Y29" i="41" s="1"/>
  <c r="Q92" i="41"/>
  <c r="X92" i="41" s="1" a="1"/>
  <c r="X92" i="41" s="1"/>
  <c r="Y92" i="41" s="1"/>
  <c r="Q15" i="41"/>
  <c r="X15" i="41" s="1" a="1"/>
  <c r="X15" i="41" s="1"/>
  <c r="Y15" i="41" s="1"/>
  <c r="Q95" i="41"/>
  <c r="X95" i="41" s="1" a="1"/>
  <c r="X95" i="41" s="1"/>
  <c r="Y95" i="41" s="1"/>
  <c r="Q88" i="41"/>
  <c r="X88" i="41" s="1" a="1"/>
  <c r="X88" i="41" s="1"/>
  <c r="Y88" i="41" s="1"/>
  <c r="Q87" i="41"/>
  <c r="X87" i="41" s="1" a="1"/>
  <c r="X87" i="41" s="1"/>
  <c r="Y87" i="41" s="1"/>
  <c r="Q35" i="41"/>
  <c r="X35" i="41" s="1" a="1"/>
  <c r="X35" i="41" s="1"/>
  <c r="Y35" i="41" s="1"/>
  <c r="Q58" i="41"/>
  <c r="X58" i="41" s="1" a="1"/>
  <c r="X58" i="41" s="1"/>
  <c r="Y58" i="41" s="1"/>
  <c r="Q54" i="41"/>
  <c r="X54" i="41" s="1" a="1"/>
  <c r="X54" i="41" s="1"/>
  <c r="Y54" i="41" s="1"/>
  <c r="Q46" i="41"/>
  <c r="X46" i="41" s="1" a="1"/>
  <c r="X46" i="41" s="1"/>
  <c r="Y46" i="41" s="1"/>
  <c r="Q49" i="41"/>
  <c r="X49" i="41" s="1" a="1"/>
  <c r="X49" i="41" s="1"/>
  <c r="Y49" i="41" s="1"/>
  <c r="Q63" i="41"/>
  <c r="X63" i="41" s="1" a="1"/>
  <c r="X63" i="41" s="1"/>
  <c r="Y63" i="41" s="1"/>
  <c r="Q21" i="41"/>
  <c r="X21" i="41" s="1" a="1"/>
  <c r="X21" i="41" s="1"/>
  <c r="Y21" i="41" s="1"/>
  <c r="Q102" i="41"/>
  <c r="X102" i="41" s="1" a="1"/>
  <c r="X102" i="41" s="1"/>
  <c r="Y102" i="41" s="1"/>
  <c r="Q30" i="41"/>
  <c r="X30" i="41" s="1" a="1"/>
  <c r="X30" i="41" s="1"/>
  <c r="Y30" i="41" s="1"/>
  <c r="Q61" i="41"/>
  <c r="X61" i="41" s="1" a="1"/>
  <c r="X61" i="41" s="1"/>
  <c r="Y61" i="41" s="1"/>
  <c r="Q100" i="41"/>
  <c r="X100" i="41" s="1" a="1"/>
  <c r="X100" i="41" s="1"/>
  <c r="Y100" i="41" s="1"/>
  <c r="Q36" i="41"/>
  <c r="X36" i="41" s="1" a="1"/>
  <c r="X36" i="41" s="1"/>
  <c r="Y36" i="41" s="1"/>
  <c r="Q26" i="41"/>
  <c r="X26" i="41" s="1" a="1"/>
  <c r="X26" i="41" s="1"/>
  <c r="Y26" i="41" s="1"/>
  <c r="Q103" i="41"/>
  <c r="X103" i="41" s="1" a="1"/>
  <c r="X103" i="41" s="1"/>
  <c r="Y103" i="41" s="1"/>
  <c r="Q109" i="41"/>
  <c r="X109" i="41" s="1" a="1"/>
  <c r="X109" i="41" s="1"/>
  <c r="Y109" i="41" s="1"/>
  <c r="Q32" i="41"/>
  <c r="X32" i="41" s="1" a="1"/>
  <c r="X32" i="41" s="1"/>
  <c r="Y32" i="41" s="1"/>
  <c r="Q84" i="41"/>
  <c r="X84" i="41" s="1" a="1"/>
  <c r="X84" i="41" s="1"/>
  <c r="Y84" i="41" s="1"/>
  <c r="Q28" i="41"/>
  <c r="X28" i="41" s="1" a="1"/>
  <c r="X28" i="41" s="1"/>
  <c r="Y28" i="41" s="1"/>
  <c r="Q76" i="41"/>
  <c r="X76" i="41" s="1" a="1"/>
  <c r="X76" i="41" s="1"/>
  <c r="Y76" i="41" s="1"/>
  <c r="Q80" i="41"/>
  <c r="X80" i="41" s="1" a="1"/>
  <c r="X80" i="41" s="1"/>
  <c r="Y80" i="41" s="1"/>
  <c r="Q59" i="41"/>
  <c r="X59" i="41" s="1" a="1"/>
  <c r="X59" i="41" s="1"/>
  <c r="Y59" i="41" s="1"/>
  <c r="Q65" i="41"/>
  <c r="X65" i="41" s="1" a="1"/>
  <c r="X65" i="41" s="1"/>
  <c r="Y65" i="41" s="1"/>
  <c r="Q68" i="41"/>
  <c r="X68" i="41" s="1" a="1"/>
  <c r="X68" i="41" s="1"/>
  <c r="Y68" i="41" s="1"/>
  <c r="Q51" i="41"/>
  <c r="X51" i="41" s="1" a="1"/>
  <c r="X51" i="41" s="1"/>
  <c r="Y51" i="41" s="1"/>
  <c r="Q14" i="41"/>
  <c r="X14" i="41" s="1" a="1"/>
  <c r="X14" i="41" s="1"/>
  <c r="Y14" i="41" s="1"/>
  <c r="Q77" i="41"/>
  <c r="X77" i="41" s="1" a="1"/>
  <c r="X77" i="41" s="1"/>
  <c r="Y77" i="41" s="1"/>
  <c r="Q23" i="41"/>
  <c r="X23" i="41" s="1" a="1"/>
  <c r="X23" i="41" s="1"/>
  <c r="Y23" i="41" s="1"/>
  <c r="Q107" i="41"/>
  <c r="X107" i="41" s="1" a="1"/>
  <c r="X107" i="41" s="1"/>
  <c r="Y107" i="41" s="1"/>
  <c r="Q12" i="41"/>
  <c r="X12" i="41" s="1" a="1"/>
  <c r="X12" i="41" s="1"/>
  <c r="Y12" i="41" s="1"/>
  <c r="Q56" i="41"/>
  <c r="X56" i="41" s="1" a="1"/>
  <c r="X56" i="41" s="1"/>
  <c r="Y56" i="41" s="1"/>
  <c r="J32" i="38"/>
  <c r="K32" i="38" s="1"/>
  <c r="L32" i="38" s="1"/>
  <c r="M32" i="38" s="1"/>
  <c r="N32" i="38" s="1"/>
  <c r="K31" i="41"/>
  <c r="L36" i="41"/>
  <c r="K33" i="41"/>
  <c r="K36" i="38"/>
  <c r="L36" i="38" s="1"/>
  <c r="M36" i="38" s="1"/>
  <c r="N36" i="38" s="1"/>
  <c r="J35" i="38"/>
  <c r="K35" i="38" s="1"/>
  <c r="L35" i="38" s="1"/>
  <c r="M35" i="38" s="1"/>
  <c r="N35" i="38" s="1"/>
  <c r="J31" i="38"/>
  <c r="K31" i="38" s="1"/>
  <c r="L31" i="38" s="1"/>
  <c r="M31" i="38" s="1"/>
  <c r="N31" i="38" s="1"/>
  <c r="K34" i="38"/>
  <c r="L34" i="38" s="1"/>
  <c r="M34" i="38" s="1"/>
  <c r="N34" i="38" s="1"/>
  <c r="L33" i="38"/>
  <c r="M33" i="38" s="1"/>
  <c r="N33" i="38" s="1"/>
  <c r="M28" i="20"/>
  <c r="M26" i="20"/>
  <c r="O29" i="20"/>
  <c r="E29" i="20"/>
  <c r="P29" i="20" s="1"/>
  <c r="N29" i="20"/>
  <c r="N27" i="20"/>
  <c r="N26" i="20"/>
  <c r="E26" i="20"/>
  <c r="O26" i="20" s="1"/>
  <c r="M29" i="20"/>
  <c r="D25" i="20"/>
  <c r="D27" i="20"/>
  <c r="E28" i="20"/>
  <c r="F28" i="20" s="1"/>
  <c r="M27" i="20"/>
  <c r="H17" i="20"/>
  <c r="H14" i="20"/>
  <c r="H13" i="20"/>
  <c r="H10" i="20"/>
  <c r="H12" i="20"/>
  <c r="H16" i="20"/>
  <c r="H11" i="20"/>
  <c r="H15" i="20"/>
  <c r="H19" i="20"/>
  <c r="Q63" i="42" a="1"/>
  <c r="Q15" i="42" a="1"/>
  <c r="Q102" i="42" a="1"/>
  <c r="Q44" i="42" a="1"/>
  <c r="Q55" i="42" a="1"/>
  <c r="Q11" i="42" a="1"/>
  <c r="Q95" i="42" a="1"/>
  <c r="Q94" i="42" a="1"/>
  <c r="Q57" i="42" a="1"/>
  <c r="Q29" i="42" a="1"/>
  <c r="Q101" i="42" a="1"/>
  <c r="Q70" i="42" a="1"/>
  <c r="Q88" i="42" a="1"/>
  <c r="Q92" i="42" a="1"/>
  <c r="Q35" i="42" a="1"/>
  <c r="Q46" i="42" a="1"/>
  <c r="Q47" i="42" a="1"/>
  <c r="Q25" i="42" a="1"/>
  <c r="Q62" i="42" a="1"/>
  <c r="Q13" i="42" a="1"/>
  <c r="Q91" i="42" a="1"/>
  <c r="Q87" i="42" a="1"/>
  <c r="Q40" i="42" a="1"/>
  <c r="Q49" i="42" a="1"/>
  <c r="Q58" i="42" a="1"/>
  <c r="Q81" i="42" a="1"/>
  <c r="Q86" i="42" a="1"/>
  <c r="Q60" i="42" a="1"/>
  <c r="Q105" i="42" a="1"/>
  <c r="Q90" i="42" a="1"/>
  <c r="Q42" i="42" a="1"/>
  <c r="Q54" i="42" a="1"/>
  <c r="Q67" i="42" a="1"/>
  <c r="Q104" i="42" a="1"/>
  <c r="Q21" i="42" a="1"/>
  <c r="Q31" i="42" a="1"/>
  <c r="Q37" i="42" a="1"/>
  <c r="Q10" i="42" a="1"/>
  <c r="Q21" i="42" l="1"/>
  <c r="X21" i="42" s="1" a="1"/>
  <c r="X21" i="42" s="1"/>
  <c r="Y21" i="42" s="1"/>
  <c r="Q88" i="42"/>
  <c r="X88" i="42" s="1" a="1"/>
  <c r="X88" i="42" s="1"/>
  <c r="Y88" i="42" s="1"/>
  <c r="Q87" i="42"/>
  <c r="X87" i="42" s="1" a="1"/>
  <c r="X87" i="42" s="1"/>
  <c r="Y87" i="42" s="1"/>
  <c r="Q11" i="42"/>
  <c r="X11" i="42" s="1" a="1"/>
  <c r="X11" i="42" s="1"/>
  <c r="Y11" i="42" s="1"/>
  <c r="Q55" i="42"/>
  <c r="X55" i="42" s="1" a="1"/>
  <c r="X55" i="42" s="1"/>
  <c r="Y55" i="42" s="1"/>
  <c r="Q35" i="42"/>
  <c r="X35" i="42" s="1" a="1"/>
  <c r="X35" i="42" s="1"/>
  <c r="Y35" i="42" s="1"/>
  <c r="Q92" i="42"/>
  <c r="X92" i="42" s="1" a="1"/>
  <c r="X92" i="42" s="1"/>
  <c r="Y92" i="42" s="1"/>
  <c r="Q91" i="42"/>
  <c r="X91" i="42" s="1" a="1"/>
  <c r="X91" i="42" s="1"/>
  <c r="Y91" i="42" s="1"/>
  <c r="Q15" i="42"/>
  <c r="X15" i="42" s="1" a="1"/>
  <c r="X15" i="42" s="1"/>
  <c r="Y15" i="42" s="1"/>
  <c r="Q63" i="42"/>
  <c r="X63" i="42" s="1" a="1"/>
  <c r="X63" i="42" s="1"/>
  <c r="Y63" i="42" s="1"/>
  <c r="Q95" i="42"/>
  <c r="X95" i="42" s="1" a="1"/>
  <c r="X95" i="42" s="1"/>
  <c r="Y95" i="42" s="1"/>
  <c r="Q29" i="42"/>
  <c r="X29" i="42" s="1" a="1"/>
  <c r="X29" i="42" s="1"/>
  <c r="Y29" i="42" s="1"/>
  <c r="Q54" i="42"/>
  <c r="X54" i="42" s="1" a="1"/>
  <c r="X54" i="42" s="1"/>
  <c r="Y54" i="42" s="1"/>
  <c r="Q46" i="42"/>
  <c r="X46" i="42" s="1" a="1"/>
  <c r="X46" i="42" s="1"/>
  <c r="Y46" i="42" s="1"/>
  <c r="Q58" i="42"/>
  <c r="X58" i="42" s="1" a="1"/>
  <c r="X58" i="42" s="1"/>
  <c r="Y58" i="42" s="1"/>
  <c r="Q49" i="42"/>
  <c r="X49" i="42" s="1" a="1"/>
  <c r="X49" i="42" s="1"/>
  <c r="Y49" i="42" s="1"/>
  <c r="Q44" i="42"/>
  <c r="X44" i="42" s="1" a="1"/>
  <c r="X44" i="42" s="1"/>
  <c r="Y44" i="42" s="1"/>
  <c r="Q90" i="42"/>
  <c r="X90" i="42" s="1" a="1"/>
  <c r="X90" i="42" s="1"/>
  <c r="Y90" i="42" s="1"/>
  <c r="Q102" i="42"/>
  <c r="X102" i="42" s="1" a="1"/>
  <c r="X102" i="42" s="1"/>
  <c r="Y102" i="42" s="1"/>
  <c r="Q94" i="42"/>
  <c r="X94" i="42" s="1" a="1"/>
  <c r="X94" i="42" s="1"/>
  <c r="Y94" i="42" s="1"/>
  <c r="Q10" i="42"/>
  <c r="X10" i="42" s="1" a="1"/>
  <c r="X10" i="42" s="1"/>
  <c r="Y10" i="42" s="1"/>
  <c r="Q60" i="42"/>
  <c r="X60" i="42" s="1" a="1"/>
  <c r="X60" i="42" s="1"/>
  <c r="Y60" i="42" s="1"/>
  <c r="Q31" i="42"/>
  <c r="X31" i="42" s="1" a="1"/>
  <c r="X31" i="42" s="1"/>
  <c r="Y31" i="42" s="1"/>
  <c r="Q37" i="42"/>
  <c r="X37" i="42" s="1" a="1"/>
  <c r="X37" i="42" s="1"/>
  <c r="Y37" i="42" s="1"/>
  <c r="Q101" i="42"/>
  <c r="X101" i="42" s="1" a="1"/>
  <c r="X101" i="42" s="1"/>
  <c r="Y101" i="42" s="1"/>
  <c r="Q25" i="42"/>
  <c r="X25" i="42" s="1" a="1"/>
  <c r="X25" i="42" s="1"/>
  <c r="Y25" i="42" s="1"/>
  <c r="Q105" i="42"/>
  <c r="X105" i="42" s="1" a="1"/>
  <c r="X105" i="42" s="1"/>
  <c r="Y105" i="42" s="1"/>
  <c r="Q67" i="42"/>
  <c r="X67" i="42" s="1" a="1"/>
  <c r="X67" i="42" s="1"/>
  <c r="Y67" i="42" s="1"/>
  <c r="Q13" i="42"/>
  <c r="X13" i="42" s="1" a="1"/>
  <c r="X13" i="42" s="1"/>
  <c r="Y13" i="42" s="1"/>
  <c r="Q42" i="42"/>
  <c r="X42" i="42" s="1" a="1"/>
  <c r="X42" i="42" s="1"/>
  <c r="Y42" i="42" s="1"/>
  <c r="Q40" i="42"/>
  <c r="X40" i="42" s="1" a="1"/>
  <c r="X40" i="42" s="1"/>
  <c r="Y40" i="42" s="1"/>
  <c r="Q104" i="42"/>
  <c r="X104" i="42" s="1" a="1"/>
  <c r="X104" i="42" s="1"/>
  <c r="Y104" i="42" s="1"/>
  <c r="Q86" i="42"/>
  <c r="X86" i="42" s="1" a="1"/>
  <c r="X86" i="42" s="1"/>
  <c r="Y86" i="42" s="1"/>
  <c r="Q47" i="42"/>
  <c r="X47" i="42" s="1" a="1"/>
  <c r="X47" i="42" s="1"/>
  <c r="Y47" i="42" s="1"/>
  <c r="Q70" i="42"/>
  <c r="X70" i="42" s="1" a="1"/>
  <c r="X70" i="42" s="1"/>
  <c r="Y70" i="42" s="1"/>
  <c r="Q81" i="42"/>
  <c r="X81" i="42" s="1" a="1"/>
  <c r="X81" i="42" s="1"/>
  <c r="Y81" i="42" s="1"/>
  <c r="Q62" i="42"/>
  <c r="X62" i="42" s="1" a="1"/>
  <c r="X62" i="42" s="1"/>
  <c r="Y62" i="42" s="1"/>
  <c r="Q57" i="42"/>
  <c r="X57" i="42" s="1" a="1"/>
  <c r="X57" i="42" s="1"/>
  <c r="Y57" i="42" s="1"/>
  <c r="L33" i="42"/>
  <c r="L34" i="42"/>
  <c r="K31" i="42"/>
  <c r="L33" i="41"/>
  <c r="M36" i="41"/>
  <c r="L31" i="41"/>
  <c r="F26" i="20"/>
  <c r="G26" i="20" s="1"/>
  <c r="F29" i="20"/>
  <c r="E25" i="20"/>
  <c r="F25" i="20" s="1"/>
  <c r="G25" i="20" s="1"/>
  <c r="Q25" i="20" s="1"/>
  <c r="O28" i="20"/>
  <c r="E27" i="20"/>
  <c r="F27" i="20" s="1"/>
  <c r="N25" i="20"/>
  <c r="C17" i="20" a="1"/>
  <c r="C17" i="20" s="1"/>
  <c r="C16" i="20" a="1"/>
  <c r="C16" i="20" s="1"/>
  <c r="G28" i="20"/>
  <c r="Q28" i="20"/>
  <c r="P28" i="20"/>
  <c r="Q29" i="20"/>
  <c r="G29" i="20"/>
  <c r="P26" i="20"/>
  <c r="M34" i="42" l="1"/>
  <c r="M33" i="42"/>
  <c r="L31" i="42"/>
  <c r="M31" i="41"/>
  <c r="N36" i="41"/>
  <c r="M33" i="41"/>
  <c r="P25" i="20"/>
  <c r="G27" i="20"/>
  <c r="Q27" i="20" s="1"/>
  <c r="O27" i="20"/>
  <c r="P27" i="20"/>
  <c r="O25" i="20"/>
  <c r="C18" i="20"/>
  <c r="H25" i="20"/>
  <c r="R25" i="20" s="1"/>
  <c r="H29" i="20"/>
  <c r="R29" i="20"/>
  <c r="H26" i="20"/>
  <c r="R26" i="20"/>
  <c r="H27" i="20"/>
  <c r="Q26" i="20"/>
  <c r="H28" i="20"/>
  <c r="R28" i="20"/>
  <c r="Q86" i="41" a="1"/>
  <c r="Q101" i="41" a="1"/>
  <c r="Q25" i="41" a="1"/>
  <c r="Q105" i="41" a="1"/>
  <c r="Q13" i="41" a="1"/>
  <c r="Q81" i="41" a="1"/>
  <c r="Q94" i="41" a="1"/>
  <c r="Q70" i="41" a="1"/>
  <c r="Q47" i="41" a="1"/>
  <c r="Q62" i="41" a="1"/>
  <c r="Q40" i="41" a="1"/>
  <c r="Q67" i="41" a="1"/>
  <c r="Q60" i="41" a="1"/>
  <c r="Q31" i="41" a="1"/>
  <c r="Q104" i="41" a="1"/>
  <c r="Q37" i="41" a="1"/>
  <c r="Q10" i="41" a="1"/>
  <c r="Q42" i="41" a="1"/>
  <c r="Q57" i="41" a="1"/>
  <c r="M31" i="42" l="1"/>
  <c r="N33" i="42"/>
  <c r="N34" i="42"/>
  <c r="Q42" i="41"/>
  <c r="X42" i="41" s="1" a="1"/>
  <c r="X42" i="41" s="1"/>
  <c r="Y42" i="41" s="1"/>
  <c r="Q60" i="41"/>
  <c r="X60" i="41" s="1" a="1"/>
  <c r="X60" i="41" s="1"/>
  <c r="Y60" i="41" s="1"/>
  <c r="Q57" i="41"/>
  <c r="X57" i="41" s="1" a="1"/>
  <c r="X57" i="41" s="1"/>
  <c r="Y57" i="41" s="1"/>
  <c r="Q13" i="41"/>
  <c r="X13" i="41" s="1" a="1"/>
  <c r="X13" i="41" s="1"/>
  <c r="Y13" i="41" s="1"/>
  <c r="Q25" i="41"/>
  <c r="X25" i="41" s="1" a="1"/>
  <c r="X25" i="41" s="1"/>
  <c r="Y25" i="41" s="1"/>
  <c r="Q62" i="41"/>
  <c r="X62" i="41" s="1" a="1"/>
  <c r="X62" i="41" s="1"/>
  <c r="Y62" i="41" s="1"/>
  <c r="Q10" i="41"/>
  <c r="X10" i="41" s="1" a="1"/>
  <c r="X10" i="41" s="1"/>
  <c r="Y10" i="41" s="1"/>
  <c r="Q70" i="41"/>
  <c r="X70" i="41" s="1" a="1"/>
  <c r="X70" i="41" s="1"/>
  <c r="Y70" i="41" s="1"/>
  <c r="Q67" i="41"/>
  <c r="X67" i="41" s="1" a="1"/>
  <c r="X67" i="41" s="1"/>
  <c r="Y67" i="41" s="1"/>
  <c r="Q37" i="41"/>
  <c r="X37" i="41" s="1" a="1"/>
  <c r="X37" i="41" s="1"/>
  <c r="Y37" i="41" s="1"/>
  <c r="Q101" i="41"/>
  <c r="X101" i="41" s="1" a="1"/>
  <c r="X101" i="41" s="1"/>
  <c r="Y101" i="41" s="1"/>
  <c r="Q81" i="41"/>
  <c r="X81" i="41" s="1" a="1"/>
  <c r="X81" i="41" s="1"/>
  <c r="Y81" i="41" s="1"/>
  <c r="Q86" i="41"/>
  <c r="X86" i="41" s="1" a="1"/>
  <c r="X86" i="41" s="1"/>
  <c r="Y86" i="41" s="1"/>
  <c r="Q40" i="41"/>
  <c r="X40" i="41" s="1" a="1"/>
  <c r="X40" i="41" s="1"/>
  <c r="Y40" i="41" s="1"/>
  <c r="Q104" i="41"/>
  <c r="X104" i="41" s="1" a="1"/>
  <c r="X104" i="41" s="1"/>
  <c r="Y104" i="41" s="1"/>
  <c r="Q47" i="41"/>
  <c r="X47" i="41" s="1" a="1"/>
  <c r="X47" i="41" s="1"/>
  <c r="Y47" i="41" s="1"/>
  <c r="Q31" i="41"/>
  <c r="X31" i="41" s="1" a="1"/>
  <c r="X31" i="41" s="1"/>
  <c r="Y31" i="41" s="1"/>
  <c r="Q94" i="41"/>
  <c r="X94" i="41" s="1" a="1"/>
  <c r="X94" i="41" s="1"/>
  <c r="Y94" i="41" s="1"/>
  <c r="Q105" i="41"/>
  <c r="X105" i="41" s="1" a="1"/>
  <c r="X105" i="41" s="1"/>
  <c r="Y105" i="41" s="1"/>
  <c r="N33" i="41"/>
  <c r="N31" i="41"/>
  <c r="I28" i="20"/>
  <c r="S28" i="20"/>
  <c r="S27" i="20"/>
  <c r="I27" i="20"/>
  <c r="I29" i="20"/>
  <c r="S29" i="20"/>
  <c r="I26" i="20"/>
  <c r="S26" i="20" s="1"/>
  <c r="R27" i="20"/>
  <c r="I25" i="20"/>
  <c r="Q99" i="41" a="1"/>
  <c r="Q68" i="42" a="1"/>
  <c r="Q80" i="42" a="1"/>
  <c r="Q83" i="41" a="1"/>
  <c r="Q107" i="42" a="1"/>
  <c r="Q33" i="41" a="1"/>
  <c r="Q66" i="41" a="1"/>
  <c r="Q12" i="42" a="1"/>
  <c r="Q98" i="42" a="1"/>
  <c r="Q71" i="42" a="1"/>
  <c r="Q17" i="42" a="1"/>
  <c r="Q28" i="42" a="1"/>
  <c r="Q51" i="42" a="1"/>
  <c r="Q56" i="42" a="1"/>
  <c r="Q19" i="42" a="1"/>
  <c r="Q53" i="41" a="1"/>
  <c r="Q26" i="42" a="1"/>
  <c r="Q20" i="41" a="1"/>
  <c r="Q78" i="41" a="1"/>
  <c r="Q100" i="42" a="1"/>
  <c r="Q84" i="42" a="1"/>
  <c r="Q106" i="42" a="1"/>
  <c r="Q76" i="42" a="1"/>
  <c r="Q109" i="42" a="1"/>
  <c r="Q32" i="42" a="1"/>
  <c r="Q24" i="41" a="1"/>
  <c r="Q72" i="41" a="1"/>
  <c r="Q23" i="42" a="1"/>
  <c r="Q59" i="42" a="1"/>
  <c r="Q64" i="41" a="1"/>
  <c r="Q108" i="41" a="1"/>
  <c r="Q72" i="42" a="1"/>
  <c r="Q75" i="42" a="1"/>
  <c r="Q19" i="41" a="1"/>
  <c r="Q103" i="42" a="1"/>
  <c r="Q66" i="42" a="1"/>
  <c r="Q16" i="41" a="1"/>
  <c r="Q71" i="41" a="1"/>
  <c r="Q30" i="42" a="1"/>
  <c r="Q98" i="41" a="1"/>
  <c r="Q20" i="42" a="1"/>
  <c r="Q34" i="41" a="1"/>
  <c r="Q75" i="41" a="1"/>
  <c r="Q18" i="42" a="1"/>
  <c r="Q14" i="42" a="1"/>
  <c r="Q22" i="42" a="1"/>
  <c r="Q99" i="42" a="1"/>
  <c r="Q79" i="42" a="1"/>
  <c r="Q36" i="42" a="1"/>
  <c r="Q77" i="42" a="1"/>
  <c r="Q65" i="42" a="1"/>
  <c r="Q96" i="41" a="1"/>
  <c r="Q17" i="41" a="1"/>
  <c r="Q64" i="42" a="1"/>
  <c r="Q18" i="41" a="1"/>
  <c r="Q79" i="41" a="1"/>
  <c r="Q22" i="41" a="1"/>
  <c r="Q106" i="41" a="1"/>
  <c r="Q61" i="42" a="1"/>
  <c r="Q22" i="42" l="1"/>
  <c r="X22" i="42" s="1" a="1"/>
  <c r="X22" i="42" s="1"/>
  <c r="Y22" i="42" s="1"/>
  <c r="Q75" i="42"/>
  <c r="X75" i="42" s="1" a="1"/>
  <c r="X75" i="42" s="1"/>
  <c r="Y75" i="42" s="1"/>
  <c r="Q18" i="42"/>
  <c r="X18" i="42" s="1" a="1"/>
  <c r="X18" i="42" s="1"/>
  <c r="Y18" i="42" s="1"/>
  <c r="Q98" i="42"/>
  <c r="X98" i="42" s="1" a="1"/>
  <c r="X98" i="42" s="1"/>
  <c r="Y98" i="42" s="1"/>
  <c r="Q19" i="42"/>
  <c r="X19" i="42" s="1" a="1"/>
  <c r="X19" i="42" s="1"/>
  <c r="Y19" i="42" s="1"/>
  <c r="Q79" i="42"/>
  <c r="X79" i="42" s="1" a="1"/>
  <c r="X79" i="42" s="1"/>
  <c r="Y79" i="42" s="1"/>
  <c r="Q71" i="42"/>
  <c r="X71" i="42" s="1" a="1"/>
  <c r="X71" i="42" s="1"/>
  <c r="Y71" i="42" s="1"/>
  <c r="Q72" i="42"/>
  <c r="X72" i="42" s="1" a="1"/>
  <c r="X72" i="42" s="1"/>
  <c r="Y72" i="42" s="1"/>
  <c r="Q99" i="42"/>
  <c r="X99" i="42" s="1" a="1"/>
  <c r="X99" i="42" s="1"/>
  <c r="Y99" i="42" s="1"/>
  <c r="Q66" i="42"/>
  <c r="X66" i="42" s="1" a="1"/>
  <c r="X66" i="42" s="1"/>
  <c r="Y66" i="42" s="1"/>
  <c r="Q64" i="42"/>
  <c r="X64" i="42" s="1" a="1"/>
  <c r="X64" i="42" s="1"/>
  <c r="Y64" i="42" s="1"/>
  <c r="Q20" i="42"/>
  <c r="X20" i="42" s="1" a="1"/>
  <c r="X20" i="42" s="1"/>
  <c r="Y20" i="42" s="1"/>
  <c r="Q106" i="42"/>
  <c r="X106" i="42" s="1" a="1"/>
  <c r="X106" i="42" s="1"/>
  <c r="Y106" i="42" s="1"/>
  <c r="Q17" i="42"/>
  <c r="X17" i="42" s="1" a="1"/>
  <c r="X17" i="42" s="1"/>
  <c r="Y17" i="42" s="1"/>
  <c r="Q51" i="42"/>
  <c r="X51" i="42" s="1" a="1"/>
  <c r="X51" i="42" s="1"/>
  <c r="Y51" i="42" s="1"/>
  <c r="Q14" i="42"/>
  <c r="X14" i="42" s="1" a="1"/>
  <c r="X14" i="42" s="1"/>
  <c r="Y14" i="42" s="1"/>
  <c r="Q84" i="42"/>
  <c r="X84" i="42" s="1" a="1"/>
  <c r="X84" i="42" s="1"/>
  <c r="Y84" i="42" s="1"/>
  <c r="Q26" i="42"/>
  <c r="X26" i="42" s="1" a="1"/>
  <c r="X26" i="42" s="1"/>
  <c r="Y26" i="42" s="1"/>
  <c r="Q107" i="42"/>
  <c r="X107" i="42" s="1" a="1"/>
  <c r="X107" i="42" s="1"/>
  <c r="Y107" i="42" s="1"/>
  <c r="Q76" i="42"/>
  <c r="X76" i="42" s="1" a="1"/>
  <c r="X76" i="42" s="1"/>
  <c r="Y76" i="42" s="1"/>
  <c r="Q12" i="42"/>
  <c r="X12" i="42" s="1" a="1"/>
  <c r="X12" i="42" s="1"/>
  <c r="Y12" i="42" s="1"/>
  <c r="Q80" i="42"/>
  <c r="X80" i="42" s="1" a="1"/>
  <c r="X80" i="42" s="1"/>
  <c r="Y80" i="42" s="1"/>
  <c r="Q23" i="42"/>
  <c r="X23" i="42" s="1" a="1"/>
  <c r="X23" i="42" s="1"/>
  <c r="Y23" i="42" s="1"/>
  <c r="Q28" i="42"/>
  <c r="X28" i="42" s="1" a="1"/>
  <c r="X28" i="42" s="1"/>
  <c r="Y28" i="42" s="1"/>
  <c r="Q103" i="42"/>
  <c r="X103" i="42" s="1" a="1"/>
  <c r="X103" i="42" s="1"/>
  <c r="Y103" i="42" s="1"/>
  <c r="Q109" i="42"/>
  <c r="X109" i="42" s="1" a="1"/>
  <c r="X109" i="42" s="1"/>
  <c r="Y109" i="42" s="1"/>
  <c r="Q77" i="42"/>
  <c r="X77" i="42" s="1" a="1"/>
  <c r="X77" i="42" s="1"/>
  <c r="Y77" i="42" s="1"/>
  <c r="Q100" i="42"/>
  <c r="X100" i="42" s="1" a="1"/>
  <c r="X100" i="42" s="1"/>
  <c r="Y100" i="42" s="1"/>
  <c r="Q68" i="42"/>
  <c r="X68" i="42" s="1" a="1"/>
  <c r="X68" i="42" s="1"/>
  <c r="Y68" i="42" s="1"/>
  <c r="Q36" i="42"/>
  <c r="X36" i="42" s="1" a="1"/>
  <c r="X36" i="42" s="1"/>
  <c r="Y36" i="42" s="1"/>
  <c r="Q59" i="42"/>
  <c r="X59" i="42" s="1" a="1"/>
  <c r="X59" i="42" s="1"/>
  <c r="Y59" i="42" s="1"/>
  <c r="Q32" i="42"/>
  <c r="X32" i="42" s="1" a="1"/>
  <c r="X32" i="42" s="1"/>
  <c r="Y32" i="42" s="1"/>
  <c r="Q65" i="42"/>
  <c r="X65" i="42" s="1" a="1"/>
  <c r="X65" i="42" s="1"/>
  <c r="Y65" i="42" s="1"/>
  <c r="Q61" i="42"/>
  <c r="X61" i="42" s="1" a="1"/>
  <c r="X61" i="42" s="1"/>
  <c r="Y61" i="42" s="1"/>
  <c r="Q56" i="42"/>
  <c r="X56" i="42" s="1" a="1"/>
  <c r="X56" i="42" s="1"/>
  <c r="Y56" i="42" s="1"/>
  <c r="Q30" i="42"/>
  <c r="X30" i="42" s="1" a="1"/>
  <c r="X30" i="42" s="1"/>
  <c r="Y30" i="42" s="1"/>
  <c r="N31" i="42"/>
  <c r="Q108" i="41"/>
  <c r="X108" i="41" s="1" a="1"/>
  <c r="X108" i="41" s="1"/>
  <c r="Y108" i="41" s="1"/>
  <c r="Q34" i="41"/>
  <c r="X34" i="41" s="1" a="1"/>
  <c r="X34" i="41" s="1"/>
  <c r="Y34" i="41" s="1"/>
  <c r="Q53" i="41"/>
  <c r="X53" i="41" s="1" a="1"/>
  <c r="X53" i="41" s="1"/>
  <c r="Y53" i="41" s="1"/>
  <c r="Q83" i="41"/>
  <c r="X83" i="41" s="1" a="1"/>
  <c r="X83" i="41" s="1"/>
  <c r="Y83" i="41" s="1"/>
  <c r="Q96" i="41"/>
  <c r="X96" i="41" s="1" a="1"/>
  <c r="X96" i="41" s="1"/>
  <c r="Y96" i="41" s="1"/>
  <c r="Q78" i="41"/>
  <c r="X78" i="41" s="1" a="1"/>
  <c r="X78" i="41" s="1"/>
  <c r="Y78" i="41" s="1"/>
  <c r="Q24" i="41"/>
  <c r="X24" i="41" s="1" a="1"/>
  <c r="X24" i="41" s="1"/>
  <c r="Y24" i="41" s="1"/>
  <c r="Q33" i="41"/>
  <c r="X33" i="41" s="1" a="1"/>
  <c r="X33" i="41" s="1"/>
  <c r="Y33" i="41" s="1"/>
  <c r="Q16" i="41"/>
  <c r="X16" i="41" s="1" a="1"/>
  <c r="X16" i="41" s="1"/>
  <c r="Y16" i="41" s="1"/>
  <c r="Q98" i="41"/>
  <c r="X98" i="41" s="1" a="1"/>
  <c r="X98" i="41" s="1"/>
  <c r="Y98" i="41" s="1"/>
  <c r="Q19" i="41"/>
  <c r="X19" i="41" s="1" a="1"/>
  <c r="X19" i="41" s="1"/>
  <c r="Y19" i="41" s="1"/>
  <c r="Q75" i="41"/>
  <c r="X75" i="41" s="1" a="1"/>
  <c r="X75" i="41" s="1"/>
  <c r="Y75" i="41" s="1"/>
  <c r="Q22" i="41"/>
  <c r="X22" i="41" s="1" a="1"/>
  <c r="X22" i="41" s="1"/>
  <c r="Y22" i="41" s="1"/>
  <c r="Q66" i="41"/>
  <c r="X66" i="41" s="1" a="1"/>
  <c r="X66" i="41" s="1"/>
  <c r="Y66" i="41" s="1"/>
  <c r="Q17" i="41"/>
  <c r="X17" i="41" s="1" a="1"/>
  <c r="X17" i="41" s="1"/>
  <c r="Y17" i="41" s="1"/>
  <c r="Q20" i="41"/>
  <c r="X20" i="41" s="1" a="1"/>
  <c r="X20" i="41" s="1"/>
  <c r="Y20" i="41" s="1"/>
  <c r="Q79" i="41"/>
  <c r="X79" i="41" s="1" a="1"/>
  <c r="X79" i="41" s="1"/>
  <c r="Y79" i="41" s="1"/>
  <c r="Q72" i="41"/>
  <c r="X72" i="41" s="1" a="1"/>
  <c r="X72" i="41" s="1"/>
  <c r="Y72" i="41" s="1"/>
  <c r="Q18" i="41"/>
  <c r="X18" i="41" s="1" a="1"/>
  <c r="X18" i="41" s="1"/>
  <c r="Y18" i="41" s="1"/>
  <c r="Q71" i="41"/>
  <c r="X71" i="41" s="1" a="1"/>
  <c r="X71" i="41" s="1"/>
  <c r="Y71" i="41" s="1"/>
  <c r="Q64" i="41"/>
  <c r="X64" i="41" s="1" a="1"/>
  <c r="X64" i="41" s="1"/>
  <c r="Y64" i="41" s="1"/>
  <c r="Q106" i="41"/>
  <c r="X106" i="41" s="1" a="1"/>
  <c r="X106" i="41" s="1"/>
  <c r="Y106" i="41" s="1"/>
  <c r="Q99" i="41"/>
  <c r="X99" i="41" s="1" a="1"/>
  <c r="X99" i="41" s="1"/>
  <c r="Y99" i="41" s="1"/>
  <c r="T29" i="20"/>
  <c r="J29" i="20"/>
  <c r="T27" i="20"/>
  <c r="J27" i="20"/>
  <c r="J25" i="20"/>
  <c r="T28" i="20"/>
  <c r="J28" i="20"/>
  <c r="S25" i="20"/>
  <c r="J26" i="20"/>
  <c r="Q33" i="42" a="1"/>
  <c r="Q78" i="42" a="1"/>
  <c r="Q83" i="42" a="1"/>
  <c r="Q24" i="42" a="1"/>
  <c r="Q34" i="42" a="1"/>
  <c r="Q108" i="42" a="1"/>
  <c r="Q53" i="42" a="1"/>
  <c r="Q96" i="42" a="1"/>
  <c r="Q16" i="42" a="1"/>
  <c r="Q78" i="42" l="1"/>
  <c r="X78" i="42" s="1" a="1"/>
  <c r="X78" i="42" s="1"/>
  <c r="Y78" i="42" s="1"/>
  <c r="Q34" i="42"/>
  <c r="X34" i="42" s="1" a="1"/>
  <c r="X34" i="42" s="1"/>
  <c r="Y34" i="42" s="1"/>
  <c r="Q96" i="42"/>
  <c r="X96" i="42" s="1" a="1"/>
  <c r="X96" i="42" s="1"/>
  <c r="Y96" i="42" s="1"/>
  <c r="Q33" i="42"/>
  <c r="X33" i="42" s="1" a="1"/>
  <c r="X33" i="42" s="1"/>
  <c r="Y33" i="42" s="1"/>
  <c r="Q53" i="42"/>
  <c r="X53" i="42" s="1" a="1"/>
  <c r="X53" i="42" s="1"/>
  <c r="Y53" i="42" s="1"/>
  <c r="Q16" i="42"/>
  <c r="X16" i="42" s="1" a="1"/>
  <c r="X16" i="42" s="1"/>
  <c r="Y16" i="42" s="1"/>
  <c r="Q108" i="42"/>
  <c r="X108" i="42" s="1" a="1"/>
  <c r="X108" i="42" s="1"/>
  <c r="Y108" i="42" s="1"/>
  <c r="Q24" i="42"/>
  <c r="X24" i="42" s="1" a="1"/>
  <c r="X24" i="42" s="1"/>
  <c r="Y24" i="42" s="1"/>
  <c r="Q83" i="42"/>
  <c r="X83" i="42" s="1" a="1"/>
  <c r="X83" i="42" s="1"/>
  <c r="Y83" i="42" s="1"/>
  <c r="K25" i="20"/>
  <c r="U25" i="20" s="1"/>
  <c r="K28" i="20"/>
  <c r="U28" i="20"/>
  <c r="T25" i="20"/>
  <c r="U26" i="20"/>
  <c r="K26" i="20"/>
  <c r="U27" i="20"/>
  <c r="K27" i="20"/>
  <c r="T26" i="20"/>
  <c r="K29" i="20"/>
  <c r="U29" i="20"/>
  <c r="L25" i="20" l="1"/>
  <c r="V25" i="20" s="1"/>
  <c r="C32" i="20" s="1"/>
  <c r="E32" i="20" s="1"/>
  <c r="G32" i="20" s="1"/>
  <c r="L29" i="20"/>
  <c r="V29" i="20"/>
  <c r="C36" i="20" s="1"/>
  <c r="E36" i="20" s="1"/>
  <c r="G36" i="20" s="1"/>
  <c r="L26" i="20"/>
  <c r="V26" i="20"/>
  <c r="C33" i="20" s="1"/>
  <c r="E33" i="20" s="1"/>
  <c r="G33" i="20" s="1"/>
  <c r="L28" i="20"/>
  <c r="V28" i="20"/>
  <c r="C35" i="20" s="1"/>
  <c r="E35" i="20" s="1"/>
  <c r="G35" i="20" s="1"/>
  <c r="L27" i="20"/>
  <c r="V27" i="20"/>
  <c r="C34" i="20" s="1"/>
  <c r="E34" i="20" s="1"/>
  <c r="G34" i="20" s="1"/>
  <c r="G37" i="20" l="1"/>
  <c r="I32" i="2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<sst xmlns="http://schemas.openxmlformats.org/spreadsheetml/2006/main" count="1588" uniqueCount="281">
  <si>
    <t>Others?</t>
  </si>
  <si>
    <t>responsiveness to contact attempts</t>
  </si>
  <si>
    <t># days past due</t>
  </si>
  <si>
    <t># payments missed</t>
  </si>
  <si>
    <t>Post origination</t>
  </si>
  <si>
    <t>Revenue</t>
  </si>
  <si>
    <t>Time in business</t>
  </si>
  <si>
    <t>Commercial</t>
  </si>
  <si>
    <t>Income</t>
  </si>
  <si>
    <t>Bank Statements</t>
  </si>
  <si>
    <t>FICO Scores</t>
  </si>
  <si>
    <t>Consumer</t>
  </si>
  <si>
    <t>geography</t>
  </si>
  <si>
    <t>Rate</t>
  </si>
  <si>
    <t>Vintage</t>
  </si>
  <si>
    <t>Term</t>
  </si>
  <si>
    <t>Size</t>
  </si>
  <si>
    <t>At origination</t>
  </si>
  <si>
    <t>Segmentation</t>
  </si>
  <si>
    <t>Loan Portfolio Segments</t>
  </si>
  <si>
    <t>D</t>
  </si>
  <si>
    <t>C</t>
  </si>
  <si>
    <t>Company100</t>
  </si>
  <si>
    <t>A</t>
  </si>
  <si>
    <t>Company99</t>
  </si>
  <si>
    <t>Company98</t>
  </si>
  <si>
    <t>Company97</t>
  </si>
  <si>
    <t>F</t>
  </si>
  <si>
    <t>Company96</t>
  </si>
  <si>
    <t>Company95</t>
  </si>
  <si>
    <t>Company94</t>
  </si>
  <si>
    <t>E</t>
  </si>
  <si>
    <t>Company93</t>
  </si>
  <si>
    <t>Company92</t>
  </si>
  <si>
    <t>Company91</t>
  </si>
  <si>
    <t>Company90</t>
  </si>
  <si>
    <t>B</t>
  </si>
  <si>
    <t>Company89</t>
  </si>
  <si>
    <t>Company88</t>
  </si>
  <si>
    <t>Company87</t>
  </si>
  <si>
    <t>Company86</t>
  </si>
  <si>
    <t>Company85</t>
  </si>
  <si>
    <t>Company84</t>
  </si>
  <si>
    <t>Company83</t>
  </si>
  <si>
    <t>Company82</t>
  </si>
  <si>
    <t>Company81</t>
  </si>
  <si>
    <t>Company80</t>
  </si>
  <si>
    <t>Company79</t>
  </si>
  <si>
    <t>Company78</t>
  </si>
  <si>
    <t>Company77</t>
  </si>
  <si>
    <t>Company76</t>
  </si>
  <si>
    <t>Company75</t>
  </si>
  <si>
    <t>Company74</t>
  </si>
  <si>
    <t>Company73</t>
  </si>
  <si>
    <t>Company72</t>
  </si>
  <si>
    <t>Company71</t>
  </si>
  <si>
    <t>Company70</t>
  </si>
  <si>
    <t>Company69</t>
  </si>
  <si>
    <t>Company68</t>
  </si>
  <si>
    <t>Company67</t>
  </si>
  <si>
    <t>Company66</t>
  </si>
  <si>
    <t>Company65</t>
  </si>
  <si>
    <t>Company64</t>
  </si>
  <si>
    <t>Company63</t>
  </si>
  <si>
    <t>Company62</t>
  </si>
  <si>
    <t>Company61</t>
  </si>
  <si>
    <t>Company60</t>
  </si>
  <si>
    <t>Company59</t>
  </si>
  <si>
    <t>Company58</t>
  </si>
  <si>
    <t>Company57</t>
  </si>
  <si>
    <t>Company56</t>
  </si>
  <si>
    <t>Company55</t>
  </si>
  <si>
    <t>Company54</t>
  </si>
  <si>
    <t>Company53</t>
  </si>
  <si>
    <t>Company52</t>
  </si>
  <si>
    <t>Company51</t>
  </si>
  <si>
    <t>Company50</t>
  </si>
  <si>
    <t>Company49</t>
  </si>
  <si>
    <t>Company48</t>
  </si>
  <si>
    <t>Company47</t>
  </si>
  <si>
    <t>Company46</t>
  </si>
  <si>
    <t>Company45</t>
  </si>
  <si>
    <t>Company44</t>
  </si>
  <si>
    <t>Company43</t>
  </si>
  <si>
    <t>Company42</t>
  </si>
  <si>
    <t>Company41</t>
  </si>
  <si>
    <t>Company40</t>
  </si>
  <si>
    <t>Company39</t>
  </si>
  <si>
    <t>Company38</t>
  </si>
  <si>
    <t>Company37</t>
  </si>
  <si>
    <t>Company36</t>
  </si>
  <si>
    <t>Company35</t>
  </si>
  <si>
    <t>Company34</t>
  </si>
  <si>
    <t>Company33</t>
  </si>
  <si>
    <t>Company32</t>
  </si>
  <si>
    <t>Company31</t>
  </si>
  <si>
    <t>Company30</t>
  </si>
  <si>
    <t>Company29</t>
  </si>
  <si>
    <t>Company28</t>
  </si>
  <si>
    <t>Company27</t>
  </si>
  <si>
    <t>Company26</t>
  </si>
  <si>
    <t>Company25</t>
  </si>
  <si>
    <t>Company24</t>
  </si>
  <si>
    <t>Company23</t>
  </si>
  <si>
    <t>Company22</t>
  </si>
  <si>
    <t>Company21</t>
  </si>
  <si>
    <t>Cumulative Probabilities</t>
  </si>
  <si>
    <t>Company20</t>
  </si>
  <si>
    <t>Company19</t>
  </si>
  <si>
    <t>Company18</t>
  </si>
  <si>
    <t>Company17</t>
  </si>
  <si>
    <t>Company16</t>
  </si>
  <si>
    <t>Company15</t>
  </si>
  <si>
    <t>Company14</t>
  </si>
  <si>
    <t>Company13</t>
  </si>
  <si>
    <t>Company12</t>
  </si>
  <si>
    <t>Company11</t>
  </si>
  <si>
    <t>Histograms</t>
  </si>
  <si>
    <t>Company10</t>
  </si>
  <si>
    <t>Probabilities</t>
  </si>
  <si>
    <t>Company9</t>
  </si>
  <si>
    <t>Company8</t>
  </si>
  <si>
    <t>Company7</t>
  </si>
  <si>
    <t>Company6</t>
  </si>
  <si>
    <t>Company5</t>
  </si>
  <si>
    <t>Company4</t>
  </si>
  <si>
    <t>Company3</t>
  </si>
  <si>
    <t>Company2</t>
  </si>
  <si>
    <t>Company1</t>
  </si>
  <si>
    <t>RatingNow</t>
  </si>
  <si>
    <t>RatingLast</t>
  </si>
  <si>
    <t>Rand</t>
  </si>
  <si>
    <t>Company</t>
  </si>
  <si>
    <t>Counts</t>
  </si>
  <si>
    <t>CreditMetrics</t>
  </si>
  <si>
    <t>Loan covenants</t>
  </si>
  <si>
    <t>Triggers</t>
  </si>
  <si>
    <t>Ratings downgrade</t>
  </si>
  <si>
    <t>Default on supplier</t>
  </si>
  <si>
    <t>Low profit or revenue</t>
  </si>
  <si>
    <t>May backfire if all counterparties make demands</t>
  </si>
  <si>
    <t>Homework Review</t>
  </si>
  <si>
    <t>PD</t>
  </si>
  <si>
    <t>Spread</t>
  </si>
  <si>
    <t>Credit Metrics</t>
  </si>
  <si>
    <t>Loan Covenants</t>
  </si>
  <si>
    <t>Loan Segmentation</t>
  </si>
  <si>
    <t>How cash is different than profit.</t>
  </si>
  <si>
    <t>Cash, but not profit, reducing events:</t>
  </si>
  <si>
    <t>Customers bought on account.</t>
  </si>
  <si>
    <t>Prepayments for deliverables.</t>
  </si>
  <si>
    <t>Delayed payments of accounts receivable.</t>
  </si>
  <si>
    <t>Cash, but not profit, increasing events:</t>
  </si>
  <si>
    <t>Purchases made on account.</t>
  </si>
  <si>
    <t>Cash deposits from loans.</t>
  </si>
  <si>
    <t>Cash received from investors.</t>
  </si>
  <si>
    <t>CDS</t>
  </si>
  <si>
    <t>What's a Credit Default Swap (CDS)?</t>
  </si>
  <si>
    <t>Recall that a swap is a fixed for floating exchange.</t>
  </si>
  <si>
    <t>A CDS is the same but the floating leg is a an unlikely credit event.</t>
  </si>
  <si>
    <t>Invented at JPM Morgan to insure Exxon after the Valdez Crisis.</t>
  </si>
  <si>
    <t>The spread is the price.</t>
  </si>
  <si>
    <t>A spread is the difference between risk free and risky loans.</t>
  </si>
  <si>
    <t>See optional material for calculation.</t>
  </si>
  <si>
    <t>http://www.investopedia.com/terms/c/creditdefaultswap.asp</t>
  </si>
  <si>
    <t>Calculate PD given a Credit Spread</t>
  </si>
  <si>
    <t>Risk Management and Financial Institutions</t>
  </si>
  <si>
    <t>4th Edition</t>
  </si>
  <si>
    <t>Page 413</t>
  </si>
  <si>
    <t>Face</t>
  </si>
  <si>
    <t>CouponRate</t>
  </si>
  <si>
    <t>Frequency</t>
  </si>
  <si>
    <t>n</t>
  </si>
  <si>
    <t>YTM</t>
  </si>
  <si>
    <t>YTM_rf</t>
  </si>
  <si>
    <t>CouponPmt</t>
  </si>
  <si>
    <t>Value</t>
  </si>
  <si>
    <t>Value_rf</t>
  </si>
  <si>
    <t>Eloss</t>
  </si>
  <si>
    <t>Period</t>
  </si>
  <si>
    <t>Time</t>
  </si>
  <si>
    <t>pmt</t>
  </si>
  <si>
    <t>pv</t>
  </si>
  <si>
    <t>pv_rf</t>
  </si>
  <si>
    <t xml:space="preserve">Time </t>
  </si>
  <si>
    <t>TimeR</t>
  </si>
  <si>
    <t>Time_</t>
  </si>
  <si>
    <t>value_rf_</t>
  </si>
  <si>
    <t>Recovery</t>
  </si>
  <si>
    <t>Loss</t>
  </si>
  <si>
    <t>pv_rf_</t>
  </si>
  <si>
    <t>PV[Loss]</t>
  </si>
  <si>
    <t>Credit Spreads</t>
  </si>
  <si>
    <t>Term Structure</t>
  </si>
  <si>
    <t>Spread to PD</t>
  </si>
  <si>
    <t>-&gt;</t>
  </si>
  <si>
    <t>PV</t>
  </si>
  <si>
    <t>Risk Management &amp; Financial Institutions Section 19.3</t>
  </si>
  <si>
    <t>E[L] = PD * EAD * LGD</t>
  </si>
  <si>
    <t>E[L] = PD * EAD * (1-R)</t>
  </si>
  <si>
    <t>E[L] / (EAD * (1-R)) = PD</t>
  </si>
  <si>
    <t>Spread2PD</t>
  </si>
  <si>
    <t>Price_</t>
  </si>
  <si>
    <t>Duration_</t>
  </si>
  <si>
    <t>N/A</t>
  </si>
  <si>
    <t>You have a 7 year bond paying at 6% coupon semiannually.</t>
  </si>
  <si>
    <t>Estimate the implied probability of default.</t>
  </si>
  <si>
    <t>The bond is trading at 98 cents on the dollar.</t>
  </si>
  <si>
    <t>You will need to surf the web to infer risk free rates and/or compare to a treasury bond.</t>
  </si>
  <si>
    <t>Review the notecards.</t>
  </si>
  <si>
    <t>Cards</t>
  </si>
  <si>
    <t>Software</t>
  </si>
  <si>
    <t>Review the Reminder tabs</t>
  </si>
  <si>
    <t>Do Homework Questions in the yellow tabs</t>
  </si>
  <si>
    <t xml:space="preserve"> </t>
  </si>
  <si>
    <t>Hazard Rates</t>
  </si>
  <si>
    <t>Hull 19.2.1 Page 434</t>
  </si>
  <si>
    <t>Table 19.1 Average Cumulative issuer_Weighed Default Rates (%), 1970-2016</t>
  </si>
  <si>
    <t xml:space="preserve">Aaa </t>
  </si>
  <si>
    <t xml:space="preserve">Aa </t>
  </si>
  <si>
    <t xml:space="preserve">A </t>
  </si>
  <si>
    <t xml:space="preserve">Baa </t>
  </si>
  <si>
    <t xml:space="preserve">Ba </t>
  </si>
  <si>
    <t xml:space="preserve">B </t>
  </si>
  <si>
    <t xml:space="preserve">Caa-C </t>
  </si>
  <si>
    <t>Rating</t>
  </si>
  <si>
    <t>Year</t>
  </si>
  <si>
    <t>Caa</t>
  </si>
  <si>
    <t>Unconditional Default Probability in Year 3</t>
  </si>
  <si>
    <t>P(Survive to year 2)</t>
  </si>
  <si>
    <t>P(Default in year 3 | Survive to year 2)</t>
  </si>
  <si>
    <t>Hull 19.2.1 Page 435 Example 19.2</t>
  </si>
  <si>
    <t>Unconditional Probability of Default based on Average Hazard Rate</t>
  </si>
  <si>
    <t>1 - exp(-avg_hazard_rate*t)</t>
  </si>
  <si>
    <t>avg_hazard_rate</t>
  </si>
  <si>
    <t>t</t>
  </si>
  <si>
    <t>Cumulative Unconditional Default Probability</t>
  </si>
  <si>
    <t>Unconditional Default Probability</t>
  </si>
  <si>
    <t>Conditional Default Probability</t>
  </si>
  <si>
    <t>Hull 19.2.1 Page 435</t>
  </si>
  <si>
    <t>dV(t)/dt = - lambda(t) V(t)</t>
  </si>
  <si>
    <t>dV(t)/dt / V(t) = - lambda(t)</t>
  </si>
  <si>
    <t>d ln(V(t))/dt = - lambda(t)</t>
  </si>
  <si>
    <t>ln(V(t)) =  ∫ - lambda(t) dt</t>
  </si>
  <si>
    <r>
      <t>V(t) =  e</t>
    </r>
    <r>
      <rPr>
        <vertAlign val="superscript"/>
        <sz val="20"/>
        <color theme="1"/>
        <rFont val="Calibri (Body)"/>
      </rPr>
      <t>-∫lambda(t) dt</t>
    </r>
  </si>
  <si>
    <t>Q(t) = 1 - V(t)</t>
  </si>
  <si>
    <r>
      <t>Q(t) = 1 - e</t>
    </r>
    <r>
      <rPr>
        <vertAlign val="superscript"/>
        <sz val="20"/>
        <color theme="1"/>
        <rFont val="Calibri (Body)"/>
      </rPr>
      <t>-∫lambda(t) dt</t>
    </r>
  </si>
  <si>
    <r>
      <t>Q(t) = 1 - e</t>
    </r>
    <r>
      <rPr>
        <vertAlign val="superscript"/>
        <sz val="20"/>
        <color theme="1"/>
        <rFont val="Calibri (Body)"/>
      </rPr>
      <t>-∫ avg_lambda dt</t>
    </r>
  </si>
  <si>
    <t>The modeled average hazard rate is 2.2%</t>
  </si>
  <si>
    <t>What is the Conditional Probability of default in each year over the next 3 years?</t>
  </si>
  <si>
    <t>Implied PD</t>
  </si>
  <si>
    <t>Question</t>
  </si>
  <si>
    <t>Points</t>
  </si>
  <si>
    <t>A credit analyst at your company has modeled the hazard rate of a counterparty.</t>
  </si>
  <si>
    <t>Assuming a recovery rate of 40%, what should the limit to the counterparty be set at, over the next year, to keep the Expected loss under $1 Million?</t>
  </si>
  <si>
    <t>Assuming a recovery rate of 40%, what should the limit to the counterparty be set at, over the next 2 years, to keep the Expected loss under $1 Million?</t>
  </si>
  <si>
    <t>What is the Cumulative Unconditional Probability of default in each year over the next 3 years?</t>
  </si>
  <si>
    <t>What is the Unconditional Probability of default in each year over the next 3 years?</t>
  </si>
  <si>
    <t>Prepare for the midterm</t>
  </si>
  <si>
    <t>Review the Homework assignments</t>
  </si>
  <si>
    <t>p_d</t>
  </si>
  <si>
    <t>C_</t>
  </si>
  <si>
    <t>Transitions</t>
  </si>
  <si>
    <t>RatingSim</t>
  </si>
  <si>
    <t>index</t>
  </si>
  <si>
    <t>SpreadLast</t>
  </si>
  <si>
    <t>SpreadNew</t>
  </si>
  <si>
    <t>SpreadCh</t>
  </si>
  <si>
    <t>ValueCh</t>
  </si>
  <si>
    <t>PortfolioSpread_PnL</t>
  </si>
  <si>
    <t>Spread_PnL</t>
  </si>
  <si>
    <t>Tables</t>
  </si>
  <si>
    <t>TransSim</t>
  </si>
  <si>
    <t>Data</t>
  </si>
  <si>
    <t>LoanCovenants</t>
  </si>
  <si>
    <t>LoanSegmentation</t>
  </si>
  <si>
    <t>HazardRate1</t>
  </si>
  <si>
    <t>HazardRate2</t>
  </si>
  <si>
    <t>HazardRate_Appendix</t>
  </si>
  <si>
    <t>What is the probability of defaulting at some time between now and ten years forward?</t>
  </si>
  <si>
    <t>CashVsProfit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</si>
</sst>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_-* #,##0.00\ _$_-;\-* #,##0.00\ _$_-;_-* &quot;-&quot;??\ _$_-;_-@_-"/>
    <numFmt numFmtId="165" formatCode="0.0"/>
    <numFmt numFmtId="166" formatCode="0.000%"/>
    <numFmt numFmtId="167" formatCode="0.0000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36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u/>
      <sz val="7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vertAlign val="superscript"/>
      <sz val="20"/>
      <color theme="1"/>
      <name val="Calibri (Body)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0">
    <xf numFmtId="0" fontId="0" fillId="0" borderId="0"/>
    <xf numFmtId="164" fontId="8" fillId="0" borderId="0" applyFont="0" applyFill="0" applyBorder="0" applyAlignment="0" applyProtection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7" fillId="0" borderId="0"/>
    <xf numFmtId="0" fontId="10" fillId="0" borderId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6" fillId="0" borderId="0"/>
    <xf numFmtId="0" fontId="6" fillId="0" borderId="0"/>
    <xf numFmtId="44" fontId="10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9" fontId="2" fillId="0" borderId="0" applyFont="0" applyFill="0" applyBorder="0" applyAlignment="0" applyProtection="0"/>
    <xf numFmtId="0" fontId="1" fillId="0" borderId="0"/>
  </cellStyleXfs>
  <cellXfs count="104">
    <xf numFmtId="0" fontId="0" fillId="0" borderId="0" xfId="0"/>
    <xf numFmtId="0" fontId="9" fillId="3" borderId="0" xfId="0" applyFont="1" applyFill="1"/>
    <xf numFmtId="0" fontId="0" fillId="4" borderId="0" xfId="0" applyFill="1"/>
    <xf numFmtId="0" fontId="9" fillId="2" borderId="0" xfId="5" applyFont="1" applyFill="1"/>
    <xf numFmtId="0" fontId="10" fillId="3" borderId="0" xfId="6" applyFill="1"/>
    <xf numFmtId="0" fontId="11" fillId="3" borderId="0" xfId="6" applyFont="1" applyFill="1" applyAlignment="1">
      <alignment horizontal="right"/>
    </xf>
    <xf numFmtId="9" fontId="10" fillId="3" borderId="0" xfId="6" applyNumberFormat="1" applyFill="1"/>
    <xf numFmtId="0" fontId="11" fillId="3" borderId="0" xfId="6" applyFont="1" applyFill="1"/>
    <xf numFmtId="0" fontId="10" fillId="3" borderId="0" xfId="6" applyFill="1" applyAlignment="1">
      <alignment horizontal="right"/>
    </xf>
    <xf numFmtId="0" fontId="0" fillId="3" borderId="0" xfId="6" applyFont="1" applyFill="1"/>
    <xf numFmtId="9" fontId="0" fillId="4" borderId="1" xfId="8" applyFont="1" applyFill="1" applyBorder="1"/>
    <xf numFmtId="9" fontId="0" fillId="3" borderId="2" xfId="8" applyFont="1" applyFill="1" applyBorder="1"/>
    <xf numFmtId="9" fontId="0" fillId="3" borderId="3" xfId="8" applyFont="1" applyFill="1" applyBorder="1"/>
    <xf numFmtId="9" fontId="0" fillId="3" borderId="4" xfId="8" applyFont="1" applyFill="1" applyBorder="1"/>
    <xf numFmtId="9" fontId="0" fillId="4" borderId="0" xfId="8" applyFont="1" applyFill="1"/>
    <xf numFmtId="9" fontId="0" fillId="3" borderId="0" xfId="8" applyFont="1" applyFill="1"/>
    <xf numFmtId="9" fontId="0" fillId="3" borderId="5" xfId="8" applyFont="1" applyFill="1" applyBorder="1"/>
    <xf numFmtId="9" fontId="0" fillId="3" borderId="6" xfId="8" applyFont="1" applyFill="1" applyBorder="1"/>
    <xf numFmtId="9" fontId="0" fillId="3" borderId="7" xfId="8" applyFont="1" applyFill="1" applyBorder="1"/>
    <xf numFmtId="9" fontId="0" fillId="4" borderId="8" xfId="8" applyFont="1" applyFill="1" applyBorder="1"/>
    <xf numFmtId="0" fontId="12" fillId="3" borderId="1" xfId="6" applyFont="1" applyFill="1" applyBorder="1"/>
    <xf numFmtId="0" fontId="12" fillId="3" borderId="2" xfId="6" applyFont="1" applyFill="1" applyBorder="1"/>
    <xf numFmtId="0" fontId="12" fillId="3" borderId="3" xfId="6" applyFont="1" applyFill="1" applyBorder="1"/>
    <xf numFmtId="0" fontId="12" fillId="3" borderId="0" xfId="6" applyFont="1" applyFill="1"/>
    <xf numFmtId="0" fontId="12" fillId="3" borderId="4" xfId="6" applyFont="1" applyFill="1" applyBorder="1"/>
    <xf numFmtId="0" fontId="12" fillId="3" borderId="5" xfId="6" applyFont="1" applyFill="1" applyBorder="1"/>
    <xf numFmtId="0" fontId="12" fillId="3" borderId="6" xfId="6" applyFont="1" applyFill="1" applyBorder="1"/>
    <xf numFmtId="0" fontId="12" fillId="3" borderId="7" xfId="6" applyFont="1" applyFill="1" applyBorder="1"/>
    <xf numFmtId="0" fontId="12" fillId="3" borderId="8" xfId="6" applyFont="1" applyFill="1" applyBorder="1"/>
    <xf numFmtId="0" fontId="12" fillId="3" borderId="0" xfId="6" applyFont="1" applyFill="1" applyAlignment="1">
      <alignment horizontal="right"/>
    </xf>
    <xf numFmtId="0" fontId="9" fillId="3" borderId="0" xfId="6" applyFont="1" applyFill="1"/>
    <xf numFmtId="0" fontId="0" fillId="3" borderId="0" xfId="6" applyFont="1" applyFill="1" applyAlignment="1">
      <alignment horizontal="right"/>
    </xf>
    <xf numFmtId="0" fontId="13" fillId="4" borderId="0" xfId="9" applyFont="1" applyFill="1"/>
    <xf numFmtId="0" fontId="14" fillId="4" borderId="0" xfId="0" applyFont="1" applyFill="1"/>
    <xf numFmtId="0" fontId="9" fillId="2" borderId="0" xfId="0" applyFont="1" applyFill="1"/>
    <xf numFmtId="0" fontId="16" fillId="2" borderId="0" xfId="12" applyFont="1" applyFill="1"/>
    <xf numFmtId="0" fontId="15" fillId="2" borderId="0" xfId="12" applyFill="1"/>
    <xf numFmtId="0" fontId="17" fillId="3" borderId="0" xfId="0" applyFont="1" applyFill="1"/>
    <xf numFmtId="0" fontId="0" fillId="3" borderId="0" xfId="0" applyFill="1"/>
    <xf numFmtId="9" fontId="0" fillId="3" borderId="0" xfId="0" applyNumberFormat="1" applyFill="1"/>
    <xf numFmtId="44" fontId="0" fillId="3" borderId="0" xfId="11" applyFont="1" applyFill="1"/>
    <xf numFmtId="44" fontId="0" fillId="3" borderId="0" xfId="0" applyNumberFormat="1" applyFill="1"/>
    <xf numFmtId="0" fontId="0" fillId="3" borderId="0" xfId="0" applyFill="1" applyAlignment="1">
      <alignment horizontal="right"/>
    </xf>
    <xf numFmtId="0" fontId="0" fillId="3" borderId="8" xfId="0" applyFill="1" applyBorder="1"/>
    <xf numFmtId="0" fontId="0" fillId="3" borderId="7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4" xfId="0" applyFill="1" applyBorder="1"/>
    <xf numFmtId="0" fontId="0" fillId="3" borderId="3" xfId="0" applyFill="1" applyBorder="1"/>
    <xf numFmtId="0" fontId="0" fillId="3" borderId="2" xfId="0" applyFill="1" applyBorder="1"/>
    <xf numFmtId="0" fontId="0" fillId="3" borderId="1" xfId="0" applyFill="1" applyBorder="1"/>
    <xf numFmtId="2" fontId="0" fillId="3" borderId="0" xfId="0" applyNumberFormat="1" applyFill="1"/>
    <xf numFmtId="167" fontId="0" fillId="3" borderId="0" xfId="0" applyNumberFormat="1" applyFill="1"/>
    <xf numFmtId="10" fontId="0" fillId="3" borderId="0" xfId="7" applyNumberFormat="1" applyFont="1" applyFill="1"/>
    <xf numFmtId="0" fontId="9" fillId="2" borderId="0" xfId="0" quotePrefix="1" applyFont="1" applyFill="1"/>
    <xf numFmtId="0" fontId="13" fillId="2" borderId="0" xfId="0" applyFont="1" applyFill="1" applyAlignment="1">
      <alignment vertical="top"/>
    </xf>
    <xf numFmtId="0" fontId="18" fillId="2" borderId="0" xfId="0" applyFont="1" applyFill="1"/>
    <xf numFmtId="0" fontId="19" fillId="2" borderId="0" xfId="0" applyFont="1" applyFill="1"/>
    <xf numFmtId="0" fontId="16" fillId="3" borderId="0" xfId="12" applyFont="1" applyFill="1"/>
    <xf numFmtId="0" fontId="13" fillId="4" borderId="0" xfId="15" applyFont="1" applyFill="1"/>
    <xf numFmtId="0" fontId="16" fillId="4" borderId="0" xfId="12" applyFont="1" applyFill="1"/>
    <xf numFmtId="0" fontId="13" fillId="4" borderId="0" xfId="16" applyFont="1" applyFill="1"/>
    <xf numFmtId="0" fontId="20" fillId="4" borderId="0" xfId="17" applyFont="1" applyFill="1"/>
    <xf numFmtId="0" fontId="20" fillId="5" borderId="0" xfId="17" applyFont="1" applyFill="1"/>
    <xf numFmtId="0" fontId="20" fillId="4" borderId="0" xfId="17" applyFont="1" applyFill="1" applyAlignment="1">
      <alignment horizontal="center"/>
    </xf>
    <xf numFmtId="0" fontId="20" fillId="4" borderId="0" xfId="17" applyFont="1" applyFill="1" applyAlignment="1">
      <alignment horizontal="left"/>
    </xf>
    <xf numFmtId="166" fontId="20" fillId="4" borderId="0" xfId="18" applyNumberFormat="1" applyFont="1" applyFill="1"/>
    <xf numFmtId="10" fontId="20" fillId="4" borderId="0" xfId="18" applyNumberFormat="1" applyFont="1" applyFill="1"/>
    <xf numFmtId="0" fontId="13" fillId="4" borderId="0" xfId="17" applyFont="1" applyFill="1"/>
    <xf numFmtId="0" fontId="13" fillId="4" borderId="0" xfId="17" quotePrefix="1" applyFont="1" applyFill="1"/>
    <xf numFmtId="10" fontId="13" fillId="6" borderId="0" xfId="17" applyNumberFormat="1" applyFont="1" applyFill="1"/>
    <xf numFmtId="0" fontId="13" fillId="4" borderId="0" xfId="17" applyFont="1" applyFill="1" applyAlignment="1">
      <alignment horizontal="right"/>
    </xf>
    <xf numFmtId="167" fontId="13" fillId="4" borderId="0" xfId="17" quotePrefix="1" applyNumberFormat="1" applyFont="1" applyFill="1"/>
    <xf numFmtId="167" fontId="13" fillId="4" borderId="0" xfId="17" applyNumberFormat="1" applyFont="1" applyFill="1"/>
    <xf numFmtId="0" fontId="13" fillId="6" borderId="0" xfId="16" applyFont="1" applyFill="1"/>
    <xf numFmtId="0" fontId="13" fillId="4" borderId="0" xfId="0" applyFont="1" applyFill="1"/>
    <xf numFmtId="0" fontId="20" fillId="4" borderId="0" xfId="16" applyFont="1" applyFill="1"/>
    <xf numFmtId="0" fontId="20" fillId="6" borderId="0" xfId="16" applyFont="1" applyFill="1"/>
    <xf numFmtId="9" fontId="10" fillId="3" borderId="0" xfId="7" applyFill="1"/>
    <xf numFmtId="9" fontId="10" fillId="7" borderId="0" xfId="7" applyFill="1"/>
    <xf numFmtId="0" fontId="10" fillId="3" borderId="8" xfId="6" applyFill="1" applyBorder="1"/>
    <xf numFmtId="9" fontId="10" fillId="3" borderId="7" xfId="6" applyNumberFormat="1" applyFill="1" applyBorder="1"/>
    <xf numFmtId="9" fontId="10" fillId="3" borderId="6" xfId="6" applyNumberFormat="1" applyFill="1" applyBorder="1"/>
    <xf numFmtId="0" fontId="10" fillId="3" borderId="5" xfId="6" applyFill="1" applyBorder="1"/>
    <xf numFmtId="9" fontId="10" fillId="3" borderId="4" xfId="6" applyNumberFormat="1" applyFill="1" applyBorder="1"/>
    <xf numFmtId="0" fontId="10" fillId="3" borderId="3" xfId="6" applyFill="1" applyBorder="1"/>
    <xf numFmtId="9" fontId="10" fillId="3" borderId="2" xfId="6" applyNumberFormat="1" applyFill="1" applyBorder="1"/>
    <xf numFmtId="9" fontId="10" fillId="3" borderId="1" xfId="6" applyNumberFormat="1" applyFill="1" applyBorder="1"/>
    <xf numFmtId="9" fontId="12" fillId="3" borderId="8" xfId="7" applyFont="1" applyFill="1" applyBorder="1"/>
    <xf numFmtId="9" fontId="12" fillId="3" borderId="7" xfId="7" applyFont="1" applyFill="1" applyBorder="1"/>
    <xf numFmtId="9" fontId="12" fillId="3" borderId="6" xfId="7" applyFont="1" applyFill="1" applyBorder="1"/>
    <xf numFmtId="9" fontId="12" fillId="3" borderId="5" xfId="7" applyFont="1" applyFill="1" applyBorder="1"/>
    <xf numFmtId="9" fontId="12" fillId="3" borderId="0" xfId="7" applyFont="1" applyFill="1"/>
    <xf numFmtId="9" fontId="12" fillId="3" borderId="4" xfId="7" applyFont="1" applyFill="1" applyBorder="1"/>
    <xf numFmtId="9" fontId="12" fillId="3" borderId="3" xfId="7" applyFont="1" applyFill="1" applyBorder="1"/>
    <xf numFmtId="9" fontId="12" fillId="3" borderId="2" xfId="7" applyFont="1" applyFill="1" applyBorder="1"/>
    <xf numFmtId="9" fontId="12" fillId="3" borderId="1" xfId="7" applyFont="1" applyFill="1" applyBorder="1"/>
    <xf numFmtId="1" fontId="10" fillId="8" borderId="0" xfId="6" applyNumberFormat="1" applyFill="1"/>
    <xf numFmtId="165" fontId="10" fillId="8" borderId="0" xfId="6" applyNumberFormat="1" applyFill="1"/>
    <xf numFmtId="0" fontId="10" fillId="8" borderId="0" xfId="6" applyFill="1"/>
    <xf numFmtId="10" fontId="10" fillId="8" borderId="0" xfId="6" applyNumberFormat="1" applyFill="1"/>
    <xf numFmtId="10" fontId="0" fillId="8" borderId="0" xfId="6" applyNumberFormat="1" applyFont="1" applyFill="1"/>
    <xf numFmtId="0" fontId="10" fillId="8" borderId="0" xfId="6" applyFill="1" applyAlignment="1">
      <alignment horizontal="right"/>
    </xf>
    <xf numFmtId="0" fontId="13" fillId="4" borderId="0" xfId="19" applyFont="1" applyFill="1"/>
  </cellXfs>
  <cellStyles count="20">
    <cellStyle name="Comma 2" xfId="1" xr:uid="{00000000-0005-0000-0000-000000000000}"/>
    <cellStyle name="Currency" xfId="11" builtinId="4"/>
    <cellStyle name="Hyperlink" xfId="12" builtinId="8"/>
    <cellStyle name="Normal" xfId="0" builtinId="0"/>
    <cellStyle name="Normal 2" xfId="2" xr:uid="{00000000-0005-0000-0000-000002000000}"/>
    <cellStyle name="Normal 2 2" xfId="6" xr:uid="{00000000-0005-0000-0000-000003000000}"/>
    <cellStyle name="Normal 2 3" xfId="10" xr:uid="{8741B8F3-B87D-3447-8076-1406D875AD40}"/>
    <cellStyle name="Normal 3" xfId="3" xr:uid="{00000000-0005-0000-0000-000004000000}"/>
    <cellStyle name="Normal 4" xfId="5" xr:uid="{00000000-0005-0000-0000-000005000000}"/>
    <cellStyle name="Normal 4 2" xfId="14" xr:uid="{D325C384-E417-D740-8956-0A9F6C5FEC4E}"/>
    <cellStyle name="Normal 5" xfId="9" xr:uid="{D30D7F96-EDB1-E646-8DAF-2AAA8CF1E5F0}"/>
    <cellStyle name="Normal 6" xfId="13" xr:uid="{43B3A43A-269D-AE4C-A9A2-509F7A0C1B9B}"/>
    <cellStyle name="Normal 6 2" xfId="16" xr:uid="{2D38C378-981B-3649-8D7F-D274B8608364}"/>
    <cellStyle name="Normal 7" xfId="15" xr:uid="{0156467C-9145-9941-BCB7-48064EADE8CC}"/>
    <cellStyle name="Normal 8" xfId="17" xr:uid="{62B79F71-B435-E644-9372-2DC85393319C}"/>
    <cellStyle name="Normal 9" xfId="19" xr:uid="{FF983659-6785-024E-98DC-8282C3D7CDB2}"/>
    <cellStyle name="Percent" xfId="7" builtinId="5"/>
    <cellStyle name="Percent 2" xfId="4" xr:uid="{00000000-0005-0000-0000-000006000000}"/>
    <cellStyle name="Percent 2 2" xfId="8" xr:uid="{49CFB7D4-8E97-E948-B7A0-AAF7F6A67C6F}"/>
    <cellStyle name="Percent 3" xfId="18" xr:uid="{F4D7FF5A-B560-A84C-95BF-927D470246B5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596900</xdr:colOff>
      <xdr:row>6</xdr:row>
      <xdr:rowOff>88900</xdr:rowOff>
    </xdr:from>
    <xdr:to>
      <xdr:col>16</xdr:col>
      <xdr:colOff>469900</xdr:colOff>
      <xdr:row>12</xdr:row>
      <xdr:rowOff>0</xdr:rowOff>
    </xdr:to>
    <xdr:pic>
      <xdr:nvPicPr>
        <xdr:cNvPr id="2" name="Picture 1" descr="Exxon Valdez oil spill - Wikipedia">
          <a:extLst>
            <a:ext uri="{FF2B5EF4-FFF2-40B4-BE49-F238E27FC236}">
              <a16:creationId xmlns:a16="http://schemas.microsoft.com/office/drawing/2014/main" id="{5DD2BD01-3B85-5443-8888-C31A204509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77400" y="2298700"/>
          <a:ext cx="3175000" cy="2120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0</xdr:row>
      <xdr:rowOff>0</xdr:rowOff>
    </xdr:from>
    <xdr:to>
      <xdr:col>56</xdr:col>
      <xdr:colOff>381000</xdr:colOff>
      <xdr:row>41</xdr:row>
      <xdr:rowOff>152400</xdr:rowOff>
    </xdr:to>
    <xdr:pic>
      <xdr:nvPicPr>
        <xdr:cNvPr id="3" name="Picture 2" descr="Wounded Wilderness: The Exxon Valdez Oil Spill 30 Years Later ...">
          <a:extLst>
            <a:ext uri="{FF2B5EF4-FFF2-40B4-BE49-F238E27FC236}">
              <a16:creationId xmlns:a16="http://schemas.microsoft.com/office/drawing/2014/main" id="{32D7226F-491A-B048-9B6B-2F04213457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859000" y="0"/>
          <a:ext cx="31750000" cy="15252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0</xdr:row>
      <xdr:rowOff>177800</xdr:rowOff>
    </xdr:from>
    <xdr:to>
      <xdr:col>14</xdr:col>
      <xdr:colOff>381000</xdr:colOff>
      <xdr:row>66</xdr:row>
      <xdr:rowOff>50800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38200" y="177800"/>
          <a:ext cx="11099800" cy="12446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Loan</a:t>
          </a:r>
          <a:r>
            <a:rPr lang="en-US" sz="2000" baseline="0"/>
            <a:t> portfolio Segementation</a:t>
          </a:r>
        </a:p>
        <a:p>
          <a:r>
            <a:rPr lang="en-US" sz="2000" baseline="0"/>
            <a:t>	Pre and Post origination metrics</a:t>
          </a:r>
          <a:endParaRPr lang="en-US" sz="2000"/>
        </a:p>
        <a:p>
          <a:endParaRPr lang="en-US" sz="2000"/>
        </a:p>
        <a:p>
          <a:r>
            <a:rPr lang="en-US" sz="2000"/>
            <a:t>Loan covenants</a:t>
          </a:r>
        </a:p>
        <a:p>
          <a:r>
            <a:rPr lang="en-US" sz="2000"/>
            <a:t>	Triggers</a:t>
          </a:r>
        </a:p>
        <a:p>
          <a:r>
            <a:rPr lang="en-US" sz="2000"/>
            <a:t>		Ratings downgrade</a:t>
          </a:r>
        </a:p>
        <a:p>
          <a:r>
            <a:rPr lang="en-US" sz="2000"/>
            <a:t>		Default on supplier</a:t>
          </a:r>
        </a:p>
        <a:p>
          <a:r>
            <a:rPr lang="en-US" sz="2000"/>
            <a:t>		Low profit</a:t>
          </a:r>
          <a:r>
            <a:rPr lang="en-US" sz="2000" baseline="0"/>
            <a:t> or revenue</a:t>
          </a:r>
        </a:p>
        <a:p>
          <a:r>
            <a:rPr lang="en-US" sz="2000" baseline="0"/>
            <a:t>	May backfire if all counterparties make demands</a:t>
          </a:r>
        </a:p>
        <a:p>
          <a:endParaRPr lang="en-US" sz="2000" baseline="0"/>
        </a:p>
        <a:p>
          <a:r>
            <a:rPr lang="en-US" sz="2000" baseline="0"/>
            <a:t>CDS contracts are resellable</a:t>
          </a:r>
        </a:p>
        <a:p>
          <a:endParaRPr lang="en-US" sz="2000" baseline="0"/>
        </a:p>
        <a:p>
          <a:r>
            <a:rPr lang="en-US" sz="2000" baseline="0"/>
            <a:t>PD can be inferred from CDS prices.</a:t>
          </a:r>
        </a:p>
        <a:p>
          <a:r>
            <a:rPr lang="en-US" sz="2000" baseline="0"/>
            <a:t>Inferred PD over time is not necessarily constant.</a:t>
          </a:r>
        </a:p>
        <a:p>
          <a:endParaRPr lang="en-US" sz="2000" baseline="0"/>
        </a:p>
        <a:p>
          <a:r>
            <a:rPr lang="en-US" sz="2000" baseline="0"/>
            <a:t>PD is not necessarily constant over the life of a loan</a:t>
          </a:r>
          <a:endParaRPr lang="en-US" sz="2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FRM/FRMClass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Homewor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drive.google.com/open?id=0B46op8AajwqfZXZiSWJ4SXlkUEE" TargetMode="External"/><Relationship Id="rId1" Type="http://schemas.openxmlformats.org/officeDocument/2006/relationships/hyperlink" Target="http://www.investopedia.com/terms/c/creditdefaultswap.asp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8GrfADQ-_bv2wncwNWW-j-N1BDTi2Yl2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hyperlink" Target="https://apps.ankiweb.net/" TargetMode="External"/><Relationship Id="rId1" Type="http://schemas.openxmlformats.org/officeDocument/2006/relationships/hyperlink" Target="https://drive.google.com/open?id=1vjXVIGVG69olvNwGAHQAOJRwqteuLQ2Z" TargetMode="Externa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12"/>
  <sheetViews>
    <sheetView tabSelected="1" workbookViewId="0"/>
  </sheetViews>
  <sheetFormatPr baseColWidth="10" defaultRowHeight="29" x14ac:dyDescent="0.35"/>
  <cols>
    <col min="1" max="16384" width="10.83203125" style="3"/>
  </cols>
  <sheetData>
    <row r="2" spans="2:3" x14ac:dyDescent="0.35">
      <c r="B2" s="3" t="s">
        <v>141</v>
      </c>
    </row>
    <row r="4" spans="2:3" x14ac:dyDescent="0.35">
      <c r="B4" s="3" t="s">
        <v>192</v>
      </c>
    </row>
    <row r="5" spans="2:3" x14ac:dyDescent="0.35">
      <c r="C5" s="3" t="s">
        <v>194</v>
      </c>
    </row>
    <row r="6" spans="2:3" x14ac:dyDescent="0.35">
      <c r="C6" s="3" t="s">
        <v>193</v>
      </c>
    </row>
    <row r="8" spans="2:3" x14ac:dyDescent="0.35">
      <c r="B8" s="3" t="s">
        <v>144</v>
      </c>
    </row>
    <row r="10" spans="2:3" x14ac:dyDescent="0.35">
      <c r="B10" s="3" t="s">
        <v>145</v>
      </c>
    </row>
    <row r="12" spans="2:3" x14ac:dyDescent="0.35">
      <c r="B12" s="3" t="s">
        <v>146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05E66-76EB-6049-81DB-E33ED55E4BB7}">
  <sheetPr codeName="Sheet2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03"/>
  </cols>
  <sheetData>
    <row r="1" spans="1:1" x14ac:dyDescent="0.3">
      <c r="A1" s="103" t="s">
        <v>156</v>
      </c>
    </row>
    <row r="2" spans="1:1" x14ac:dyDescent="0.3">
      <c r="A2" s="103" t="s">
        <v>178</v>
      </c>
    </row>
    <row r="3" spans="1:1" x14ac:dyDescent="0.3">
      <c r="A3" s="103" t="s">
        <v>201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DC6AC-F490-DF46-8F9A-480D7426B4DA}">
  <sheetPr codeName="Sheet3">
    <tabColor rgb="FFFF0000"/>
  </sheetPr>
  <dimension ref="A1:T14"/>
  <sheetViews>
    <sheetView zoomScaleNormal="100" workbookViewId="0">
      <selection activeCell="A3" sqref="A3"/>
    </sheetView>
  </sheetViews>
  <sheetFormatPr baseColWidth="10" defaultRowHeight="29" x14ac:dyDescent="0.35"/>
  <cols>
    <col min="1" max="16384" width="10.83203125" style="34"/>
  </cols>
  <sheetData>
    <row r="1" spans="1:20" x14ac:dyDescent="0.35">
      <c r="A1" s="35" t="s">
        <v>156</v>
      </c>
    </row>
    <row r="2" spans="1:20" x14ac:dyDescent="0.35">
      <c r="B2" s="34" t="s">
        <v>157</v>
      </c>
    </row>
    <row r="4" spans="1:20" x14ac:dyDescent="0.35">
      <c r="C4" s="34" t="s">
        <v>158</v>
      </c>
      <c r="T4"/>
    </row>
    <row r="5" spans="1:20" x14ac:dyDescent="0.35">
      <c r="C5" s="34" t="s">
        <v>159</v>
      </c>
    </row>
    <row r="7" spans="1:20" x14ac:dyDescent="0.35">
      <c r="C7" s="34" t="s">
        <v>160</v>
      </c>
    </row>
    <row r="9" spans="1:20" x14ac:dyDescent="0.35">
      <c r="C9" s="34" t="s">
        <v>161</v>
      </c>
      <c r="R9" s="54" t="s">
        <v>195</v>
      </c>
    </row>
    <row r="11" spans="1:20" x14ac:dyDescent="0.35">
      <c r="C11" s="34" t="s">
        <v>162</v>
      </c>
    </row>
    <row r="12" spans="1:20" x14ac:dyDescent="0.35">
      <c r="D12" s="34" t="s">
        <v>163</v>
      </c>
    </row>
    <row r="14" spans="1:20" x14ac:dyDescent="0.35">
      <c r="C14" s="36" t="s">
        <v>164</v>
      </c>
    </row>
  </sheetData>
  <hyperlinks>
    <hyperlink ref="C14" r:id="rId1" xr:uid="{BDB0FC3C-CA4E-EF47-B6B9-7D61A06E320C}"/>
    <hyperlink ref="A1" r:id="rId2" xr:uid="{9881166E-B32E-0345-A3B2-AB7BB8BC866B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97E0F-DF8E-B04D-918E-119C9775A33C}">
  <sheetPr codeName="Sheet4">
    <tabColor rgb="FFC00000"/>
  </sheetPr>
  <dimension ref="A1:F18"/>
  <sheetViews>
    <sheetView workbookViewId="0"/>
  </sheetViews>
  <sheetFormatPr baseColWidth="10" defaultRowHeight="92" x14ac:dyDescent="1"/>
  <cols>
    <col min="1" max="16384" width="10.83203125" style="56"/>
  </cols>
  <sheetData>
    <row r="1" spans="1:2" x14ac:dyDescent="1">
      <c r="A1" s="55" t="s">
        <v>197</v>
      </c>
    </row>
    <row r="2" spans="1:2" x14ac:dyDescent="1">
      <c r="B2" s="56" t="s">
        <v>198</v>
      </c>
    </row>
    <row r="4" spans="1:2" x14ac:dyDescent="1">
      <c r="B4" s="56" t="s">
        <v>199</v>
      </c>
    </row>
    <row r="6" spans="1:2" x14ac:dyDescent="1">
      <c r="B6" s="56" t="s">
        <v>200</v>
      </c>
    </row>
    <row r="18" spans="2:6" x14ac:dyDescent="1">
      <c r="B18" s="57"/>
      <c r="C18" s="57"/>
      <c r="D18" s="57"/>
      <c r="E18" s="57"/>
      <c r="F18" s="5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40CDB-6362-AB40-8780-252ED933DF0B}">
  <sheetPr codeName="Sheet5">
    <tabColor rgb="FFFF0000"/>
  </sheetPr>
  <dimension ref="A1:V37"/>
  <sheetViews>
    <sheetView workbookViewId="0">
      <selection activeCell="E33" sqref="E33"/>
    </sheetView>
  </sheetViews>
  <sheetFormatPr baseColWidth="10" defaultColWidth="8.83203125" defaultRowHeight="15" x14ac:dyDescent="0.2"/>
  <cols>
    <col min="1" max="1" width="8.83203125" style="38"/>
    <col min="2" max="2" width="14.5" style="38" customWidth="1"/>
    <col min="3" max="3" width="11.1640625" style="38" bestFit="1" customWidth="1"/>
    <col min="4" max="6" width="8.83203125" style="38"/>
    <col min="7" max="7" width="10.1640625" style="38" bestFit="1" customWidth="1"/>
    <col min="8" max="16384" width="8.83203125" style="38"/>
  </cols>
  <sheetData>
    <row r="1" spans="1:10" ht="26" x14ac:dyDescent="0.3">
      <c r="A1" s="58" t="s">
        <v>201</v>
      </c>
    </row>
    <row r="2" spans="1:10" ht="47" x14ac:dyDescent="0.55000000000000004">
      <c r="B2" s="37" t="s">
        <v>165</v>
      </c>
    </row>
    <row r="4" spans="1:10" x14ac:dyDescent="0.2">
      <c r="B4" s="38" t="s">
        <v>166</v>
      </c>
    </row>
    <row r="5" spans="1:10" x14ac:dyDescent="0.2">
      <c r="B5" s="38" t="s">
        <v>167</v>
      </c>
    </row>
    <row r="6" spans="1:10" x14ac:dyDescent="0.2">
      <c r="B6" s="38" t="s">
        <v>168</v>
      </c>
    </row>
    <row r="9" spans="1:10" x14ac:dyDescent="0.2">
      <c r="B9" s="38" t="s">
        <v>169</v>
      </c>
      <c r="C9" s="38">
        <v>100</v>
      </c>
      <c r="F9" s="42" t="s">
        <v>179</v>
      </c>
      <c r="G9" s="42" t="s">
        <v>180</v>
      </c>
      <c r="H9" s="42" t="s">
        <v>181</v>
      </c>
      <c r="I9" s="42" t="s">
        <v>182</v>
      </c>
      <c r="J9" s="42" t="s">
        <v>183</v>
      </c>
    </row>
    <row r="10" spans="1:10" x14ac:dyDescent="0.2">
      <c r="B10" s="38" t="s">
        <v>170</v>
      </c>
      <c r="C10" s="39">
        <v>0.06</v>
      </c>
      <c r="F10" s="38">
        <v>1</v>
      </c>
      <c r="G10" s="38">
        <v>0.5</v>
      </c>
      <c r="H10" s="38">
        <f t="shared" ref="H10:H18" si="0">CouponPmt</f>
        <v>3</v>
      </c>
      <c r="I10" s="52">
        <f t="shared" ref="I10:I19" si="1">EXP(-YTM/Frequency*Period)</f>
        <v>0.96560541625756646</v>
      </c>
      <c r="J10" s="52">
        <f t="shared" ref="J10:J19" si="2">EXP(-YTM_rf/Frequency*Period)</f>
        <v>0.97530991202833262</v>
      </c>
    </row>
    <row r="11" spans="1:10" x14ac:dyDescent="0.2">
      <c r="B11" s="38" t="s">
        <v>171</v>
      </c>
      <c r="C11" s="38">
        <v>2</v>
      </c>
      <c r="F11" s="38">
        <v>2</v>
      </c>
      <c r="G11" s="38">
        <v>1</v>
      </c>
      <c r="H11" s="38">
        <f t="shared" si="0"/>
        <v>3</v>
      </c>
      <c r="I11" s="52">
        <f t="shared" si="1"/>
        <v>0.93239381990594827</v>
      </c>
      <c r="J11" s="52">
        <f t="shared" si="2"/>
        <v>0.95122942450071402</v>
      </c>
    </row>
    <row r="12" spans="1:10" x14ac:dyDescent="0.2">
      <c r="B12" s="38" t="s">
        <v>172</v>
      </c>
      <c r="C12" s="38">
        <v>5</v>
      </c>
      <c r="F12" s="38">
        <v>3</v>
      </c>
      <c r="G12" s="38">
        <v>1.5</v>
      </c>
      <c r="H12" s="38">
        <f t="shared" si="0"/>
        <v>3</v>
      </c>
      <c r="I12" s="52">
        <f t="shared" si="1"/>
        <v>0.90032452258626561</v>
      </c>
      <c r="J12" s="52">
        <f t="shared" si="2"/>
        <v>0.92774348632855286</v>
      </c>
    </row>
    <row r="13" spans="1:10" x14ac:dyDescent="0.2">
      <c r="B13" s="38" t="s">
        <v>173</v>
      </c>
      <c r="C13" s="39">
        <v>7.0000000000000007E-2</v>
      </c>
      <c r="F13" s="38">
        <v>4</v>
      </c>
      <c r="G13" s="38">
        <v>2</v>
      </c>
      <c r="H13" s="38">
        <f t="shared" si="0"/>
        <v>3</v>
      </c>
      <c r="I13" s="52">
        <f t="shared" si="1"/>
        <v>0.86935823539880586</v>
      </c>
      <c r="J13" s="52">
        <f t="shared" si="2"/>
        <v>0.90483741803595952</v>
      </c>
    </row>
    <row r="14" spans="1:10" x14ac:dyDescent="0.2">
      <c r="B14" s="38" t="s">
        <v>174</v>
      </c>
      <c r="C14" s="39">
        <v>0.05</v>
      </c>
      <c r="F14" s="38">
        <v>5</v>
      </c>
      <c r="G14" s="38">
        <v>2.5</v>
      </c>
      <c r="H14" s="38">
        <f t="shared" si="0"/>
        <v>3</v>
      </c>
      <c r="I14" s="52">
        <f t="shared" si="1"/>
        <v>0.83945702076920736</v>
      </c>
      <c r="J14" s="52">
        <f t="shared" si="2"/>
        <v>0.88249690258459546</v>
      </c>
    </row>
    <row r="15" spans="1:10" x14ac:dyDescent="0.2">
      <c r="B15" s="38" t="s">
        <v>175</v>
      </c>
      <c r="C15" s="38">
        <f>Face*CouponRate/Frequency</f>
        <v>3</v>
      </c>
      <c r="F15" s="38">
        <v>6</v>
      </c>
      <c r="G15" s="38">
        <v>3</v>
      </c>
      <c r="H15" s="38">
        <f t="shared" si="0"/>
        <v>3</v>
      </c>
      <c r="I15" s="52">
        <f t="shared" si="1"/>
        <v>0.81058424597018708</v>
      </c>
      <c r="J15" s="52">
        <f t="shared" si="2"/>
        <v>0.86070797642505781</v>
      </c>
    </row>
    <row r="16" spans="1:10" x14ac:dyDescent="0.2">
      <c r="B16" s="38" t="s">
        <v>176</v>
      </c>
      <c r="C16" s="40">
        <f t="array" ref="C16">SUM(pmt*pv)</f>
        <v>95.340874485591371</v>
      </c>
      <c r="F16" s="38">
        <v>7</v>
      </c>
      <c r="G16" s="38">
        <v>3.5</v>
      </c>
      <c r="H16" s="38">
        <f t="shared" si="0"/>
        <v>3</v>
      </c>
      <c r="I16" s="52">
        <f t="shared" si="1"/>
        <v>0.78270453824186814</v>
      </c>
      <c r="J16" s="52">
        <f t="shared" si="2"/>
        <v>0.83945702076920736</v>
      </c>
    </row>
    <row r="17" spans="2:22" x14ac:dyDescent="0.2">
      <c r="B17" s="38" t="s">
        <v>177</v>
      </c>
      <c r="C17" s="40" cm="1">
        <f t="array" ref="C17">SUM(pmt*pv_rf)</f>
        <v>104.09356799388404</v>
      </c>
      <c r="F17" s="38">
        <v>8</v>
      </c>
      <c r="G17" s="38">
        <v>4</v>
      </c>
      <c r="H17" s="38">
        <f t="shared" si="0"/>
        <v>3</v>
      </c>
      <c r="I17" s="52">
        <f t="shared" si="1"/>
        <v>0.75578374145572547</v>
      </c>
      <c r="J17" s="52">
        <f t="shared" si="2"/>
        <v>0.81873075307798182</v>
      </c>
    </row>
    <row r="18" spans="2:22" x14ac:dyDescent="0.2">
      <c r="B18" s="38" t="s">
        <v>178</v>
      </c>
      <c r="C18" s="41">
        <f>C17-C16</f>
        <v>8.7526935082926656</v>
      </c>
      <c r="F18" s="38">
        <v>9</v>
      </c>
      <c r="G18" s="38">
        <v>4.5</v>
      </c>
      <c r="H18" s="38">
        <f t="shared" si="0"/>
        <v>3</v>
      </c>
      <c r="I18" s="52">
        <f t="shared" si="1"/>
        <v>0.72978887426905681</v>
      </c>
      <c r="J18" s="52">
        <f t="shared" si="2"/>
        <v>0.79851621875937706</v>
      </c>
    </row>
    <row r="19" spans="2:22" x14ac:dyDescent="0.2">
      <c r="F19" s="38">
        <v>10</v>
      </c>
      <c r="G19" s="38">
        <v>5</v>
      </c>
      <c r="H19" s="38">
        <f>CouponPmt+Face</f>
        <v>103</v>
      </c>
      <c r="I19" s="52">
        <f t="shared" si="1"/>
        <v>0.70468808971871344</v>
      </c>
      <c r="J19" s="52">
        <f t="shared" si="2"/>
        <v>0.77880078307140488</v>
      </c>
    </row>
    <row r="24" spans="2:22" s="42" customFormat="1" x14ac:dyDescent="0.2">
      <c r="B24" s="42" t="s">
        <v>184</v>
      </c>
      <c r="C24" s="42" t="s">
        <v>185</v>
      </c>
      <c r="M24" s="42" t="s">
        <v>196</v>
      </c>
    </row>
    <row r="25" spans="2:22" x14ac:dyDescent="0.2">
      <c r="B25" s="38">
        <v>0.5</v>
      </c>
      <c r="C25" s="43">
        <f>5-B25</f>
        <v>4.5</v>
      </c>
      <c r="D25" s="44">
        <f t="shared" ref="D25:L29" si="3">MAX(C25-0.5,0)</f>
        <v>4</v>
      </c>
      <c r="E25" s="44">
        <f t="shared" si="3"/>
        <v>3.5</v>
      </c>
      <c r="F25" s="44">
        <f t="shared" si="3"/>
        <v>3</v>
      </c>
      <c r="G25" s="44">
        <f t="shared" si="3"/>
        <v>2.5</v>
      </c>
      <c r="H25" s="44">
        <f t="shared" si="3"/>
        <v>2</v>
      </c>
      <c r="I25" s="44">
        <f t="shared" si="3"/>
        <v>1.5</v>
      </c>
      <c r="J25" s="44">
        <f t="shared" si="3"/>
        <v>1</v>
      </c>
      <c r="K25" s="44">
        <f t="shared" si="3"/>
        <v>0.5</v>
      </c>
      <c r="L25" s="44">
        <f t="shared" si="3"/>
        <v>0</v>
      </c>
      <c r="M25" s="43">
        <f>IF(D32=0,0,EXP(-YTM_rf*C25))</f>
        <v>0.79851621875937706</v>
      </c>
      <c r="N25" s="44">
        <f t="shared" ref="N25:V29" si="4">IF(C25=0,0,EXP(-YTM_rf*D25))</f>
        <v>0.81873075307798182</v>
      </c>
      <c r="O25" s="44">
        <f t="shared" si="4"/>
        <v>0.83945702076920736</v>
      </c>
      <c r="P25" s="44">
        <f t="shared" si="4"/>
        <v>0.86070797642505781</v>
      </c>
      <c r="Q25" s="44">
        <f t="shared" si="4"/>
        <v>0.88249690258459546</v>
      </c>
      <c r="R25" s="44">
        <f t="shared" si="4"/>
        <v>0.90483741803595952</v>
      </c>
      <c r="S25" s="44">
        <f t="shared" si="4"/>
        <v>0.92774348632855286</v>
      </c>
      <c r="T25" s="44">
        <f t="shared" si="4"/>
        <v>0.95122942450071402</v>
      </c>
      <c r="U25" s="44">
        <f t="shared" si="4"/>
        <v>0.97530991202833262</v>
      </c>
      <c r="V25" s="45">
        <f>IF(K25=0,0,EXP(-YTM_rf*L25))</f>
        <v>1</v>
      </c>
    </row>
    <row r="26" spans="2:22" x14ac:dyDescent="0.2">
      <c r="B26" s="38">
        <v>1.5</v>
      </c>
      <c r="C26" s="46">
        <f>5-B26</f>
        <v>3.5</v>
      </c>
      <c r="D26" s="38">
        <f t="shared" si="3"/>
        <v>3</v>
      </c>
      <c r="E26" s="38">
        <f t="shared" si="3"/>
        <v>2.5</v>
      </c>
      <c r="F26" s="38">
        <f t="shared" si="3"/>
        <v>2</v>
      </c>
      <c r="G26" s="38">
        <f t="shared" si="3"/>
        <v>1.5</v>
      </c>
      <c r="H26" s="38">
        <f t="shared" si="3"/>
        <v>1</v>
      </c>
      <c r="I26" s="38">
        <f t="shared" si="3"/>
        <v>0.5</v>
      </c>
      <c r="J26" s="38">
        <f t="shared" si="3"/>
        <v>0</v>
      </c>
      <c r="K26" s="38">
        <f t="shared" si="3"/>
        <v>0</v>
      </c>
      <c r="L26" s="38">
        <f t="shared" si="3"/>
        <v>0</v>
      </c>
      <c r="M26" s="46">
        <f>IF(D33=0,0,EXP(-YTM_rf*C26))</f>
        <v>0.83945702076920736</v>
      </c>
      <c r="N26" s="38">
        <f t="shared" si="4"/>
        <v>0.86070797642505781</v>
      </c>
      <c r="O26" s="38">
        <f t="shared" si="4"/>
        <v>0.88249690258459546</v>
      </c>
      <c r="P26" s="38">
        <f t="shared" si="4"/>
        <v>0.90483741803595952</v>
      </c>
      <c r="Q26" s="38">
        <f t="shared" si="4"/>
        <v>0.92774348632855286</v>
      </c>
      <c r="R26" s="38">
        <f t="shared" si="4"/>
        <v>0.95122942450071402</v>
      </c>
      <c r="S26" s="38">
        <f t="shared" si="4"/>
        <v>0.97530991202833262</v>
      </c>
      <c r="T26" s="38">
        <f t="shared" si="4"/>
        <v>1</v>
      </c>
      <c r="U26" s="38">
        <f t="shared" si="4"/>
        <v>0</v>
      </c>
      <c r="V26" s="47">
        <f t="shared" si="4"/>
        <v>0</v>
      </c>
    </row>
    <row r="27" spans="2:22" x14ac:dyDescent="0.2">
      <c r="B27" s="38">
        <v>2.5</v>
      </c>
      <c r="C27" s="46">
        <f>5-B27</f>
        <v>2.5</v>
      </c>
      <c r="D27" s="38">
        <f t="shared" si="3"/>
        <v>2</v>
      </c>
      <c r="E27" s="38">
        <f t="shared" si="3"/>
        <v>1.5</v>
      </c>
      <c r="F27" s="38">
        <f t="shared" si="3"/>
        <v>1</v>
      </c>
      <c r="G27" s="38">
        <f t="shared" si="3"/>
        <v>0.5</v>
      </c>
      <c r="H27" s="38">
        <f t="shared" si="3"/>
        <v>0</v>
      </c>
      <c r="I27" s="38">
        <f t="shared" si="3"/>
        <v>0</v>
      </c>
      <c r="J27" s="38">
        <f t="shared" si="3"/>
        <v>0</v>
      </c>
      <c r="K27" s="38">
        <f t="shared" si="3"/>
        <v>0</v>
      </c>
      <c r="L27" s="38">
        <f t="shared" si="3"/>
        <v>0</v>
      </c>
      <c r="M27" s="46">
        <f>IF(D34=0,0,EXP(-YTM_rf*C27))</f>
        <v>0.88249690258459546</v>
      </c>
      <c r="N27" s="38">
        <f t="shared" si="4"/>
        <v>0.90483741803595952</v>
      </c>
      <c r="O27" s="38">
        <f t="shared" si="4"/>
        <v>0.92774348632855286</v>
      </c>
      <c r="P27" s="38">
        <f t="shared" si="4"/>
        <v>0.95122942450071402</v>
      </c>
      <c r="Q27" s="38">
        <f t="shared" si="4"/>
        <v>0.97530991202833262</v>
      </c>
      <c r="R27" s="38">
        <f t="shared" si="4"/>
        <v>1</v>
      </c>
      <c r="S27" s="38">
        <f t="shared" si="4"/>
        <v>0</v>
      </c>
      <c r="T27" s="38">
        <f t="shared" si="4"/>
        <v>0</v>
      </c>
      <c r="U27" s="38">
        <f t="shared" si="4"/>
        <v>0</v>
      </c>
      <c r="V27" s="47">
        <f t="shared" si="4"/>
        <v>0</v>
      </c>
    </row>
    <row r="28" spans="2:22" x14ac:dyDescent="0.2">
      <c r="B28" s="38">
        <v>3.5</v>
      </c>
      <c r="C28" s="46">
        <f>5-B28</f>
        <v>1.5</v>
      </c>
      <c r="D28" s="38">
        <f t="shared" si="3"/>
        <v>1</v>
      </c>
      <c r="E28" s="38">
        <f t="shared" si="3"/>
        <v>0.5</v>
      </c>
      <c r="F28" s="38">
        <f t="shared" si="3"/>
        <v>0</v>
      </c>
      <c r="G28" s="38">
        <f t="shared" si="3"/>
        <v>0</v>
      </c>
      <c r="H28" s="38">
        <f t="shared" si="3"/>
        <v>0</v>
      </c>
      <c r="I28" s="38">
        <f t="shared" si="3"/>
        <v>0</v>
      </c>
      <c r="J28" s="38">
        <f t="shared" si="3"/>
        <v>0</v>
      </c>
      <c r="K28" s="38">
        <f t="shared" si="3"/>
        <v>0</v>
      </c>
      <c r="L28" s="38">
        <f t="shared" si="3"/>
        <v>0</v>
      </c>
      <c r="M28" s="46">
        <f>IF(D35=0,0,EXP(-YTM_rf*C28))</f>
        <v>0.92774348632855286</v>
      </c>
      <c r="N28" s="38">
        <f t="shared" si="4"/>
        <v>0.95122942450071402</v>
      </c>
      <c r="O28" s="38">
        <f t="shared" si="4"/>
        <v>0.97530991202833262</v>
      </c>
      <c r="P28" s="38">
        <f t="shared" si="4"/>
        <v>1</v>
      </c>
      <c r="Q28" s="38">
        <f t="shared" si="4"/>
        <v>0</v>
      </c>
      <c r="R28" s="38">
        <f t="shared" si="4"/>
        <v>0</v>
      </c>
      <c r="S28" s="38">
        <f t="shared" si="4"/>
        <v>0</v>
      </c>
      <c r="T28" s="38">
        <f t="shared" si="4"/>
        <v>0</v>
      </c>
      <c r="U28" s="38">
        <f t="shared" si="4"/>
        <v>0</v>
      </c>
      <c r="V28" s="47">
        <f t="shared" si="4"/>
        <v>0</v>
      </c>
    </row>
    <row r="29" spans="2:22" x14ac:dyDescent="0.2">
      <c r="B29" s="38">
        <v>4.5</v>
      </c>
      <c r="C29" s="48">
        <f>5-B29</f>
        <v>0.5</v>
      </c>
      <c r="D29" s="49">
        <f t="shared" si="3"/>
        <v>0</v>
      </c>
      <c r="E29" s="49">
        <f t="shared" si="3"/>
        <v>0</v>
      </c>
      <c r="F29" s="49">
        <f t="shared" si="3"/>
        <v>0</v>
      </c>
      <c r="G29" s="49">
        <f t="shared" si="3"/>
        <v>0</v>
      </c>
      <c r="H29" s="49">
        <f t="shared" si="3"/>
        <v>0</v>
      </c>
      <c r="I29" s="49">
        <f t="shared" si="3"/>
        <v>0</v>
      </c>
      <c r="J29" s="49">
        <f t="shared" si="3"/>
        <v>0</v>
      </c>
      <c r="K29" s="49">
        <f t="shared" si="3"/>
        <v>0</v>
      </c>
      <c r="L29" s="49">
        <f t="shared" si="3"/>
        <v>0</v>
      </c>
      <c r="M29" s="48">
        <f>IF(D36=0,0,EXP(-YTM_rf*C29))</f>
        <v>0.97530991202833262</v>
      </c>
      <c r="N29" s="49">
        <f t="shared" si="4"/>
        <v>1</v>
      </c>
      <c r="O29" s="49">
        <f t="shared" si="4"/>
        <v>0</v>
      </c>
      <c r="P29" s="49">
        <f t="shared" si="4"/>
        <v>0</v>
      </c>
      <c r="Q29" s="49">
        <f t="shared" si="4"/>
        <v>0</v>
      </c>
      <c r="R29" s="49">
        <f t="shared" si="4"/>
        <v>0</v>
      </c>
      <c r="S29" s="49">
        <f t="shared" si="4"/>
        <v>0</v>
      </c>
      <c r="T29" s="49">
        <f t="shared" si="4"/>
        <v>0</v>
      </c>
      <c r="U29" s="49">
        <f t="shared" si="4"/>
        <v>0</v>
      </c>
      <c r="V29" s="50">
        <f t="shared" si="4"/>
        <v>0</v>
      </c>
    </row>
    <row r="31" spans="2:22" s="42" customFormat="1" x14ac:dyDescent="0.2">
      <c r="B31" s="42" t="s">
        <v>186</v>
      </c>
      <c r="C31" s="42" t="s">
        <v>187</v>
      </c>
      <c r="D31" s="42" t="s">
        <v>188</v>
      </c>
      <c r="E31" s="42" t="s">
        <v>189</v>
      </c>
      <c r="F31" s="42" t="s">
        <v>190</v>
      </c>
      <c r="G31" s="42" t="s">
        <v>191</v>
      </c>
      <c r="I31" s="42" t="s">
        <v>142</v>
      </c>
    </row>
    <row r="32" spans="2:22" x14ac:dyDescent="0.2">
      <c r="B32" s="38">
        <v>0.5</v>
      </c>
      <c r="C32" s="51">
        <f>SUM(M25:V25)*CouponPmt+100*M25</f>
        <v>106.72870921346704</v>
      </c>
      <c r="D32" s="38">
        <v>40</v>
      </c>
      <c r="E32" s="51">
        <f>value_rf_-Recovery</f>
        <v>66.728709213467042</v>
      </c>
      <c r="F32" s="52">
        <f>EXP(-YTM_rf*Time_)</f>
        <v>0.97530991202833262</v>
      </c>
      <c r="G32" s="52">
        <f>Loss*pv_rf_</f>
        <v>65.081171512750728</v>
      </c>
      <c r="I32" s="53">
        <f>Eloss/lossAmount</f>
        <v>3.0340581191964006E-2</v>
      </c>
    </row>
    <row r="33" spans="2:7" x14ac:dyDescent="0.2">
      <c r="B33" s="38">
        <v>1.5</v>
      </c>
      <c r="C33" s="51">
        <f>SUM(M26:V26)*CouponPmt+100*M26</f>
        <v>105.97104849893799</v>
      </c>
      <c r="D33" s="38">
        <v>40</v>
      </c>
      <c r="E33" s="51">
        <f>value_rf_-Recovery</f>
        <v>65.971048498937989</v>
      </c>
      <c r="F33" s="52">
        <f>EXP(-YTM_rf*Time_)</f>
        <v>0.92774348632855286</v>
      </c>
      <c r="G33" s="52">
        <f>Loss*pv_rf_</f>
        <v>61.204210531154772</v>
      </c>
    </row>
    <row r="34" spans="2:7" x14ac:dyDescent="0.2">
      <c r="B34" s="38">
        <v>2.5</v>
      </c>
      <c r="C34" s="51">
        <f>SUM(M27:V27)*CouponPmt+100*M27</f>
        <v>105.17454168889401</v>
      </c>
      <c r="D34" s="38">
        <v>40</v>
      </c>
      <c r="E34" s="51">
        <f>value_rf_-Recovery</f>
        <v>65.17454168889401</v>
      </c>
      <c r="F34" s="52">
        <f>EXP(-YTM_rf*Time_)</f>
        <v>0.88249690258459546</v>
      </c>
      <c r="G34" s="52">
        <f>Loss*pv_rf_</f>
        <v>57.516331167819551</v>
      </c>
    </row>
    <row r="35" spans="2:7" x14ac:dyDescent="0.2">
      <c r="B35" s="38">
        <v>3.5</v>
      </c>
      <c r="C35" s="51">
        <f>SUM(M28:V28)*CouponPmt+100*M28</f>
        <v>104.33719710142807</v>
      </c>
      <c r="D35" s="38">
        <v>40</v>
      </c>
      <c r="E35" s="51">
        <f>value_rf_-Recovery</f>
        <v>64.337197101428075</v>
      </c>
      <c r="F35" s="52">
        <f>EXP(-YTM_rf*Time_)</f>
        <v>0.83945702076920736</v>
      </c>
      <c r="G35" s="52">
        <f>Loss*pv_rf_</f>
        <v>54.008311803406094</v>
      </c>
    </row>
    <row r="36" spans="2:7" x14ac:dyDescent="0.2">
      <c r="B36" s="38">
        <v>4.5</v>
      </c>
      <c r="C36" s="51">
        <f>SUM(M29:V29)*CouponPmt+100*M29</f>
        <v>103.45692093891826</v>
      </c>
      <c r="D36" s="38">
        <v>40</v>
      </c>
      <c r="E36" s="51">
        <f>value_rf_-Recovery</f>
        <v>63.456920938918259</v>
      </c>
      <c r="F36" s="52">
        <f>EXP(-YTM_rf*Time_)</f>
        <v>0.79851621875937706</v>
      </c>
      <c r="G36" s="52">
        <f>Loss*pv_rf_</f>
        <v>50.671380562257745</v>
      </c>
    </row>
    <row r="37" spans="2:7" x14ac:dyDescent="0.2">
      <c r="G37" s="51">
        <f>SUM(G32:G36)</f>
        <v>288.4814055773889</v>
      </c>
    </row>
  </sheetData>
  <hyperlinks>
    <hyperlink ref="A1" r:id="rId1" display="Video" xr:uid="{67ACFEB6-73AE-7D4B-86BB-3DA603E3F2B5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40CCC-8D51-8F4A-B39D-C82DE7AE91AF}">
  <sheetPr codeName="Sheet6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03"/>
  </cols>
  <sheetData>
    <row r="1" spans="1:1" x14ac:dyDescent="0.3">
      <c r="A1" s="103" t="s">
        <v>271</v>
      </c>
    </row>
    <row r="2" spans="1:1" x14ac:dyDescent="0.3">
      <c r="A2" s="103" t="s">
        <v>272</v>
      </c>
    </row>
    <row r="3" spans="1:1" x14ac:dyDescent="0.3">
      <c r="A3" s="103" t="s">
        <v>273</v>
      </c>
    </row>
    <row r="4" spans="1:1" x14ac:dyDescent="0.3">
      <c r="A4" s="103" t="s">
        <v>270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8E912-4A04-A343-96AE-89743D5C51E0}">
  <sheetPr codeName="Sheet7">
    <tabColor rgb="FFFF0000"/>
  </sheetPr>
  <dimension ref="B3:P109"/>
  <sheetViews>
    <sheetView workbookViewId="0"/>
  </sheetViews>
  <sheetFormatPr baseColWidth="10" defaultColWidth="8.83203125" defaultRowHeight="15" x14ac:dyDescent="0.2"/>
  <cols>
    <col min="1" max="1" width="8.83203125" style="4"/>
    <col min="2" max="2" width="11.33203125" style="4" bestFit="1" customWidth="1"/>
    <col min="3" max="3" width="11.33203125" style="4" customWidth="1"/>
    <col min="4" max="4" width="10" style="4" bestFit="1" customWidth="1"/>
    <col min="5" max="5" width="9.1640625" style="4" customWidth="1"/>
    <col min="6" max="6" width="8.1640625" style="4" customWidth="1"/>
    <col min="7" max="7" width="7" style="4" customWidth="1"/>
    <col min="8" max="16384" width="8.83203125" style="4"/>
  </cols>
  <sheetData>
    <row r="3" spans="2:15" ht="29" x14ac:dyDescent="0.35">
      <c r="B3" s="30" t="s">
        <v>134</v>
      </c>
    </row>
    <row r="8" spans="2:15" x14ac:dyDescent="0.2">
      <c r="H8" s="23" t="s">
        <v>133</v>
      </c>
      <c r="I8" s="23"/>
      <c r="J8" s="23"/>
      <c r="K8" s="23"/>
      <c r="L8" s="23"/>
      <c r="M8" s="23"/>
      <c r="N8" s="23"/>
      <c r="O8" s="7"/>
    </row>
    <row r="9" spans="2:15" x14ac:dyDescent="0.2">
      <c r="B9" s="4" t="s">
        <v>132</v>
      </c>
      <c r="C9" s="4" t="s">
        <v>131</v>
      </c>
      <c r="D9" s="4" t="s">
        <v>130</v>
      </c>
      <c r="E9" s="4" t="s">
        <v>129</v>
      </c>
      <c r="H9" s="23"/>
      <c r="I9" s="29" t="s">
        <v>23</v>
      </c>
      <c r="J9" s="29" t="s">
        <v>36</v>
      </c>
      <c r="K9" s="29" t="s">
        <v>261</v>
      </c>
      <c r="L9" s="29" t="s">
        <v>20</v>
      </c>
      <c r="M9" s="29" t="s">
        <v>31</v>
      </c>
      <c r="N9" s="29" t="s">
        <v>27</v>
      </c>
      <c r="O9" s="7"/>
    </row>
    <row r="10" spans="2:15" x14ac:dyDescent="0.2">
      <c r="B10" s="4" t="s">
        <v>128</v>
      </c>
      <c r="C10" s="4">
        <v>0.87837986396496903</v>
      </c>
      <c r="D10" s="4" t="s">
        <v>31</v>
      </c>
      <c r="E10" s="4" t="s">
        <v>27</v>
      </c>
      <c r="H10" s="23" t="s">
        <v>23</v>
      </c>
      <c r="I10" s="28">
        <f t="shared" ref="I10:N15" si="0">COUNTIFS(RatingLast,$H10,RatingNow,I$9)</f>
        <v>7</v>
      </c>
      <c r="J10" s="27">
        <f t="shared" si="0"/>
        <v>4</v>
      </c>
      <c r="K10" s="27">
        <f t="shared" si="0"/>
        <v>2</v>
      </c>
      <c r="L10" s="27">
        <f t="shared" si="0"/>
        <v>0</v>
      </c>
      <c r="M10" s="27">
        <f t="shared" si="0"/>
        <v>0</v>
      </c>
      <c r="N10" s="26">
        <f t="shared" si="0"/>
        <v>0</v>
      </c>
      <c r="O10" s="7"/>
    </row>
    <row r="11" spans="2:15" x14ac:dyDescent="0.2">
      <c r="B11" s="4" t="s">
        <v>127</v>
      </c>
      <c r="C11" s="4">
        <v>0.86778592575709479</v>
      </c>
      <c r="D11" s="4" t="s">
        <v>31</v>
      </c>
      <c r="E11" s="4" t="s">
        <v>31</v>
      </c>
      <c r="H11" s="23" t="s">
        <v>36</v>
      </c>
      <c r="I11" s="25">
        <f t="shared" si="0"/>
        <v>2</v>
      </c>
      <c r="J11" s="23">
        <f t="shared" si="0"/>
        <v>11</v>
      </c>
      <c r="K11" s="23">
        <f t="shared" si="0"/>
        <v>6</v>
      </c>
      <c r="L11" s="23">
        <f t="shared" si="0"/>
        <v>2</v>
      </c>
      <c r="M11" s="23">
        <f t="shared" si="0"/>
        <v>0</v>
      </c>
      <c r="N11" s="24">
        <f t="shared" si="0"/>
        <v>0</v>
      </c>
      <c r="O11" s="7"/>
    </row>
    <row r="12" spans="2:15" x14ac:dyDescent="0.2">
      <c r="B12" s="4" t="s">
        <v>126</v>
      </c>
      <c r="C12" s="4">
        <v>0.52119145596927485</v>
      </c>
      <c r="D12" s="4" t="s">
        <v>21</v>
      </c>
      <c r="E12" s="4" t="s">
        <v>20</v>
      </c>
      <c r="H12" s="23" t="s">
        <v>21</v>
      </c>
      <c r="I12" s="25">
        <f t="shared" si="0"/>
        <v>0</v>
      </c>
      <c r="J12" s="23">
        <f t="shared" si="0"/>
        <v>2</v>
      </c>
      <c r="K12" s="23">
        <f t="shared" si="0"/>
        <v>4</v>
      </c>
      <c r="L12" s="23">
        <f t="shared" si="0"/>
        <v>9</v>
      </c>
      <c r="M12" s="23">
        <f t="shared" si="0"/>
        <v>6</v>
      </c>
      <c r="N12" s="24">
        <f t="shared" si="0"/>
        <v>0</v>
      </c>
      <c r="O12" s="7"/>
    </row>
    <row r="13" spans="2:15" x14ac:dyDescent="0.2">
      <c r="B13" s="4" t="s">
        <v>125</v>
      </c>
      <c r="C13" s="4">
        <v>0.84786367665154105</v>
      </c>
      <c r="D13" s="4" t="s">
        <v>31</v>
      </c>
      <c r="E13" s="4" t="s">
        <v>27</v>
      </c>
      <c r="H13" s="23" t="s">
        <v>20</v>
      </c>
      <c r="I13" s="25">
        <f t="shared" si="0"/>
        <v>0</v>
      </c>
      <c r="J13" s="23">
        <f t="shared" si="0"/>
        <v>0</v>
      </c>
      <c r="K13" s="23">
        <f t="shared" si="0"/>
        <v>2</v>
      </c>
      <c r="L13" s="23">
        <f t="shared" si="0"/>
        <v>8</v>
      </c>
      <c r="M13" s="23">
        <f t="shared" si="0"/>
        <v>7</v>
      </c>
      <c r="N13" s="24">
        <f t="shared" si="0"/>
        <v>3</v>
      </c>
      <c r="O13" s="7"/>
    </row>
    <row r="14" spans="2:15" x14ac:dyDescent="0.2">
      <c r="B14" s="4" t="s">
        <v>124</v>
      </c>
      <c r="C14" s="4">
        <v>0.74482071432451058</v>
      </c>
      <c r="D14" s="4" t="s">
        <v>20</v>
      </c>
      <c r="E14" s="4" t="s">
        <v>20</v>
      </c>
      <c r="H14" s="23" t="s">
        <v>31</v>
      </c>
      <c r="I14" s="25">
        <f t="shared" si="0"/>
        <v>0</v>
      </c>
      <c r="J14" s="23">
        <f t="shared" si="0"/>
        <v>0</v>
      </c>
      <c r="K14" s="23">
        <f t="shared" si="0"/>
        <v>0</v>
      </c>
      <c r="L14" s="23">
        <f t="shared" si="0"/>
        <v>3</v>
      </c>
      <c r="M14" s="23">
        <f t="shared" si="0"/>
        <v>6</v>
      </c>
      <c r="N14" s="24">
        <f t="shared" si="0"/>
        <v>16</v>
      </c>
      <c r="O14" s="7"/>
    </row>
    <row r="15" spans="2:15" x14ac:dyDescent="0.2">
      <c r="B15" s="4" t="s">
        <v>123</v>
      </c>
      <c r="C15" s="4">
        <v>0.85633854254513686</v>
      </c>
      <c r="D15" s="4" t="s">
        <v>31</v>
      </c>
      <c r="E15" s="4" t="s">
        <v>31</v>
      </c>
      <c r="H15" s="23" t="s">
        <v>27</v>
      </c>
      <c r="I15" s="22">
        <f t="shared" si="0"/>
        <v>0</v>
      </c>
      <c r="J15" s="21">
        <f t="shared" si="0"/>
        <v>0</v>
      </c>
      <c r="K15" s="21">
        <f t="shared" si="0"/>
        <v>0</v>
      </c>
      <c r="L15" s="21">
        <f t="shared" si="0"/>
        <v>0</v>
      </c>
      <c r="M15" s="21">
        <f t="shared" si="0"/>
        <v>0</v>
      </c>
      <c r="N15" s="20">
        <f t="shared" si="0"/>
        <v>0</v>
      </c>
      <c r="O15" s="7"/>
    </row>
    <row r="16" spans="2:15" x14ac:dyDescent="0.2">
      <c r="B16" s="4" t="s">
        <v>122</v>
      </c>
      <c r="C16" s="4">
        <v>3.1748623600066805E-2</v>
      </c>
      <c r="D16" s="4" t="s">
        <v>23</v>
      </c>
      <c r="E16" s="4" t="s">
        <v>23</v>
      </c>
      <c r="H16" s="7"/>
      <c r="I16" s="7"/>
      <c r="J16" s="7"/>
      <c r="K16" s="7"/>
      <c r="L16" s="7"/>
      <c r="M16" s="7"/>
      <c r="N16" s="7"/>
      <c r="O16" s="7"/>
    </row>
    <row r="17" spans="2:16" x14ac:dyDescent="0.2">
      <c r="B17" s="4" t="s">
        <v>121</v>
      </c>
      <c r="C17" s="4">
        <v>0.13847525438575636</v>
      </c>
      <c r="D17" s="4" t="s">
        <v>23</v>
      </c>
      <c r="E17" s="4" t="s">
        <v>261</v>
      </c>
    </row>
    <row r="18" spans="2:16" x14ac:dyDescent="0.2">
      <c r="B18" s="4" t="s">
        <v>120</v>
      </c>
      <c r="C18" s="4">
        <v>0.35239980324078335</v>
      </c>
      <c r="D18" s="4" t="s">
        <v>36</v>
      </c>
      <c r="E18" s="4" t="s">
        <v>261</v>
      </c>
      <c r="H18" s="4" t="s">
        <v>119</v>
      </c>
    </row>
    <row r="19" spans="2:16" x14ac:dyDescent="0.2">
      <c r="B19" s="4" t="s">
        <v>118</v>
      </c>
      <c r="C19" s="4">
        <v>0.629727923495492</v>
      </c>
      <c r="D19" s="4" t="s">
        <v>20</v>
      </c>
      <c r="E19" s="4" t="s">
        <v>261</v>
      </c>
      <c r="I19" s="8" t="s">
        <v>23</v>
      </c>
      <c r="J19" s="8" t="s">
        <v>36</v>
      </c>
      <c r="K19" s="8" t="s">
        <v>21</v>
      </c>
      <c r="L19" s="8" t="s">
        <v>20</v>
      </c>
      <c r="M19" s="8" t="s">
        <v>31</v>
      </c>
      <c r="N19" s="8" t="s">
        <v>27</v>
      </c>
      <c r="P19" s="9" t="s">
        <v>117</v>
      </c>
    </row>
    <row r="20" spans="2:16" x14ac:dyDescent="0.2">
      <c r="B20" s="4" t="s">
        <v>116</v>
      </c>
      <c r="C20" s="4">
        <v>0.30133037852189781</v>
      </c>
      <c r="D20" s="4" t="s">
        <v>36</v>
      </c>
      <c r="E20" s="4" t="s">
        <v>261</v>
      </c>
      <c r="H20" s="4" t="s">
        <v>23</v>
      </c>
      <c r="I20" s="19">
        <f t="array" ref="I20:N20">I10:N10/SUM(I10:N10)</f>
        <v>0.53846153846153844</v>
      </c>
      <c r="J20" s="18">
        <v>0.30769230769230771</v>
      </c>
      <c r="K20" s="18">
        <v>0.15384615384615385</v>
      </c>
      <c r="L20" s="18">
        <v>0</v>
      </c>
      <c r="M20" s="18">
        <v>0</v>
      </c>
      <c r="N20" s="17">
        <v>0</v>
      </c>
    </row>
    <row r="21" spans="2:16" x14ac:dyDescent="0.2">
      <c r="B21" s="4" t="s">
        <v>115</v>
      </c>
      <c r="C21" s="4">
        <v>0.55932131678917996</v>
      </c>
      <c r="D21" s="4" t="s">
        <v>21</v>
      </c>
      <c r="E21" s="4" t="s">
        <v>31</v>
      </c>
      <c r="H21" s="4" t="s">
        <v>36</v>
      </c>
      <c r="I21" s="16">
        <f t="array" ref="I21:N21">I11:N11/SUM(I11:N11)</f>
        <v>9.5238095238095233E-2</v>
      </c>
      <c r="J21" s="14">
        <v>0.52380952380952384</v>
      </c>
      <c r="K21" s="15">
        <v>0.2857142857142857</v>
      </c>
      <c r="L21" s="15">
        <v>9.5238095238095233E-2</v>
      </c>
      <c r="M21" s="15">
        <v>0</v>
      </c>
      <c r="N21" s="13">
        <v>0</v>
      </c>
    </row>
    <row r="22" spans="2:16" x14ac:dyDescent="0.2">
      <c r="B22" s="4" t="s">
        <v>114</v>
      </c>
      <c r="C22" s="4">
        <v>0.57897251751359091</v>
      </c>
      <c r="D22" s="4" t="s">
        <v>21</v>
      </c>
      <c r="E22" s="4" t="s">
        <v>261</v>
      </c>
      <c r="H22" s="4" t="s">
        <v>21</v>
      </c>
      <c r="I22" s="16">
        <f t="array" ref="I22:N22">I12:N12/SUM(I12:N12)</f>
        <v>0</v>
      </c>
      <c r="J22" s="15">
        <v>9.5238095238095233E-2</v>
      </c>
      <c r="K22" s="14">
        <v>0.19047619047619047</v>
      </c>
      <c r="L22" s="15">
        <v>0.42857142857142855</v>
      </c>
      <c r="M22" s="15">
        <v>0.2857142857142857</v>
      </c>
      <c r="N22" s="13">
        <v>0</v>
      </c>
    </row>
    <row r="23" spans="2:16" x14ac:dyDescent="0.2">
      <c r="B23" s="4" t="s">
        <v>113</v>
      </c>
      <c r="C23" s="4">
        <v>0.57354336706452547</v>
      </c>
      <c r="D23" s="4" t="s">
        <v>21</v>
      </c>
      <c r="E23" s="4" t="s">
        <v>20</v>
      </c>
      <c r="H23" s="4" t="s">
        <v>20</v>
      </c>
      <c r="I23" s="16">
        <f t="array" ref="I23:N23">I13:N13/SUM(I13:N13)</f>
        <v>0</v>
      </c>
      <c r="J23" s="15">
        <v>0</v>
      </c>
      <c r="K23" s="15">
        <v>0.1</v>
      </c>
      <c r="L23" s="14">
        <v>0.4</v>
      </c>
      <c r="M23" s="15">
        <v>0.35</v>
      </c>
      <c r="N23" s="13">
        <v>0.15</v>
      </c>
    </row>
    <row r="24" spans="2:16" x14ac:dyDescent="0.2">
      <c r="B24" s="4" t="s">
        <v>112</v>
      </c>
      <c r="C24" s="4">
        <v>0.2220152633174447</v>
      </c>
      <c r="D24" s="4" t="s">
        <v>36</v>
      </c>
      <c r="E24" s="4" t="s">
        <v>23</v>
      </c>
      <c r="H24" s="4" t="s">
        <v>31</v>
      </c>
      <c r="I24" s="16">
        <f t="array" ref="I24:N24">I14:N14/SUM(I14:N14)</f>
        <v>0</v>
      </c>
      <c r="J24" s="15">
        <v>0</v>
      </c>
      <c r="K24" s="15">
        <v>0</v>
      </c>
      <c r="L24" s="15">
        <v>0.12</v>
      </c>
      <c r="M24" s="14">
        <v>0.24</v>
      </c>
      <c r="N24" s="13">
        <v>0.64</v>
      </c>
    </row>
    <row r="25" spans="2:16" x14ac:dyDescent="0.2">
      <c r="B25" s="4" t="s">
        <v>111</v>
      </c>
      <c r="C25" s="4">
        <v>0.93262582287957241</v>
      </c>
      <c r="D25" s="4" t="s">
        <v>31</v>
      </c>
      <c r="E25" s="4" t="s">
        <v>27</v>
      </c>
      <c r="H25" s="4" t="s">
        <v>27</v>
      </c>
      <c r="I25" s="12">
        <f t="array" ref="I25:N25">IFERROR(I15:N15/SUM(I15:N15),0)</f>
        <v>0</v>
      </c>
      <c r="J25" s="11">
        <v>0</v>
      </c>
      <c r="K25" s="11">
        <v>0</v>
      </c>
      <c r="L25" s="11">
        <v>0</v>
      </c>
      <c r="M25" s="11">
        <v>0</v>
      </c>
      <c r="N25" s="10">
        <v>0</v>
      </c>
    </row>
    <row r="26" spans="2:16" x14ac:dyDescent="0.2">
      <c r="B26" s="4" t="s">
        <v>110</v>
      </c>
      <c r="C26" s="4">
        <v>0.62075910543702517</v>
      </c>
      <c r="D26" s="4" t="s">
        <v>20</v>
      </c>
      <c r="E26" s="4" t="s">
        <v>20</v>
      </c>
    </row>
    <row r="27" spans="2:16" x14ac:dyDescent="0.2">
      <c r="B27" s="4" t="s">
        <v>109</v>
      </c>
      <c r="C27" s="4">
        <v>0.22819056193474963</v>
      </c>
      <c r="D27" s="4" t="s">
        <v>36</v>
      </c>
      <c r="E27" s="4" t="s">
        <v>36</v>
      </c>
    </row>
    <row r="28" spans="2:16" x14ac:dyDescent="0.2">
      <c r="B28" s="4" t="s">
        <v>108</v>
      </c>
      <c r="C28" s="4">
        <v>0.77132432197816658</v>
      </c>
      <c r="D28" s="4" t="s">
        <v>20</v>
      </c>
      <c r="E28" s="4" t="s">
        <v>20</v>
      </c>
    </row>
    <row r="29" spans="2:16" x14ac:dyDescent="0.2">
      <c r="B29" s="4" t="s">
        <v>107</v>
      </c>
      <c r="C29" s="4">
        <v>0.57246332435771263</v>
      </c>
      <c r="D29" s="4" t="s">
        <v>21</v>
      </c>
      <c r="E29" s="4" t="s">
        <v>31</v>
      </c>
      <c r="H29" s="9" t="s">
        <v>106</v>
      </c>
    </row>
    <row r="30" spans="2:16" x14ac:dyDescent="0.2">
      <c r="B30" s="4" t="s">
        <v>105</v>
      </c>
      <c r="C30" s="4">
        <v>0.86103184618814521</v>
      </c>
      <c r="D30" s="4" t="s">
        <v>31</v>
      </c>
      <c r="E30" s="4" t="s">
        <v>20</v>
      </c>
      <c r="H30" s="8" t="s">
        <v>23</v>
      </c>
      <c r="I30" s="8" t="s">
        <v>23</v>
      </c>
      <c r="J30" s="8" t="s">
        <v>36</v>
      </c>
      <c r="K30" s="8" t="s">
        <v>21</v>
      </c>
      <c r="L30" s="8" t="s">
        <v>20</v>
      </c>
      <c r="M30" s="8" t="s">
        <v>31</v>
      </c>
      <c r="N30" s="8" t="s">
        <v>27</v>
      </c>
    </row>
    <row r="31" spans="2:16" x14ac:dyDescent="0.2">
      <c r="B31" s="4" t="s">
        <v>104</v>
      </c>
      <c r="C31" s="4">
        <v>0.94709052952496053</v>
      </c>
      <c r="D31" s="4" t="s">
        <v>31</v>
      </c>
      <c r="E31" s="4" t="s">
        <v>27</v>
      </c>
      <c r="G31" s="4" t="s">
        <v>23</v>
      </c>
      <c r="H31" s="80">
        <v>0</v>
      </c>
      <c r="I31" s="81">
        <f t="shared" ref="I31:N36" si="1">I20+H31</f>
        <v>0.53846153846153844</v>
      </c>
      <c r="J31" s="81">
        <f t="shared" si="1"/>
        <v>0.84615384615384615</v>
      </c>
      <c r="K31" s="81">
        <f t="shared" si="1"/>
        <v>1</v>
      </c>
      <c r="L31" s="81">
        <f t="shared" si="1"/>
        <v>1</v>
      </c>
      <c r="M31" s="81">
        <f t="shared" si="1"/>
        <v>1</v>
      </c>
      <c r="N31" s="82">
        <f t="shared" si="1"/>
        <v>1</v>
      </c>
    </row>
    <row r="32" spans="2:16" x14ac:dyDescent="0.2">
      <c r="B32" s="4" t="s">
        <v>103</v>
      </c>
      <c r="C32" s="4">
        <v>0.85909824540678892</v>
      </c>
      <c r="D32" s="4" t="s">
        <v>31</v>
      </c>
      <c r="E32" s="4" t="s">
        <v>20</v>
      </c>
      <c r="G32" s="4" t="s">
        <v>36</v>
      </c>
      <c r="H32" s="83">
        <v>0</v>
      </c>
      <c r="I32" s="6">
        <f t="shared" si="1"/>
        <v>9.5238095238095233E-2</v>
      </c>
      <c r="J32" s="6">
        <f t="shared" si="1"/>
        <v>0.61904761904761907</v>
      </c>
      <c r="K32" s="6">
        <f t="shared" si="1"/>
        <v>0.90476190476190477</v>
      </c>
      <c r="L32" s="6">
        <f t="shared" si="1"/>
        <v>1</v>
      </c>
      <c r="M32" s="6">
        <f t="shared" si="1"/>
        <v>1</v>
      </c>
      <c r="N32" s="84">
        <f t="shared" si="1"/>
        <v>1</v>
      </c>
    </row>
    <row r="33" spans="2:14" x14ac:dyDescent="0.2">
      <c r="B33" s="4" t="s">
        <v>102</v>
      </c>
      <c r="C33" s="4">
        <v>0.13326863734457084</v>
      </c>
      <c r="D33" s="4" t="s">
        <v>23</v>
      </c>
      <c r="E33" s="4" t="s">
        <v>23</v>
      </c>
      <c r="G33" s="4" t="s">
        <v>261</v>
      </c>
      <c r="H33" s="83">
        <v>0</v>
      </c>
      <c r="I33" s="6">
        <f t="shared" si="1"/>
        <v>0</v>
      </c>
      <c r="J33" s="6">
        <f t="shared" si="1"/>
        <v>9.5238095238095233E-2</v>
      </c>
      <c r="K33" s="6">
        <f t="shared" si="1"/>
        <v>0.2857142857142857</v>
      </c>
      <c r="L33" s="6">
        <f t="shared" si="1"/>
        <v>0.71428571428571419</v>
      </c>
      <c r="M33" s="6">
        <f t="shared" si="1"/>
        <v>0.99999999999999989</v>
      </c>
      <c r="N33" s="84">
        <f t="shared" si="1"/>
        <v>0.99999999999999989</v>
      </c>
    </row>
    <row r="34" spans="2:14" x14ac:dyDescent="0.2">
      <c r="B34" s="4" t="s">
        <v>101</v>
      </c>
      <c r="C34" s="4">
        <v>2.4561640532133056E-2</v>
      </c>
      <c r="D34" s="4" t="s">
        <v>23</v>
      </c>
      <c r="E34" s="4" t="s">
        <v>23</v>
      </c>
      <c r="G34" s="4" t="s">
        <v>20</v>
      </c>
      <c r="H34" s="83">
        <v>0</v>
      </c>
      <c r="I34" s="6">
        <f t="shared" si="1"/>
        <v>0</v>
      </c>
      <c r="J34" s="6">
        <f t="shared" si="1"/>
        <v>0</v>
      </c>
      <c r="K34" s="6">
        <f t="shared" si="1"/>
        <v>0.1</v>
      </c>
      <c r="L34" s="6">
        <f t="shared" si="1"/>
        <v>0.5</v>
      </c>
      <c r="M34" s="6">
        <f t="shared" si="1"/>
        <v>0.85</v>
      </c>
      <c r="N34" s="84">
        <f t="shared" si="1"/>
        <v>1</v>
      </c>
    </row>
    <row r="35" spans="2:14" x14ac:dyDescent="0.2">
      <c r="B35" s="4" t="s">
        <v>100</v>
      </c>
      <c r="C35" s="4">
        <v>0.69102718204006508</v>
      </c>
      <c r="D35" s="4" t="s">
        <v>20</v>
      </c>
      <c r="E35" s="4" t="s">
        <v>31</v>
      </c>
      <c r="G35" s="4" t="s">
        <v>31</v>
      </c>
      <c r="H35" s="83">
        <v>0</v>
      </c>
      <c r="I35" s="6">
        <f t="shared" si="1"/>
        <v>0</v>
      </c>
      <c r="J35" s="6">
        <f t="shared" si="1"/>
        <v>0</v>
      </c>
      <c r="K35" s="6">
        <f t="shared" si="1"/>
        <v>0</v>
      </c>
      <c r="L35" s="6">
        <f t="shared" si="1"/>
        <v>0.12</v>
      </c>
      <c r="M35" s="6">
        <f t="shared" si="1"/>
        <v>0.36</v>
      </c>
      <c r="N35" s="84">
        <f t="shared" si="1"/>
        <v>1</v>
      </c>
    </row>
    <row r="36" spans="2:14" x14ac:dyDescent="0.2">
      <c r="B36" s="4" t="s">
        <v>99</v>
      </c>
      <c r="C36" s="4">
        <v>0.47219088645737706</v>
      </c>
      <c r="D36" s="4" t="s">
        <v>21</v>
      </c>
      <c r="E36" s="4" t="s">
        <v>20</v>
      </c>
      <c r="G36" s="4" t="s">
        <v>27</v>
      </c>
      <c r="H36" s="85">
        <v>0</v>
      </c>
      <c r="I36" s="86">
        <f t="shared" si="1"/>
        <v>0</v>
      </c>
      <c r="J36" s="86">
        <f t="shared" si="1"/>
        <v>0</v>
      </c>
      <c r="K36" s="86">
        <f t="shared" si="1"/>
        <v>0</v>
      </c>
      <c r="L36" s="86">
        <f t="shared" si="1"/>
        <v>0</v>
      </c>
      <c r="M36" s="86">
        <f t="shared" si="1"/>
        <v>0</v>
      </c>
      <c r="N36" s="87">
        <f t="shared" si="1"/>
        <v>0</v>
      </c>
    </row>
    <row r="37" spans="2:14" x14ac:dyDescent="0.2">
      <c r="B37" s="4" t="s">
        <v>98</v>
      </c>
      <c r="C37" s="4">
        <v>0.96736610542638979</v>
      </c>
      <c r="D37" s="4" t="s">
        <v>31</v>
      </c>
      <c r="E37" s="4" t="s">
        <v>27</v>
      </c>
      <c r="I37" s="5" t="s">
        <v>23</v>
      </c>
      <c r="J37" s="5" t="s">
        <v>36</v>
      </c>
      <c r="K37" s="5" t="s">
        <v>21</v>
      </c>
      <c r="L37" s="5" t="s">
        <v>20</v>
      </c>
      <c r="M37" s="5" t="s">
        <v>31</v>
      </c>
      <c r="N37" s="5" t="s">
        <v>27</v>
      </c>
    </row>
    <row r="38" spans="2:14" x14ac:dyDescent="0.2">
      <c r="B38" s="4" t="s">
        <v>97</v>
      </c>
      <c r="C38" s="4">
        <v>0.32731700081355264</v>
      </c>
      <c r="D38" s="4" t="s">
        <v>36</v>
      </c>
      <c r="E38" s="4" t="s">
        <v>36</v>
      </c>
    </row>
    <row r="39" spans="2:14" x14ac:dyDescent="0.2">
      <c r="B39" s="4" t="s">
        <v>96</v>
      </c>
      <c r="C39" s="4">
        <v>2.2840188242793991E-2</v>
      </c>
      <c r="D39" s="4" t="s">
        <v>23</v>
      </c>
      <c r="E39" s="4" t="s">
        <v>36</v>
      </c>
    </row>
    <row r="40" spans="2:14" x14ac:dyDescent="0.2">
      <c r="B40" s="4" t="s">
        <v>95</v>
      </c>
      <c r="C40" s="4">
        <v>0.92397381828911795</v>
      </c>
      <c r="D40" s="4" t="s">
        <v>31</v>
      </c>
      <c r="E40" s="4" t="s">
        <v>27</v>
      </c>
    </row>
    <row r="41" spans="2:14" x14ac:dyDescent="0.2">
      <c r="B41" s="4" t="s">
        <v>94</v>
      </c>
      <c r="C41" s="4">
        <v>7.7896725092658436E-2</v>
      </c>
      <c r="D41" s="4" t="s">
        <v>23</v>
      </c>
      <c r="E41" s="4" t="s">
        <v>36</v>
      </c>
    </row>
    <row r="42" spans="2:14" x14ac:dyDescent="0.2">
      <c r="B42" s="4" t="s">
        <v>93</v>
      </c>
      <c r="C42" s="4">
        <v>0.65542830970793808</v>
      </c>
      <c r="D42" s="4" t="s">
        <v>20</v>
      </c>
      <c r="E42" s="4" t="s">
        <v>27</v>
      </c>
    </row>
    <row r="43" spans="2:14" x14ac:dyDescent="0.2">
      <c r="B43" s="4" t="s">
        <v>92</v>
      </c>
      <c r="C43" s="4">
        <v>0.25203125416123051</v>
      </c>
      <c r="D43" s="4" t="s">
        <v>36</v>
      </c>
      <c r="E43" s="4" t="s">
        <v>36</v>
      </c>
    </row>
    <row r="44" spans="2:14" x14ac:dyDescent="0.2">
      <c r="B44" s="4" t="s">
        <v>91</v>
      </c>
      <c r="C44" s="4">
        <v>0.7342850127525723</v>
      </c>
      <c r="D44" s="4" t="s">
        <v>20</v>
      </c>
      <c r="E44" s="4" t="s">
        <v>31</v>
      </c>
    </row>
    <row r="45" spans="2:14" x14ac:dyDescent="0.2">
      <c r="B45" s="4" t="s">
        <v>90</v>
      </c>
      <c r="C45" s="4">
        <v>0.45807898016892368</v>
      </c>
      <c r="D45" s="4" t="s">
        <v>21</v>
      </c>
      <c r="E45" s="4" t="s">
        <v>36</v>
      </c>
    </row>
    <row r="46" spans="2:14" x14ac:dyDescent="0.2">
      <c r="B46" s="4" t="s">
        <v>89</v>
      </c>
      <c r="C46" s="4">
        <v>0.84594615337373491</v>
      </c>
      <c r="D46" s="4" t="s">
        <v>31</v>
      </c>
      <c r="E46" s="4" t="s">
        <v>31</v>
      </c>
    </row>
    <row r="47" spans="2:14" x14ac:dyDescent="0.2">
      <c r="B47" s="4" t="s">
        <v>88</v>
      </c>
      <c r="C47" s="4">
        <v>0.86957152007842897</v>
      </c>
      <c r="D47" s="4" t="s">
        <v>31</v>
      </c>
      <c r="E47" s="4" t="s">
        <v>27</v>
      </c>
    </row>
    <row r="48" spans="2:14" x14ac:dyDescent="0.2">
      <c r="B48" s="4" t="s">
        <v>87</v>
      </c>
      <c r="C48" s="4">
        <v>0.24226555051074961</v>
      </c>
      <c r="D48" s="4" t="s">
        <v>36</v>
      </c>
      <c r="E48" s="4" t="s">
        <v>36</v>
      </c>
    </row>
    <row r="49" spans="2:5" x14ac:dyDescent="0.2">
      <c r="B49" s="4" t="s">
        <v>86</v>
      </c>
      <c r="C49" s="4">
        <v>0.73988308548461668</v>
      </c>
      <c r="D49" s="4" t="s">
        <v>20</v>
      </c>
      <c r="E49" s="4" t="s">
        <v>31</v>
      </c>
    </row>
    <row r="50" spans="2:5" x14ac:dyDescent="0.2">
      <c r="B50" s="4" t="s">
        <v>85</v>
      </c>
      <c r="C50" s="4">
        <v>0.27086535835866432</v>
      </c>
      <c r="D50" s="4" t="s">
        <v>36</v>
      </c>
      <c r="E50" s="4" t="s">
        <v>36</v>
      </c>
    </row>
    <row r="51" spans="2:5" x14ac:dyDescent="0.2">
      <c r="B51" s="4" t="s">
        <v>84</v>
      </c>
      <c r="C51" s="4">
        <v>0.52463050106771492</v>
      </c>
      <c r="D51" s="4" t="s">
        <v>21</v>
      </c>
      <c r="E51" s="4" t="s">
        <v>20</v>
      </c>
    </row>
    <row r="52" spans="2:5" x14ac:dyDescent="0.2">
      <c r="B52" s="4" t="s">
        <v>83</v>
      </c>
      <c r="C52" s="4">
        <v>0.32596892448905102</v>
      </c>
      <c r="D52" s="4" t="s">
        <v>36</v>
      </c>
      <c r="E52" s="4" t="s">
        <v>36</v>
      </c>
    </row>
    <row r="53" spans="2:5" x14ac:dyDescent="0.2">
      <c r="B53" s="4" t="s">
        <v>82</v>
      </c>
      <c r="C53" s="4">
        <v>9.9770131781005578E-2</v>
      </c>
      <c r="D53" s="4" t="s">
        <v>23</v>
      </c>
      <c r="E53" s="4" t="s">
        <v>23</v>
      </c>
    </row>
    <row r="54" spans="2:5" x14ac:dyDescent="0.2">
      <c r="B54" s="4" t="s">
        <v>81</v>
      </c>
      <c r="C54" s="4">
        <v>0.93095117946155259</v>
      </c>
      <c r="D54" s="4" t="s">
        <v>31</v>
      </c>
      <c r="E54" s="4" t="s">
        <v>31</v>
      </c>
    </row>
    <row r="55" spans="2:5" x14ac:dyDescent="0.2">
      <c r="B55" s="4" t="s">
        <v>80</v>
      </c>
      <c r="C55" s="4">
        <v>0.90830874893691682</v>
      </c>
      <c r="D55" s="4" t="s">
        <v>31</v>
      </c>
      <c r="E55" s="4" t="s">
        <v>31</v>
      </c>
    </row>
    <row r="56" spans="2:5" x14ac:dyDescent="0.2">
      <c r="B56" s="4" t="s">
        <v>79</v>
      </c>
      <c r="C56" s="4">
        <v>0.73348855941533408</v>
      </c>
      <c r="D56" s="4" t="s">
        <v>20</v>
      </c>
      <c r="E56" s="4" t="s">
        <v>20</v>
      </c>
    </row>
    <row r="57" spans="2:5" x14ac:dyDescent="0.2">
      <c r="B57" s="4" t="s">
        <v>78</v>
      </c>
      <c r="C57" s="4">
        <v>0.89357778535202403</v>
      </c>
      <c r="D57" s="4" t="s">
        <v>31</v>
      </c>
      <c r="E57" s="4" t="s">
        <v>27</v>
      </c>
    </row>
    <row r="58" spans="2:5" x14ac:dyDescent="0.2">
      <c r="B58" s="4" t="s">
        <v>77</v>
      </c>
      <c r="C58" s="4">
        <v>0.52346847344780068</v>
      </c>
      <c r="D58" s="4" t="s">
        <v>21</v>
      </c>
      <c r="E58" s="4" t="s">
        <v>31</v>
      </c>
    </row>
    <row r="59" spans="2:5" x14ac:dyDescent="0.2">
      <c r="B59" s="4" t="s">
        <v>76</v>
      </c>
      <c r="C59" s="4">
        <v>0.76656607302887836</v>
      </c>
      <c r="D59" s="4" t="s">
        <v>20</v>
      </c>
      <c r="E59" s="4" t="s">
        <v>20</v>
      </c>
    </row>
    <row r="60" spans="2:5" x14ac:dyDescent="0.2">
      <c r="B60" s="4" t="s">
        <v>75</v>
      </c>
      <c r="C60" s="4">
        <v>0.80003286318070632</v>
      </c>
      <c r="D60" s="4" t="s">
        <v>31</v>
      </c>
      <c r="E60" s="4" t="s">
        <v>27</v>
      </c>
    </row>
    <row r="61" spans="2:5" x14ac:dyDescent="0.2">
      <c r="B61" s="4" t="s">
        <v>74</v>
      </c>
      <c r="C61" s="4">
        <v>0.3892708311063463</v>
      </c>
      <c r="D61" s="4" t="s">
        <v>36</v>
      </c>
      <c r="E61" s="4" t="s">
        <v>20</v>
      </c>
    </row>
    <row r="62" spans="2:5" x14ac:dyDescent="0.2">
      <c r="B62" s="4" t="s">
        <v>73</v>
      </c>
      <c r="C62" s="4">
        <v>0.87159427427051139</v>
      </c>
      <c r="D62" s="4" t="s">
        <v>31</v>
      </c>
      <c r="E62" s="4" t="s">
        <v>27</v>
      </c>
    </row>
    <row r="63" spans="2:5" x14ac:dyDescent="0.2">
      <c r="B63" s="4" t="s">
        <v>72</v>
      </c>
      <c r="C63" s="4">
        <v>0.76945535483045513</v>
      </c>
      <c r="D63" s="4" t="s">
        <v>20</v>
      </c>
      <c r="E63" s="4" t="s">
        <v>31</v>
      </c>
    </row>
    <row r="64" spans="2:5" x14ac:dyDescent="0.2">
      <c r="B64" s="4" t="s">
        <v>71</v>
      </c>
      <c r="C64" s="4">
        <v>0.26480621363728485</v>
      </c>
      <c r="D64" s="4" t="s">
        <v>36</v>
      </c>
      <c r="E64" s="4" t="s">
        <v>261</v>
      </c>
    </row>
    <row r="65" spans="2:5" x14ac:dyDescent="0.2">
      <c r="B65" s="4" t="s">
        <v>70</v>
      </c>
      <c r="C65" s="4">
        <v>0.32324350412310388</v>
      </c>
      <c r="D65" s="4" t="s">
        <v>36</v>
      </c>
      <c r="E65" s="4" t="s">
        <v>20</v>
      </c>
    </row>
    <row r="66" spans="2:5" x14ac:dyDescent="0.2">
      <c r="B66" s="4" t="s">
        <v>69</v>
      </c>
      <c r="C66" s="4">
        <v>0.15627153384850234</v>
      </c>
      <c r="D66" s="4" t="s">
        <v>23</v>
      </c>
      <c r="E66" s="4" t="s">
        <v>261</v>
      </c>
    </row>
    <row r="67" spans="2:5" x14ac:dyDescent="0.2">
      <c r="B67" s="4" t="s">
        <v>68</v>
      </c>
      <c r="C67" s="4">
        <v>0.89680710594891</v>
      </c>
      <c r="D67" s="4" t="s">
        <v>31</v>
      </c>
      <c r="E67" s="4" t="s">
        <v>27</v>
      </c>
    </row>
    <row r="68" spans="2:5" x14ac:dyDescent="0.2">
      <c r="B68" s="4" t="s">
        <v>67</v>
      </c>
      <c r="C68" s="4">
        <v>0.54385095261031646</v>
      </c>
      <c r="D68" s="4" t="s">
        <v>21</v>
      </c>
      <c r="E68" s="4" t="s">
        <v>20</v>
      </c>
    </row>
    <row r="69" spans="2:5" x14ac:dyDescent="0.2">
      <c r="B69" s="4" t="s">
        <v>66</v>
      </c>
      <c r="C69" s="4">
        <v>0.28179185236382631</v>
      </c>
      <c r="D69" s="4" t="s">
        <v>36</v>
      </c>
      <c r="E69" s="4" t="s">
        <v>36</v>
      </c>
    </row>
    <row r="70" spans="2:5" x14ac:dyDescent="0.2">
      <c r="B70" s="4" t="s">
        <v>65</v>
      </c>
      <c r="C70" s="4">
        <v>0.8451739188641425</v>
      </c>
      <c r="D70" s="4" t="s">
        <v>31</v>
      </c>
      <c r="E70" s="4" t="s">
        <v>27</v>
      </c>
    </row>
    <row r="71" spans="2:5" x14ac:dyDescent="0.2">
      <c r="B71" s="4" t="s">
        <v>64</v>
      </c>
      <c r="C71" s="4">
        <v>0.27090936711256719</v>
      </c>
      <c r="D71" s="4" t="s">
        <v>36</v>
      </c>
      <c r="E71" s="4" t="s">
        <v>261</v>
      </c>
    </row>
    <row r="72" spans="2:5" x14ac:dyDescent="0.2">
      <c r="B72" s="4" t="s">
        <v>63</v>
      </c>
      <c r="C72" s="4">
        <v>0.49441714721295671</v>
      </c>
      <c r="D72" s="4" t="s">
        <v>21</v>
      </c>
      <c r="E72" s="4" t="s">
        <v>261</v>
      </c>
    </row>
    <row r="73" spans="2:5" x14ac:dyDescent="0.2">
      <c r="B73" s="4" t="s">
        <v>62</v>
      </c>
      <c r="C73" s="4">
        <v>0.26694834177577897</v>
      </c>
      <c r="D73" s="4" t="s">
        <v>36</v>
      </c>
      <c r="E73" s="4" t="s">
        <v>36</v>
      </c>
    </row>
    <row r="74" spans="2:5" x14ac:dyDescent="0.2">
      <c r="B74" s="4" t="s">
        <v>61</v>
      </c>
      <c r="C74" s="4">
        <v>0.18641457449884424</v>
      </c>
      <c r="D74" s="4" t="s">
        <v>23</v>
      </c>
      <c r="E74" s="4" t="s">
        <v>36</v>
      </c>
    </row>
    <row r="75" spans="2:5" x14ac:dyDescent="0.2">
      <c r="B75" s="4" t="s">
        <v>60</v>
      </c>
      <c r="C75" s="4">
        <v>0.63893952539851484</v>
      </c>
      <c r="D75" s="4" t="s">
        <v>20</v>
      </c>
      <c r="E75" s="4" t="s">
        <v>261</v>
      </c>
    </row>
    <row r="76" spans="2:5" x14ac:dyDescent="0.2">
      <c r="B76" s="4" t="s">
        <v>59</v>
      </c>
      <c r="C76" s="4">
        <v>0.71676697075327966</v>
      </c>
      <c r="D76" s="4" t="s">
        <v>20</v>
      </c>
      <c r="E76" s="4" t="s">
        <v>20</v>
      </c>
    </row>
    <row r="77" spans="2:5" x14ac:dyDescent="0.2">
      <c r="B77" s="4" t="s">
        <v>58</v>
      </c>
      <c r="C77" s="4">
        <v>0.44150564930995051</v>
      </c>
      <c r="D77" s="4" t="s">
        <v>21</v>
      </c>
      <c r="E77" s="4" t="s">
        <v>20</v>
      </c>
    </row>
    <row r="78" spans="2:5" x14ac:dyDescent="0.2">
      <c r="B78" s="4" t="s">
        <v>57</v>
      </c>
      <c r="C78" s="4">
        <v>0.20931085094305968</v>
      </c>
      <c r="D78" s="4" t="s">
        <v>36</v>
      </c>
      <c r="E78" s="4" t="s">
        <v>23</v>
      </c>
    </row>
    <row r="79" spans="2:5" x14ac:dyDescent="0.2">
      <c r="B79" s="4" t="s">
        <v>56</v>
      </c>
      <c r="C79" s="4">
        <v>0.33312080808404332</v>
      </c>
      <c r="D79" s="4" t="s">
        <v>36</v>
      </c>
      <c r="E79" s="4" t="s">
        <v>261</v>
      </c>
    </row>
    <row r="80" spans="2:5" x14ac:dyDescent="0.2">
      <c r="B80" s="4" t="s">
        <v>55</v>
      </c>
      <c r="C80" s="4">
        <v>0.4576175646538907</v>
      </c>
      <c r="D80" s="4" t="s">
        <v>21</v>
      </c>
      <c r="E80" s="4" t="s">
        <v>20</v>
      </c>
    </row>
    <row r="81" spans="2:5" x14ac:dyDescent="0.2">
      <c r="B81" s="4" t="s">
        <v>54</v>
      </c>
      <c r="C81" s="4">
        <v>0.98714157385309476</v>
      </c>
      <c r="D81" s="4" t="s">
        <v>31</v>
      </c>
      <c r="E81" s="4" t="s">
        <v>27</v>
      </c>
    </row>
    <row r="82" spans="2:5" x14ac:dyDescent="0.2">
      <c r="B82" s="4" t="s">
        <v>53</v>
      </c>
      <c r="C82" s="4">
        <v>0.10380078292225448</v>
      </c>
      <c r="D82" s="4" t="s">
        <v>23</v>
      </c>
      <c r="E82" s="4" t="s">
        <v>36</v>
      </c>
    </row>
    <row r="83" spans="2:5" x14ac:dyDescent="0.2">
      <c r="B83" s="4" t="s">
        <v>52</v>
      </c>
      <c r="C83" s="4">
        <v>6.2017494817444563E-2</v>
      </c>
      <c r="D83" s="4" t="s">
        <v>23</v>
      </c>
      <c r="E83" s="4" t="s">
        <v>23</v>
      </c>
    </row>
    <row r="84" spans="2:5" x14ac:dyDescent="0.2">
      <c r="B84" s="4" t="s">
        <v>51</v>
      </c>
      <c r="C84" s="4">
        <v>0.78450070831783014</v>
      </c>
      <c r="D84" s="4" t="s">
        <v>20</v>
      </c>
      <c r="E84" s="4" t="s">
        <v>20</v>
      </c>
    </row>
    <row r="85" spans="2:5" x14ac:dyDescent="0.2">
      <c r="B85" s="4" t="s">
        <v>50</v>
      </c>
      <c r="C85" s="4">
        <v>0.22724111322015161</v>
      </c>
      <c r="D85" s="4" t="s">
        <v>36</v>
      </c>
      <c r="E85" s="4" t="s">
        <v>36</v>
      </c>
    </row>
    <row r="86" spans="2:5" x14ac:dyDescent="0.2">
      <c r="B86" s="4" t="s">
        <v>49</v>
      </c>
      <c r="C86" s="4">
        <v>0.98565679401413675</v>
      </c>
      <c r="D86" s="4" t="s">
        <v>31</v>
      </c>
      <c r="E86" s="4" t="s">
        <v>27</v>
      </c>
    </row>
    <row r="87" spans="2:5" x14ac:dyDescent="0.2">
      <c r="B87" s="4" t="s">
        <v>48</v>
      </c>
      <c r="C87" s="4">
        <v>0.56165831800490862</v>
      </c>
      <c r="D87" s="4" t="s">
        <v>21</v>
      </c>
      <c r="E87" s="4" t="s">
        <v>31</v>
      </c>
    </row>
    <row r="88" spans="2:5" x14ac:dyDescent="0.2">
      <c r="B88" s="4" t="s">
        <v>47</v>
      </c>
      <c r="C88" s="4">
        <v>0.78028204907125442</v>
      </c>
      <c r="D88" s="4" t="s">
        <v>20</v>
      </c>
      <c r="E88" s="4" t="s">
        <v>31</v>
      </c>
    </row>
    <row r="89" spans="2:5" x14ac:dyDescent="0.2">
      <c r="B89" s="4" t="s">
        <v>46</v>
      </c>
      <c r="C89" s="4">
        <v>0.434984899765402</v>
      </c>
      <c r="D89" s="4" t="s">
        <v>21</v>
      </c>
      <c r="E89" s="4" t="s">
        <v>36</v>
      </c>
    </row>
    <row r="90" spans="2:5" x14ac:dyDescent="0.2">
      <c r="B90" s="4" t="s">
        <v>45</v>
      </c>
      <c r="C90" s="4">
        <v>0.83827533834394208</v>
      </c>
      <c r="D90" s="4" t="s">
        <v>31</v>
      </c>
      <c r="E90" s="4" t="s">
        <v>31</v>
      </c>
    </row>
    <row r="91" spans="2:5" x14ac:dyDescent="0.2">
      <c r="B91" s="4" t="s">
        <v>44</v>
      </c>
      <c r="C91" s="4">
        <v>0.53822666933083452</v>
      </c>
      <c r="D91" s="4" t="s">
        <v>21</v>
      </c>
      <c r="E91" s="4" t="s">
        <v>31</v>
      </c>
    </row>
    <row r="92" spans="2:5" x14ac:dyDescent="0.2">
      <c r="B92" s="4" t="s">
        <v>43</v>
      </c>
      <c r="C92" s="4">
        <v>0.78100542885218072</v>
      </c>
      <c r="D92" s="4" t="s">
        <v>20</v>
      </c>
      <c r="E92" s="4" t="s">
        <v>31</v>
      </c>
    </row>
    <row r="93" spans="2:5" x14ac:dyDescent="0.2">
      <c r="B93" s="4" t="s">
        <v>42</v>
      </c>
      <c r="C93" s="4">
        <v>0.36391068529626602</v>
      </c>
      <c r="D93" s="4" t="s">
        <v>36</v>
      </c>
      <c r="E93" s="4" t="s">
        <v>36</v>
      </c>
    </row>
    <row r="94" spans="2:5" x14ac:dyDescent="0.2">
      <c r="B94" s="4" t="s">
        <v>41</v>
      </c>
      <c r="C94" s="4">
        <v>0.87143062788127279</v>
      </c>
      <c r="D94" s="4" t="s">
        <v>31</v>
      </c>
      <c r="E94" s="4" t="s">
        <v>27</v>
      </c>
    </row>
    <row r="95" spans="2:5" x14ac:dyDescent="0.2">
      <c r="B95" s="4" t="s">
        <v>40</v>
      </c>
      <c r="C95" s="4">
        <v>0.67461747316541898</v>
      </c>
      <c r="D95" s="4" t="s">
        <v>20</v>
      </c>
      <c r="E95" s="4" t="s">
        <v>31</v>
      </c>
    </row>
    <row r="96" spans="2:5" x14ac:dyDescent="0.2">
      <c r="B96" s="4" t="s">
        <v>39</v>
      </c>
      <c r="C96" s="4">
        <v>0.190127743072105</v>
      </c>
      <c r="D96" s="4" t="s">
        <v>23</v>
      </c>
      <c r="E96" s="4" t="s">
        <v>23</v>
      </c>
    </row>
    <row r="97" spans="2:5" x14ac:dyDescent="0.2">
      <c r="B97" s="4" t="s">
        <v>38</v>
      </c>
      <c r="C97" s="4">
        <v>0.3015815400587385</v>
      </c>
      <c r="D97" s="4" t="s">
        <v>36</v>
      </c>
      <c r="E97" s="4" t="s">
        <v>36</v>
      </c>
    </row>
    <row r="98" spans="2:5" x14ac:dyDescent="0.2">
      <c r="B98" s="4" t="s">
        <v>37</v>
      </c>
      <c r="C98" s="4">
        <v>0.33749567042133943</v>
      </c>
      <c r="D98" s="4" t="s">
        <v>36</v>
      </c>
      <c r="E98" s="4" t="s">
        <v>261</v>
      </c>
    </row>
    <row r="99" spans="2:5" x14ac:dyDescent="0.2">
      <c r="B99" s="4" t="s">
        <v>35</v>
      </c>
      <c r="C99" s="4">
        <v>0.41743570679011921</v>
      </c>
      <c r="D99" s="4" t="s">
        <v>21</v>
      </c>
      <c r="E99" s="4" t="s">
        <v>261</v>
      </c>
    </row>
    <row r="100" spans="2:5" x14ac:dyDescent="0.2">
      <c r="B100" s="4" t="s">
        <v>34</v>
      </c>
      <c r="C100" s="4">
        <v>0.87620699852378636</v>
      </c>
      <c r="D100" s="4" t="s">
        <v>31</v>
      </c>
      <c r="E100" s="4" t="s">
        <v>20</v>
      </c>
    </row>
    <row r="101" spans="2:5" x14ac:dyDescent="0.2">
      <c r="B101" s="4" t="s">
        <v>33</v>
      </c>
      <c r="C101" s="4">
        <v>0.93159355039564817</v>
      </c>
      <c r="D101" s="4" t="s">
        <v>31</v>
      </c>
      <c r="E101" s="4" t="s">
        <v>27</v>
      </c>
    </row>
    <row r="102" spans="2:5" x14ac:dyDescent="0.2">
      <c r="B102" s="4" t="s">
        <v>32</v>
      </c>
      <c r="C102" s="4">
        <v>0.5974665198857787</v>
      </c>
      <c r="D102" s="4" t="s">
        <v>21</v>
      </c>
      <c r="E102" s="4" t="s">
        <v>31</v>
      </c>
    </row>
    <row r="103" spans="2:5" x14ac:dyDescent="0.2">
      <c r="B103" s="4" t="s">
        <v>30</v>
      </c>
      <c r="C103" s="4">
        <v>0.47410685578653822</v>
      </c>
      <c r="D103" s="4" t="s">
        <v>21</v>
      </c>
      <c r="E103" s="4" t="s">
        <v>20</v>
      </c>
    </row>
    <row r="104" spans="2:5" x14ac:dyDescent="0.2">
      <c r="B104" s="4" t="s">
        <v>29</v>
      </c>
      <c r="C104" s="4">
        <v>0.65559589565764997</v>
      </c>
      <c r="D104" s="4" t="s">
        <v>20</v>
      </c>
      <c r="E104" s="4" t="s">
        <v>27</v>
      </c>
    </row>
    <row r="105" spans="2:5" x14ac:dyDescent="0.2">
      <c r="B105" s="4" t="s">
        <v>28</v>
      </c>
      <c r="C105" s="4">
        <v>0.76356759394203066</v>
      </c>
      <c r="D105" s="4" t="s">
        <v>20</v>
      </c>
      <c r="E105" s="4" t="s">
        <v>27</v>
      </c>
    </row>
    <row r="106" spans="2:5" x14ac:dyDescent="0.2">
      <c r="B106" s="4" t="s">
        <v>26</v>
      </c>
      <c r="C106" s="4">
        <v>0.42212135662889816</v>
      </c>
      <c r="D106" s="4" t="s">
        <v>21</v>
      </c>
      <c r="E106" s="4" t="s">
        <v>261</v>
      </c>
    </row>
    <row r="107" spans="2:5" x14ac:dyDescent="0.2">
      <c r="B107" s="4" t="s">
        <v>25</v>
      </c>
      <c r="C107" s="4">
        <v>0.607187631368174</v>
      </c>
      <c r="D107" s="4" t="s">
        <v>20</v>
      </c>
      <c r="E107" s="4" t="s">
        <v>20</v>
      </c>
    </row>
    <row r="108" spans="2:5" x14ac:dyDescent="0.2">
      <c r="B108" s="4" t="s">
        <v>24</v>
      </c>
      <c r="C108" s="4">
        <v>0.19009590420046663</v>
      </c>
      <c r="D108" s="4" t="s">
        <v>23</v>
      </c>
      <c r="E108" s="4" t="s">
        <v>23</v>
      </c>
    </row>
    <row r="109" spans="2:5" x14ac:dyDescent="0.2">
      <c r="B109" s="4" t="s">
        <v>22</v>
      </c>
      <c r="C109" s="4">
        <v>0.54256136479850625</v>
      </c>
      <c r="D109" s="4" t="s">
        <v>21</v>
      </c>
      <c r="E109" s="4" t="s">
        <v>20</v>
      </c>
    </row>
  </sheetData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type="column" displayEmptyCellsAs="gap" xr2:uid="{9CB0B59F-8D8A-AE46-8DE4-255263D76487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Tables!I20:N20</xm:f>
              <xm:sqref>P20</xm:sqref>
            </x14:sparkline>
            <x14:sparkline>
              <xm:f>Tables!I21:N21</xm:f>
              <xm:sqref>P21</xm:sqref>
            </x14:sparkline>
            <x14:sparkline>
              <xm:f>Tables!I22:N22</xm:f>
              <xm:sqref>P22</xm:sqref>
            </x14:sparkline>
            <x14:sparkline>
              <xm:f>Tables!I23:N23</xm:f>
              <xm:sqref>P23</xm:sqref>
            </x14:sparkline>
            <x14:sparkline>
              <xm:f>Tables!I24:N24</xm:f>
              <xm:sqref>P24</xm:sqref>
            </x14:sparkline>
            <x14:sparkline>
              <xm:f>Tables!I25:N25</xm:f>
              <xm:sqref>P25</xm:sqref>
            </x14:sparkline>
          </x14:sparklines>
        </x14:sparklineGroup>
      </x14:sparklineGroup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9AB22-906E-FE44-86CF-2B0A3DF51472}">
  <sheetPr codeName="Sheet8">
    <tabColor rgb="FFFF0000"/>
  </sheetPr>
  <dimension ref="B1:Y109"/>
  <sheetViews>
    <sheetView workbookViewId="0"/>
  </sheetViews>
  <sheetFormatPr baseColWidth="10" defaultColWidth="8.83203125" defaultRowHeight="15" x14ac:dyDescent="0.2"/>
  <cols>
    <col min="1" max="1" width="8.83203125" style="4"/>
    <col min="2" max="2" width="11.33203125" style="4" bestFit="1" customWidth="1"/>
    <col min="3" max="3" width="11.33203125" style="4" customWidth="1"/>
    <col min="4" max="4" width="10" style="4" bestFit="1" customWidth="1"/>
    <col min="5" max="5" width="9.1640625" style="4" customWidth="1"/>
    <col min="6" max="6" width="8.1640625" style="4" customWidth="1"/>
    <col min="7" max="7" width="7" style="4" customWidth="1"/>
    <col min="8" max="16" width="8.83203125" style="4"/>
    <col min="17" max="22" width="8.83203125" style="79"/>
    <col min="23" max="16384" width="8.83203125" style="4"/>
  </cols>
  <sheetData>
    <row r="1" spans="2:25" x14ac:dyDescent="0.2">
      <c r="Q1" s="4"/>
      <c r="R1" s="4"/>
      <c r="S1" s="4"/>
      <c r="T1" s="4"/>
      <c r="U1" s="4"/>
      <c r="V1" s="4"/>
    </row>
    <row r="2" spans="2:25" x14ac:dyDescent="0.2">
      <c r="Q2" s="4"/>
      <c r="R2" s="4"/>
      <c r="S2" s="4"/>
      <c r="T2" s="4"/>
      <c r="U2" s="4"/>
      <c r="V2" s="4"/>
    </row>
    <row r="3" spans="2:25" ht="29" x14ac:dyDescent="0.35">
      <c r="B3" s="30" t="s">
        <v>134</v>
      </c>
      <c r="Q3" s="4"/>
      <c r="R3" s="4"/>
      <c r="S3" s="4"/>
      <c r="T3" s="4"/>
      <c r="U3" s="4"/>
      <c r="V3" s="4"/>
    </row>
    <row r="4" spans="2:25" x14ac:dyDescent="0.2">
      <c r="Q4" s="4"/>
      <c r="R4" s="4"/>
      <c r="S4" s="4"/>
      <c r="T4" s="4"/>
      <c r="U4" s="4"/>
      <c r="V4" s="4"/>
    </row>
    <row r="5" spans="2:25" x14ac:dyDescent="0.2">
      <c r="Q5" s="4"/>
      <c r="R5" s="4"/>
      <c r="S5" s="4"/>
      <c r="T5" s="4"/>
      <c r="U5" s="4"/>
      <c r="V5" s="4"/>
    </row>
    <row r="6" spans="2:25" x14ac:dyDescent="0.2">
      <c r="Q6" s="4"/>
      <c r="R6" s="4"/>
      <c r="S6" s="4"/>
      <c r="T6" s="4"/>
      <c r="U6" s="4"/>
      <c r="V6" s="4"/>
    </row>
    <row r="7" spans="2:25" x14ac:dyDescent="0.2">
      <c r="Q7" s="4"/>
      <c r="R7" s="4"/>
      <c r="S7" s="4"/>
      <c r="T7" s="4"/>
      <c r="U7" s="4"/>
      <c r="V7" s="4"/>
    </row>
    <row r="8" spans="2:25" x14ac:dyDescent="0.2">
      <c r="H8" s="23" t="s">
        <v>133</v>
      </c>
      <c r="I8" s="23"/>
      <c r="J8" s="23"/>
      <c r="K8" s="23"/>
      <c r="L8" s="23"/>
      <c r="M8" s="23"/>
      <c r="N8" s="23"/>
      <c r="O8" s="7"/>
      <c r="Q8" s="4"/>
      <c r="R8" s="4"/>
      <c r="S8" s="4"/>
      <c r="T8" s="4"/>
      <c r="U8" s="4"/>
      <c r="V8" s="4"/>
    </row>
    <row r="9" spans="2:25" x14ac:dyDescent="0.2">
      <c r="B9" s="4" t="s">
        <v>132</v>
      </c>
      <c r="C9" s="4" t="s">
        <v>131</v>
      </c>
      <c r="D9" s="4" t="s">
        <v>130</v>
      </c>
      <c r="E9" s="4" t="s">
        <v>129</v>
      </c>
      <c r="H9" s="23"/>
      <c r="I9" s="29" t="s">
        <v>23</v>
      </c>
      <c r="J9" s="29" t="s">
        <v>36</v>
      </c>
      <c r="K9" s="29" t="s">
        <v>261</v>
      </c>
      <c r="L9" s="29" t="s">
        <v>20</v>
      </c>
      <c r="M9" s="29" t="s">
        <v>31</v>
      </c>
      <c r="N9" s="29" t="s">
        <v>27</v>
      </c>
      <c r="O9" s="7"/>
      <c r="P9" s="4" t="s">
        <v>129</v>
      </c>
      <c r="Q9" s="4" t="s">
        <v>262</v>
      </c>
      <c r="R9" s="4"/>
      <c r="S9" s="4"/>
      <c r="T9" s="4"/>
      <c r="U9" s="4"/>
      <c r="V9" s="4"/>
      <c r="W9" s="4" t="s">
        <v>131</v>
      </c>
      <c r="X9" s="4" t="s">
        <v>264</v>
      </c>
      <c r="Y9" s="4" t="s">
        <v>263</v>
      </c>
    </row>
    <row r="10" spans="2:25" x14ac:dyDescent="0.2">
      <c r="B10" s="4" t="s">
        <v>128</v>
      </c>
      <c r="C10" s="4">
        <v>0.87837986396496903</v>
      </c>
      <c r="D10" s="4" t="s">
        <v>31</v>
      </c>
      <c r="E10" s="4" t="s">
        <v>27</v>
      </c>
      <c r="H10" s="23" t="s">
        <v>23</v>
      </c>
      <c r="I10" s="28">
        <f t="shared" ref="I10:N10" si="0">COUNTIFS(RatingLast,$H10,RatingNow,I$9)</f>
        <v>7</v>
      </c>
      <c r="J10" s="27">
        <f t="shared" si="0"/>
        <v>4</v>
      </c>
      <c r="K10" s="27">
        <f t="shared" si="0"/>
        <v>2</v>
      </c>
      <c r="L10" s="27">
        <f t="shared" si="0"/>
        <v>0</v>
      </c>
      <c r="M10" s="27">
        <f t="shared" si="0"/>
        <v>0</v>
      </c>
      <c r="N10" s="26">
        <f t="shared" si="0"/>
        <v>0</v>
      </c>
      <c r="O10" s="7"/>
      <c r="P10" s="4" t="str" cm="1">
        <f t="array" aca="1" ref="P10:P109" ca="1">INDIRECT(P9)</f>
        <v>F</v>
      </c>
      <c r="Q10" s="79" cm="1">
        <f t="array" aca="1" ref="Q10:V10" ca="1">INDIRECT(P10)</f>
        <v>0</v>
      </c>
      <c r="R10" s="79">
        <f ca="1"/>
        <v>0</v>
      </c>
      <c r="S10" s="79">
        <f ca="1"/>
        <v>0</v>
      </c>
      <c r="T10" s="79">
        <f ca="1"/>
        <v>0</v>
      </c>
      <c r="U10" s="79">
        <f ca="1"/>
        <v>0</v>
      </c>
      <c r="V10" s="79">
        <f ca="1"/>
        <v>0</v>
      </c>
      <c r="W10" s="78">
        <f t="shared" ref="W10:W17" ca="1" si="1">RAND()</f>
        <v>0.70196519105274235</v>
      </c>
      <c r="X10" s="4" cm="1">
        <f t="array" aca="1" ref="X10" ca="1">MIN(SUM((Q10:V10&lt;W10)+0)+1,6)</f>
        <v>6</v>
      </c>
      <c r="Y10" s="4" t="str">
        <f ca="1">OFFSET($H$9,0,X10)</f>
        <v>F</v>
      </c>
    </row>
    <row r="11" spans="2:25" x14ac:dyDescent="0.2">
      <c r="B11" s="4" t="s">
        <v>127</v>
      </c>
      <c r="C11" s="4">
        <v>0.86778592575709479</v>
      </c>
      <c r="D11" s="4" t="s">
        <v>31</v>
      </c>
      <c r="E11" s="4" t="s">
        <v>31</v>
      </c>
      <c r="H11" s="23" t="s">
        <v>36</v>
      </c>
      <c r="I11" s="25">
        <f t="shared" ref="I11:N11" si="2">COUNTIFS(RatingLast,$H11,RatingNow,I$9)</f>
        <v>2</v>
      </c>
      <c r="J11" s="23">
        <f t="shared" si="2"/>
        <v>11</v>
      </c>
      <c r="K11" s="23">
        <f t="shared" si="2"/>
        <v>6</v>
      </c>
      <c r="L11" s="23">
        <f t="shared" si="2"/>
        <v>2</v>
      </c>
      <c r="M11" s="23">
        <f t="shared" si="2"/>
        <v>0</v>
      </c>
      <c r="N11" s="24">
        <f t="shared" si="2"/>
        <v>0</v>
      </c>
      <c r="O11" s="7"/>
      <c r="P11" s="4" t="str">
        <f ca="1"/>
        <v>E</v>
      </c>
      <c r="Q11" s="79" cm="1">
        <f t="array" aca="1" ref="Q11:V11" ca="1">INDIRECT(P11)</f>
        <v>0</v>
      </c>
      <c r="R11" s="79">
        <f ca="1"/>
        <v>0</v>
      </c>
      <c r="S11" s="79">
        <f ca="1"/>
        <v>0</v>
      </c>
      <c r="T11" s="79">
        <f ca="1"/>
        <v>0.12</v>
      </c>
      <c r="U11" s="79">
        <f ca="1"/>
        <v>0.36</v>
      </c>
      <c r="V11" s="79">
        <f ca="1"/>
        <v>1</v>
      </c>
      <c r="W11" s="78">
        <f t="shared" ca="1" si="1"/>
        <v>0.91822519557480131</v>
      </c>
      <c r="X11" s="4" cm="1">
        <f t="array" aca="1" ref="X11" ca="1">MIN(SUM((Q11:V11&lt;W11)+0)+1,6)</f>
        <v>6</v>
      </c>
      <c r="Y11" s="4" t="str">
        <f t="shared" ref="Y11:Y74" ca="1" si="3">OFFSET($H$9,0,X11)</f>
        <v>F</v>
      </c>
    </row>
    <row r="12" spans="2:25" x14ac:dyDescent="0.2">
      <c r="B12" s="4" t="s">
        <v>126</v>
      </c>
      <c r="C12" s="4">
        <v>0.52119145596927485</v>
      </c>
      <c r="D12" s="4" t="s">
        <v>21</v>
      </c>
      <c r="E12" s="4" t="s">
        <v>20</v>
      </c>
      <c r="H12" s="23" t="s">
        <v>21</v>
      </c>
      <c r="I12" s="25">
        <f t="shared" ref="I12:N12" si="4">COUNTIFS(RatingLast,$H12,RatingNow,I$9)</f>
        <v>0</v>
      </c>
      <c r="J12" s="23">
        <f t="shared" si="4"/>
        <v>2</v>
      </c>
      <c r="K12" s="23">
        <f t="shared" si="4"/>
        <v>4</v>
      </c>
      <c r="L12" s="23">
        <f t="shared" si="4"/>
        <v>9</v>
      </c>
      <c r="M12" s="23">
        <f t="shared" si="4"/>
        <v>6</v>
      </c>
      <c r="N12" s="24">
        <f t="shared" si="4"/>
        <v>0</v>
      </c>
      <c r="O12" s="7"/>
      <c r="P12" s="4" t="str">
        <f ca="1"/>
        <v>D</v>
      </c>
      <c r="Q12" s="79" cm="1">
        <f t="array" aca="1" ref="Q12:V12" ca="1">INDIRECT(P12)</f>
        <v>0</v>
      </c>
      <c r="R12" s="79">
        <f ca="1"/>
        <v>0</v>
      </c>
      <c r="S12" s="79">
        <f ca="1"/>
        <v>0.1</v>
      </c>
      <c r="T12" s="79">
        <f ca="1"/>
        <v>0.5</v>
      </c>
      <c r="U12" s="79">
        <f ca="1"/>
        <v>0.85</v>
      </c>
      <c r="V12" s="79">
        <f ca="1"/>
        <v>1</v>
      </c>
      <c r="W12" s="78">
        <f t="shared" ca="1" si="1"/>
        <v>0.24961870233067385</v>
      </c>
      <c r="X12" s="4" cm="1">
        <f t="array" aca="1" ref="X12" ca="1">MIN(SUM((Q12:V12&lt;W12)+0)+1,6)</f>
        <v>4</v>
      </c>
      <c r="Y12" s="4" t="str">
        <f t="shared" ca="1" si="3"/>
        <v>D</v>
      </c>
    </row>
    <row r="13" spans="2:25" x14ac:dyDescent="0.2">
      <c r="B13" s="4" t="s">
        <v>125</v>
      </c>
      <c r="C13" s="4">
        <v>0.84786367665154105</v>
      </c>
      <c r="D13" s="4" t="s">
        <v>31</v>
      </c>
      <c r="E13" s="4" t="s">
        <v>27</v>
      </c>
      <c r="H13" s="23" t="s">
        <v>20</v>
      </c>
      <c r="I13" s="25">
        <f t="shared" ref="I13:N13" si="5">COUNTIFS(RatingLast,$H13,RatingNow,I$9)</f>
        <v>0</v>
      </c>
      <c r="J13" s="23">
        <f t="shared" si="5"/>
        <v>0</v>
      </c>
      <c r="K13" s="23">
        <f t="shared" si="5"/>
        <v>2</v>
      </c>
      <c r="L13" s="23">
        <f t="shared" si="5"/>
        <v>8</v>
      </c>
      <c r="M13" s="23">
        <f t="shared" si="5"/>
        <v>7</v>
      </c>
      <c r="N13" s="24">
        <f t="shared" si="5"/>
        <v>3</v>
      </c>
      <c r="O13" s="7"/>
      <c r="P13" s="4" t="str">
        <f ca="1"/>
        <v>F</v>
      </c>
      <c r="Q13" s="79" cm="1">
        <f t="array" aca="1" ref="Q13:V13" ca="1">INDIRECT(P13)</f>
        <v>0</v>
      </c>
      <c r="R13" s="79">
        <f ca="1"/>
        <v>0</v>
      </c>
      <c r="S13" s="79">
        <f ca="1"/>
        <v>0</v>
      </c>
      <c r="T13" s="79">
        <f ca="1"/>
        <v>0</v>
      </c>
      <c r="U13" s="79">
        <f ca="1"/>
        <v>0</v>
      </c>
      <c r="V13" s="79">
        <f ca="1"/>
        <v>0</v>
      </c>
      <c r="W13" s="78">
        <f t="shared" ca="1" si="1"/>
        <v>8.8464798147531498E-2</v>
      </c>
      <c r="X13" s="4" cm="1">
        <f t="array" aca="1" ref="X13" ca="1">MIN(SUM((Q13:V13&lt;W13)+0)+1,6)</f>
        <v>6</v>
      </c>
      <c r="Y13" s="4" t="str">
        <f t="shared" ca="1" si="3"/>
        <v>F</v>
      </c>
    </row>
    <row r="14" spans="2:25" x14ac:dyDescent="0.2">
      <c r="B14" s="4" t="s">
        <v>124</v>
      </c>
      <c r="C14" s="4">
        <v>0.74482071432451058</v>
      </c>
      <c r="D14" s="4" t="s">
        <v>20</v>
      </c>
      <c r="E14" s="4" t="s">
        <v>20</v>
      </c>
      <c r="H14" s="23" t="s">
        <v>31</v>
      </c>
      <c r="I14" s="25">
        <f t="shared" ref="I14:N14" si="6">COUNTIFS(RatingLast,$H14,RatingNow,I$9)</f>
        <v>0</v>
      </c>
      <c r="J14" s="23">
        <f t="shared" si="6"/>
        <v>0</v>
      </c>
      <c r="K14" s="23">
        <f t="shared" si="6"/>
        <v>0</v>
      </c>
      <c r="L14" s="23">
        <f t="shared" si="6"/>
        <v>3</v>
      </c>
      <c r="M14" s="23">
        <f t="shared" si="6"/>
        <v>6</v>
      </c>
      <c r="N14" s="24">
        <f t="shared" si="6"/>
        <v>16</v>
      </c>
      <c r="O14" s="7"/>
      <c r="P14" s="4" t="str">
        <f ca="1"/>
        <v>D</v>
      </c>
      <c r="Q14" s="79" cm="1">
        <f t="array" aca="1" ref="Q14:V14" ca="1">INDIRECT(P14)</f>
        <v>0</v>
      </c>
      <c r="R14" s="79">
        <f ca="1"/>
        <v>0</v>
      </c>
      <c r="S14" s="79">
        <f ca="1"/>
        <v>0.1</v>
      </c>
      <c r="T14" s="79">
        <f ca="1"/>
        <v>0.5</v>
      </c>
      <c r="U14" s="79">
        <f ca="1"/>
        <v>0.85</v>
      </c>
      <c r="V14" s="79">
        <f ca="1"/>
        <v>1</v>
      </c>
      <c r="W14" s="78">
        <f t="shared" ca="1" si="1"/>
        <v>0.1188215687898635</v>
      </c>
      <c r="X14" s="4" cm="1">
        <f t="array" aca="1" ref="X14" ca="1">MIN(SUM((Q14:V14&lt;W14)+0)+1,6)</f>
        <v>4</v>
      </c>
      <c r="Y14" s="4" t="str">
        <f t="shared" ca="1" si="3"/>
        <v>D</v>
      </c>
    </row>
    <row r="15" spans="2:25" x14ac:dyDescent="0.2">
      <c r="B15" s="4" t="s">
        <v>123</v>
      </c>
      <c r="C15" s="4">
        <v>0.85633854254513686</v>
      </c>
      <c r="D15" s="4" t="s">
        <v>31</v>
      </c>
      <c r="E15" s="4" t="s">
        <v>31</v>
      </c>
      <c r="H15" s="23" t="s">
        <v>27</v>
      </c>
      <c r="I15" s="22">
        <f t="shared" ref="I15:N15" si="7">COUNTIFS(RatingLast,$H15,RatingNow,I$9)</f>
        <v>0</v>
      </c>
      <c r="J15" s="21">
        <f t="shared" si="7"/>
        <v>0</v>
      </c>
      <c r="K15" s="21">
        <f t="shared" si="7"/>
        <v>0</v>
      </c>
      <c r="L15" s="21">
        <f t="shared" si="7"/>
        <v>0</v>
      </c>
      <c r="M15" s="21">
        <f t="shared" si="7"/>
        <v>0</v>
      </c>
      <c r="N15" s="20">
        <f t="shared" si="7"/>
        <v>0</v>
      </c>
      <c r="O15" s="7"/>
      <c r="P15" s="4" t="str">
        <f ca="1"/>
        <v>E</v>
      </c>
      <c r="Q15" s="79" cm="1">
        <f t="array" aca="1" ref="Q15:V15" ca="1">INDIRECT(P15)</f>
        <v>0</v>
      </c>
      <c r="R15" s="79">
        <f ca="1"/>
        <v>0</v>
      </c>
      <c r="S15" s="79">
        <f ca="1"/>
        <v>0</v>
      </c>
      <c r="T15" s="79">
        <f ca="1"/>
        <v>0.12</v>
      </c>
      <c r="U15" s="79">
        <f ca="1"/>
        <v>0.36</v>
      </c>
      <c r="V15" s="79">
        <f ca="1"/>
        <v>1</v>
      </c>
      <c r="W15" s="78">
        <f t="shared" ca="1" si="1"/>
        <v>0.32443120435684769</v>
      </c>
      <c r="X15" s="4" cm="1">
        <f t="array" aca="1" ref="X15" ca="1">MIN(SUM((Q15:V15&lt;W15)+0)+1,6)</f>
        <v>5</v>
      </c>
      <c r="Y15" s="4" t="str">
        <f t="shared" ca="1" si="3"/>
        <v>E</v>
      </c>
    </row>
    <row r="16" spans="2:25" x14ac:dyDescent="0.2">
      <c r="B16" s="4" t="s">
        <v>122</v>
      </c>
      <c r="C16" s="4">
        <v>3.1748623600066805E-2</v>
      </c>
      <c r="D16" s="4" t="s">
        <v>23</v>
      </c>
      <c r="E16" s="4" t="s">
        <v>23</v>
      </c>
      <c r="H16" s="7"/>
      <c r="I16" s="7"/>
      <c r="J16" s="7"/>
      <c r="K16" s="7"/>
      <c r="L16" s="7"/>
      <c r="M16" s="7"/>
      <c r="N16" s="7"/>
      <c r="O16" s="7"/>
      <c r="P16" s="4" t="str">
        <f ca="1"/>
        <v>A</v>
      </c>
      <c r="Q16" s="79" cm="1">
        <f t="array" aca="1" ref="Q16:V16" ca="1">INDIRECT(P16)</f>
        <v>0.53846153846153844</v>
      </c>
      <c r="R16" s="79">
        <f ca="1"/>
        <v>0.84615384615384615</v>
      </c>
      <c r="S16" s="79">
        <f ca="1"/>
        <v>1</v>
      </c>
      <c r="T16" s="79">
        <f ca="1"/>
        <v>1</v>
      </c>
      <c r="U16" s="79">
        <f ca="1"/>
        <v>1</v>
      </c>
      <c r="V16" s="79">
        <f ca="1"/>
        <v>1</v>
      </c>
      <c r="W16" s="78">
        <f t="shared" ca="1" si="1"/>
        <v>0.2722199962149171</v>
      </c>
      <c r="X16" s="4" cm="1">
        <f t="array" aca="1" ref="X16" ca="1">MIN(SUM((Q16:V16&lt;W16)+0)+1,6)</f>
        <v>1</v>
      </c>
      <c r="Y16" s="4" t="str">
        <f t="shared" ca="1" si="3"/>
        <v>A</v>
      </c>
    </row>
    <row r="17" spans="2:25" x14ac:dyDescent="0.2">
      <c r="B17" s="4" t="s">
        <v>121</v>
      </c>
      <c r="C17" s="4">
        <v>0.13847525438575636</v>
      </c>
      <c r="D17" s="4" t="s">
        <v>23</v>
      </c>
      <c r="E17" s="4" t="s">
        <v>261</v>
      </c>
      <c r="P17" s="4" t="str">
        <f ca="1"/>
        <v>C_</v>
      </c>
      <c r="Q17" s="79" cm="1">
        <f t="array" aca="1" ref="Q17:V17" ca="1">INDIRECT(P17)</f>
        <v>0</v>
      </c>
      <c r="R17" s="79">
        <f ca="1"/>
        <v>9.5238095238095233E-2</v>
      </c>
      <c r="S17" s="79">
        <f ca="1"/>
        <v>0.2857142857142857</v>
      </c>
      <c r="T17" s="79">
        <f ca="1"/>
        <v>0.71428571428571419</v>
      </c>
      <c r="U17" s="79">
        <f ca="1"/>
        <v>0.99999999999999989</v>
      </c>
      <c r="V17" s="79">
        <f ca="1"/>
        <v>0.99999999999999989</v>
      </c>
      <c r="W17" s="78">
        <f t="shared" ca="1" si="1"/>
        <v>0.96582538486053437</v>
      </c>
      <c r="X17" s="4" cm="1">
        <f t="array" aca="1" ref="X17" ca="1">MIN(SUM((Q17:V17&lt;W17)+0)+1,6)</f>
        <v>5</v>
      </c>
      <c r="Y17" s="4" t="str">
        <f t="shared" ca="1" si="3"/>
        <v>E</v>
      </c>
    </row>
    <row r="18" spans="2:25" x14ac:dyDescent="0.2">
      <c r="B18" s="4" t="s">
        <v>120</v>
      </c>
      <c r="C18" s="4">
        <v>0.35239980324078335</v>
      </c>
      <c r="D18" s="4" t="s">
        <v>36</v>
      </c>
      <c r="E18" s="4" t="s">
        <v>261</v>
      </c>
      <c r="H18" s="4" t="s">
        <v>119</v>
      </c>
      <c r="P18" s="4" t="str">
        <f ca="1"/>
        <v>C_</v>
      </c>
      <c r="Q18" s="79" cm="1">
        <f t="array" aca="1" ref="Q18:V18" ca="1">INDIRECT(P18)</f>
        <v>0</v>
      </c>
      <c r="R18" s="79">
        <f ca="1"/>
        <v>9.5238095238095233E-2</v>
      </c>
      <c r="S18" s="79">
        <f ca="1"/>
        <v>0.2857142857142857</v>
      </c>
      <c r="T18" s="79">
        <f ca="1"/>
        <v>0.71428571428571419</v>
      </c>
      <c r="U18" s="79">
        <f ca="1"/>
        <v>0.99999999999999989</v>
      </c>
      <c r="V18" s="79">
        <f ca="1"/>
        <v>0.99999999999999989</v>
      </c>
      <c r="W18" s="78">
        <v>0.13</v>
      </c>
      <c r="X18" s="4" cm="1">
        <f t="array" aca="1" ref="X18" ca="1">MIN(SUM((Q18:V18&lt;W18)+0)+1,6)</f>
        <v>3</v>
      </c>
      <c r="Y18" s="4" t="str">
        <f t="shared" ca="1" si="3"/>
        <v>C_</v>
      </c>
    </row>
    <row r="19" spans="2:25" x14ac:dyDescent="0.2">
      <c r="B19" s="4" t="s">
        <v>118</v>
      </c>
      <c r="C19" s="4">
        <v>0.629727923495492</v>
      </c>
      <c r="D19" s="4" t="s">
        <v>20</v>
      </c>
      <c r="E19" s="4" t="s">
        <v>261</v>
      </c>
      <c r="I19" s="8" t="s">
        <v>23</v>
      </c>
      <c r="J19" s="8" t="s">
        <v>36</v>
      </c>
      <c r="K19" s="8" t="s">
        <v>21</v>
      </c>
      <c r="L19" s="8" t="s">
        <v>20</v>
      </c>
      <c r="M19" s="8" t="s">
        <v>31</v>
      </c>
      <c r="N19" s="8" t="s">
        <v>27</v>
      </c>
      <c r="P19" s="4" t="str">
        <f ca="1"/>
        <v>C_</v>
      </c>
      <c r="Q19" s="79" cm="1">
        <f t="array" aca="1" ref="Q19:V19" ca="1">INDIRECT(P19)</f>
        <v>0</v>
      </c>
      <c r="R19" s="79">
        <f ca="1"/>
        <v>9.5238095238095233E-2</v>
      </c>
      <c r="S19" s="79">
        <f ca="1"/>
        <v>0.2857142857142857</v>
      </c>
      <c r="T19" s="79">
        <f ca="1"/>
        <v>0.71428571428571419</v>
      </c>
      <c r="U19" s="79">
        <f ca="1"/>
        <v>0.99999999999999989</v>
      </c>
      <c r="V19" s="79">
        <f ca="1"/>
        <v>0.99999999999999989</v>
      </c>
      <c r="W19" s="78">
        <f ca="1">RAND()</f>
        <v>0.99068574180111724</v>
      </c>
      <c r="X19" s="4" cm="1">
        <f t="array" aca="1" ref="X19" ca="1">MIN(SUM((Q19:V19&lt;W19)+0)+1,6)</f>
        <v>5</v>
      </c>
      <c r="Y19" s="4" t="str">
        <f t="shared" ca="1" si="3"/>
        <v>E</v>
      </c>
    </row>
    <row r="20" spans="2:25" x14ac:dyDescent="0.2">
      <c r="B20" s="4" t="s">
        <v>116</v>
      </c>
      <c r="C20" s="4">
        <v>0.30133037852189781</v>
      </c>
      <c r="D20" s="4" t="s">
        <v>36</v>
      </c>
      <c r="E20" s="4" t="s">
        <v>261</v>
      </c>
      <c r="H20" s="4" t="s">
        <v>23</v>
      </c>
      <c r="I20" s="19">
        <f t="array" ref="I20:N20">I10:N10/SUM(I10:N10)</f>
        <v>0.53846153846153844</v>
      </c>
      <c r="J20" s="18">
        <v>0.30769230769230771</v>
      </c>
      <c r="K20" s="18">
        <v>0.15384615384615385</v>
      </c>
      <c r="L20" s="18">
        <v>0</v>
      </c>
      <c r="M20" s="18">
        <v>0</v>
      </c>
      <c r="N20" s="17">
        <v>0</v>
      </c>
      <c r="P20" s="4" t="str">
        <f ca="1"/>
        <v>C_</v>
      </c>
      <c r="Q20" s="79" cm="1">
        <f t="array" aca="1" ref="Q20:V20" ca="1">INDIRECT(P20)</f>
        <v>0</v>
      </c>
      <c r="R20" s="79">
        <f ca="1"/>
        <v>9.5238095238095233E-2</v>
      </c>
      <c r="S20" s="79">
        <f ca="1"/>
        <v>0.2857142857142857</v>
      </c>
      <c r="T20" s="79">
        <f ca="1"/>
        <v>0.71428571428571419</v>
      </c>
      <c r="U20" s="79">
        <f ca="1"/>
        <v>0.99999999999999989</v>
      </c>
      <c r="V20" s="79">
        <f ca="1"/>
        <v>0.99999999999999989</v>
      </c>
      <c r="W20" s="78">
        <f t="shared" ref="W20:W83" ca="1" si="8">RAND()</f>
        <v>0.21688511817830636</v>
      </c>
      <c r="X20" s="4" cm="1">
        <f t="array" aca="1" ref="X20" ca="1">MIN(SUM((Q20:V20&lt;W20)+0)+1,6)</f>
        <v>3</v>
      </c>
      <c r="Y20" s="4" t="str">
        <f t="shared" ca="1" si="3"/>
        <v>C_</v>
      </c>
    </row>
    <row r="21" spans="2:25" x14ac:dyDescent="0.2">
      <c r="B21" s="4" t="s">
        <v>115</v>
      </c>
      <c r="C21" s="4">
        <v>0.55932131678917996</v>
      </c>
      <c r="D21" s="4" t="s">
        <v>21</v>
      </c>
      <c r="E21" s="4" t="s">
        <v>31</v>
      </c>
      <c r="H21" s="4" t="s">
        <v>36</v>
      </c>
      <c r="I21" s="16">
        <f t="array" ref="I21:N21">I11:N11/SUM(I11:N11)</f>
        <v>9.5238095238095233E-2</v>
      </c>
      <c r="J21" s="14">
        <v>0.52380952380952384</v>
      </c>
      <c r="K21" s="15">
        <v>0.2857142857142857</v>
      </c>
      <c r="L21" s="15">
        <v>9.5238095238095233E-2</v>
      </c>
      <c r="M21" s="15">
        <v>0</v>
      </c>
      <c r="N21" s="13">
        <v>0</v>
      </c>
      <c r="P21" s="4" t="str">
        <f ca="1"/>
        <v>E</v>
      </c>
      <c r="Q21" s="79" cm="1">
        <f t="array" aca="1" ref="Q21:V21" ca="1">INDIRECT(P21)</f>
        <v>0</v>
      </c>
      <c r="R21" s="79">
        <f ca="1"/>
        <v>0</v>
      </c>
      <c r="S21" s="79">
        <f ca="1"/>
        <v>0</v>
      </c>
      <c r="T21" s="79">
        <f ca="1"/>
        <v>0.12</v>
      </c>
      <c r="U21" s="79">
        <f ca="1"/>
        <v>0.36</v>
      </c>
      <c r="V21" s="79">
        <f ca="1"/>
        <v>1</v>
      </c>
      <c r="W21" s="78">
        <f t="shared" ca="1" si="8"/>
        <v>0.29550797313859267</v>
      </c>
      <c r="X21" s="4" cm="1">
        <f t="array" aca="1" ref="X21" ca="1">MIN(SUM((Q21:V21&lt;W21)+0)+1,6)</f>
        <v>5</v>
      </c>
      <c r="Y21" s="4" t="str">
        <f t="shared" ca="1" si="3"/>
        <v>E</v>
      </c>
    </row>
    <row r="22" spans="2:25" x14ac:dyDescent="0.2">
      <c r="B22" s="4" t="s">
        <v>114</v>
      </c>
      <c r="C22" s="4">
        <v>0.57897251751359091</v>
      </c>
      <c r="D22" s="4" t="s">
        <v>21</v>
      </c>
      <c r="E22" s="4" t="s">
        <v>261</v>
      </c>
      <c r="H22" s="4" t="s">
        <v>21</v>
      </c>
      <c r="I22" s="16">
        <f t="array" ref="I22:N22">I12:N12/SUM(I12:N12)</f>
        <v>0</v>
      </c>
      <c r="J22" s="15">
        <v>9.5238095238095233E-2</v>
      </c>
      <c r="K22" s="14">
        <v>0.19047619047619047</v>
      </c>
      <c r="L22" s="15">
        <v>0.42857142857142855</v>
      </c>
      <c r="M22" s="15">
        <v>0.2857142857142857</v>
      </c>
      <c r="N22" s="13">
        <v>0</v>
      </c>
      <c r="P22" s="4" t="str">
        <f ca="1"/>
        <v>C_</v>
      </c>
      <c r="Q22" s="79" cm="1">
        <f t="array" aca="1" ref="Q22:V22" ca="1">INDIRECT(P22)</f>
        <v>0</v>
      </c>
      <c r="R22" s="79">
        <f ca="1"/>
        <v>9.5238095238095233E-2</v>
      </c>
      <c r="S22" s="79">
        <f ca="1"/>
        <v>0.2857142857142857</v>
      </c>
      <c r="T22" s="79">
        <f ca="1"/>
        <v>0.71428571428571419</v>
      </c>
      <c r="U22" s="79">
        <f ca="1"/>
        <v>0.99999999999999989</v>
      </c>
      <c r="V22" s="79">
        <f ca="1"/>
        <v>0.99999999999999989</v>
      </c>
      <c r="W22" s="78">
        <f t="shared" ca="1" si="8"/>
        <v>0.97072814209654479</v>
      </c>
      <c r="X22" s="4" cm="1">
        <f t="array" aca="1" ref="X22" ca="1">MIN(SUM((Q22:V22&lt;W22)+0)+1,6)</f>
        <v>5</v>
      </c>
      <c r="Y22" s="4" t="str">
        <f t="shared" ca="1" si="3"/>
        <v>E</v>
      </c>
    </row>
    <row r="23" spans="2:25" x14ac:dyDescent="0.2">
      <c r="B23" s="4" t="s">
        <v>113</v>
      </c>
      <c r="C23" s="4">
        <v>0.57354336706452547</v>
      </c>
      <c r="D23" s="4" t="s">
        <v>21</v>
      </c>
      <c r="E23" s="4" t="s">
        <v>20</v>
      </c>
      <c r="H23" s="4" t="s">
        <v>20</v>
      </c>
      <c r="I23" s="16">
        <f t="array" ref="I23:N23">I13:N13/SUM(I13:N13)</f>
        <v>0</v>
      </c>
      <c r="J23" s="15">
        <v>0</v>
      </c>
      <c r="K23" s="15">
        <v>0.1</v>
      </c>
      <c r="L23" s="14">
        <v>0.4</v>
      </c>
      <c r="M23" s="15">
        <v>0.35</v>
      </c>
      <c r="N23" s="13">
        <v>0.15</v>
      </c>
      <c r="P23" s="4" t="str">
        <f ca="1"/>
        <v>D</v>
      </c>
      <c r="Q23" s="79" cm="1">
        <f t="array" aca="1" ref="Q23:V23" ca="1">INDIRECT(P23)</f>
        <v>0</v>
      </c>
      <c r="R23" s="79">
        <f ca="1"/>
        <v>0</v>
      </c>
      <c r="S23" s="79">
        <f ca="1"/>
        <v>0.1</v>
      </c>
      <c r="T23" s="79">
        <f ca="1"/>
        <v>0.5</v>
      </c>
      <c r="U23" s="79">
        <f ca="1"/>
        <v>0.85</v>
      </c>
      <c r="V23" s="79">
        <f ca="1"/>
        <v>1</v>
      </c>
      <c r="W23" s="78">
        <f t="shared" ca="1" si="8"/>
        <v>0.88844892034745515</v>
      </c>
      <c r="X23" s="4" cm="1">
        <f t="array" aca="1" ref="X23" ca="1">MIN(SUM((Q23:V23&lt;W23)+0)+1,6)</f>
        <v>6</v>
      </c>
      <c r="Y23" s="4" t="str">
        <f t="shared" ca="1" si="3"/>
        <v>F</v>
      </c>
    </row>
    <row r="24" spans="2:25" x14ac:dyDescent="0.2">
      <c r="B24" s="4" t="s">
        <v>112</v>
      </c>
      <c r="C24" s="4">
        <v>0.2220152633174447</v>
      </c>
      <c r="D24" s="4" t="s">
        <v>36</v>
      </c>
      <c r="E24" s="4" t="s">
        <v>23</v>
      </c>
      <c r="H24" s="4" t="s">
        <v>31</v>
      </c>
      <c r="I24" s="16">
        <f t="array" ref="I24:N24">I14:N14/SUM(I14:N14)</f>
        <v>0</v>
      </c>
      <c r="J24" s="15">
        <v>0</v>
      </c>
      <c r="K24" s="15">
        <v>0</v>
      </c>
      <c r="L24" s="15">
        <v>0.12</v>
      </c>
      <c r="M24" s="14">
        <v>0.24</v>
      </c>
      <c r="N24" s="13">
        <v>0.64</v>
      </c>
      <c r="P24" s="4" t="str">
        <f ca="1"/>
        <v>A</v>
      </c>
      <c r="Q24" s="79" cm="1">
        <f t="array" aca="1" ref="Q24:V24" ca="1">INDIRECT(P24)</f>
        <v>0.53846153846153844</v>
      </c>
      <c r="R24" s="79">
        <f ca="1"/>
        <v>0.84615384615384615</v>
      </c>
      <c r="S24" s="79">
        <f ca="1"/>
        <v>1</v>
      </c>
      <c r="T24" s="79">
        <f ca="1"/>
        <v>1</v>
      </c>
      <c r="U24" s="79">
        <f ca="1"/>
        <v>1</v>
      </c>
      <c r="V24" s="79">
        <f ca="1"/>
        <v>1</v>
      </c>
      <c r="W24" s="78">
        <f t="shared" ca="1" si="8"/>
        <v>0.88059601266604026</v>
      </c>
      <c r="X24" s="4" cm="1">
        <f t="array" aca="1" ref="X24" ca="1">MIN(SUM((Q24:V24&lt;W24)+0)+1,6)</f>
        <v>3</v>
      </c>
      <c r="Y24" s="4" t="str">
        <f t="shared" ca="1" si="3"/>
        <v>C_</v>
      </c>
    </row>
    <row r="25" spans="2:25" x14ac:dyDescent="0.2">
      <c r="B25" s="4" t="s">
        <v>111</v>
      </c>
      <c r="C25" s="4">
        <v>0.93262582287957241</v>
      </c>
      <c r="D25" s="4" t="s">
        <v>31</v>
      </c>
      <c r="E25" s="4" t="s">
        <v>27</v>
      </c>
      <c r="H25" s="4" t="s">
        <v>27</v>
      </c>
      <c r="I25" s="12">
        <f t="array" ref="I25:N25">IFERROR(I15:N15/SUM(I15:N15),0)</f>
        <v>0</v>
      </c>
      <c r="J25" s="11">
        <v>0</v>
      </c>
      <c r="K25" s="11">
        <v>0</v>
      </c>
      <c r="L25" s="11">
        <v>0</v>
      </c>
      <c r="M25" s="11">
        <v>0</v>
      </c>
      <c r="N25" s="10">
        <v>0</v>
      </c>
      <c r="P25" s="4" t="str">
        <f ca="1"/>
        <v>F</v>
      </c>
      <c r="Q25" s="79" cm="1">
        <f t="array" aca="1" ref="Q25:V25" ca="1">INDIRECT(P25)</f>
        <v>0</v>
      </c>
      <c r="R25" s="79">
        <f ca="1"/>
        <v>0</v>
      </c>
      <c r="S25" s="79">
        <f ca="1"/>
        <v>0</v>
      </c>
      <c r="T25" s="79">
        <f ca="1"/>
        <v>0</v>
      </c>
      <c r="U25" s="79">
        <f ca="1"/>
        <v>0</v>
      </c>
      <c r="V25" s="79">
        <f ca="1"/>
        <v>0</v>
      </c>
      <c r="W25" s="78">
        <f t="shared" ca="1" si="8"/>
        <v>0.7796898667008223</v>
      </c>
      <c r="X25" s="4" cm="1">
        <f t="array" aca="1" ref="X25" ca="1">MIN(SUM((Q25:V25&lt;W25)+0)+1,6)</f>
        <v>6</v>
      </c>
      <c r="Y25" s="4" t="str">
        <f t="shared" ca="1" si="3"/>
        <v>F</v>
      </c>
    </row>
    <row r="26" spans="2:25" x14ac:dyDescent="0.2">
      <c r="B26" s="4" t="s">
        <v>110</v>
      </c>
      <c r="C26" s="4">
        <v>0.62075910543702517</v>
      </c>
      <c r="D26" s="4" t="s">
        <v>20</v>
      </c>
      <c r="E26" s="4" t="s">
        <v>20</v>
      </c>
      <c r="P26" s="4" t="str">
        <f ca="1"/>
        <v>D</v>
      </c>
      <c r="Q26" s="79" cm="1">
        <f t="array" aca="1" ref="Q26:V26" ca="1">INDIRECT(P26)</f>
        <v>0</v>
      </c>
      <c r="R26" s="79">
        <f ca="1"/>
        <v>0</v>
      </c>
      <c r="S26" s="79">
        <f ca="1"/>
        <v>0.1</v>
      </c>
      <c r="T26" s="79">
        <f ca="1"/>
        <v>0.5</v>
      </c>
      <c r="U26" s="79">
        <f ca="1"/>
        <v>0.85</v>
      </c>
      <c r="V26" s="79">
        <f ca="1"/>
        <v>1</v>
      </c>
      <c r="W26" s="78">
        <f t="shared" ca="1" si="8"/>
        <v>0.61461135422465329</v>
      </c>
      <c r="X26" s="4" cm="1">
        <f t="array" aca="1" ref="X26" ca="1">MIN(SUM((Q26:V26&lt;W26)+0)+1,6)</f>
        <v>5</v>
      </c>
      <c r="Y26" s="4" t="str">
        <f t="shared" ca="1" si="3"/>
        <v>E</v>
      </c>
    </row>
    <row r="27" spans="2:25" x14ac:dyDescent="0.2">
      <c r="B27" s="4" t="s">
        <v>109</v>
      </c>
      <c r="C27" s="4">
        <v>0.22819056193474963</v>
      </c>
      <c r="D27" s="4" t="s">
        <v>36</v>
      </c>
      <c r="E27" s="4" t="s">
        <v>36</v>
      </c>
      <c r="P27" s="4" t="str">
        <f ca="1"/>
        <v>B</v>
      </c>
      <c r="Q27" s="79" cm="1">
        <f t="array" aca="1" ref="Q27:V27" ca="1">INDIRECT(P27)</f>
        <v>9.5238095238095233E-2</v>
      </c>
      <c r="R27" s="79">
        <f ca="1"/>
        <v>0.61904761904761907</v>
      </c>
      <c r="S27" s="79">
        <f ca="1"/>
        <v>0.90476190476190477</v>
      </c>
      <c r="T27" s="79">
        <f ca="1"/>
        <v>1</v>
      </c>
      <c r="U27" s="79">
        <f ca="1"/>
        <v>1</v>
      </c>
      <c r="V27" s="79">
        <f ca="1"/>
        <v>1</v>
      </c>
      <c r="W27" s="78">
        <f t="shared" ca="1" si="8"/>
        <v>0.41245081437660458</v>
      </c>
      <c r="X27" s="4" cm="1">
        <f t="array" aca="1" ref="X27" ca="1">MIN(SUM((Q27:V27&lt;W27)+0)+1,6)</f>
        <v>2</v>
      </c>
      <c r="Y27" s="4" t="str">
        <f t="shared" ca="1" si="3"/>
        <v>B</v>
      </c>
    </row>
    <row r="28" spans="2:25" x14ac:dyDescent="0.2">
      <c r="B28" s="4" t="s">
        <v>108</v>
      </c>
      <c r="C28" s="4">
        <v>0.77132432197816658</v>
      </c>
      <c r="D28" s="4" t="s">
        <v>20</v>
      </c>
      <c r="E28" s="4" t="s">
        <v>20</v>
      </c>
      <c r="P28" s="4" t="str">
        <f ca="1"/>
        <v>D</v>
      </c>
      <c r="Q28" s="79" cm="1">
        <f t="array" aca="1" ref="Q28:V28" ca="1">INDIRECT(P28)</f>
        <v>0</v>
      </c>
      <c r="R28" s="79">
        <f ca="1"/>
        <v>0</v>
      </c>
      <c r="S28" s="79">
        <f ca="1"/>
        <v>0.1</v>
      </c>
      <c r="T28" s="79">
        <f ca="1"/>
        <v>0.5</v>
      </c>
      <c r="U28" s="79">
        <f ca="1"/>
        <v>0.85</v>
      </c>
      <c r="V28" s="79">
        <f ca="1"/>
        <v>1</v>
      </c>
      <c r="W28" s="78">
        <f t="shared" ca="1" si="8"/>
        <v>0.89349058911262158</v>
      </c>
      <c r="X28" s="4" cm="1">
        <f t="array" aca="1" ref="X28" ca="1">MIN(SUM((Q28:V28&lt;W28)+0)+1,6)</f>
        <v>6</v>
      </c>
      <c r="Y28" s="4" t="str">
        <f t="shared" ca="1" si="3"/>
        <v>F</v>
      </c>
    </row>
    <row r="29" spans="2:25" x14ac:dyDescent="0.2">
      <c r="B29" s="4" t="s">
        <v>107</v>
      </c>
      <c r="C29" s="4">
        <v>0.57246332435771263</v>
      </c>
      <c r="D29" s="4" t="s">
        <v>21</v>
      </c>
      <c r="E29" s="4" t="s">
        <v>31</v>
      </c>
      <c r="H29" s="9" t="s">
        <v>106</v>
      </c>
      <c r="P29" s="4" t="str">
        <f ca="1"/>
        <v>E</v>
      </c>
      <c r="Q29" s="79" cm="1">
        <f t="array" aca="1" ref="Q29:V29" ca="1">INDIRECT(P29)</f>
        <v>0</v>
      </c>
      <c r="R29" s="79">
        <f ca="1"/>
        <v>0</v>
      </c>
      <c r="S29" s="79">
        <f ca="1"/>
        <v>0</v>
      </c>
      <c r="T29" s="79">
        <f ca="1"/>
        <v>0.12</v>
      </c>
      <c r="U29" s="79">
        <f ca="1"/>
        <v>0.36</v>
      </c>
      <c r="V29" s="79">
        <f ca="1"/>
        <v>1</v>
      </c>
      <c r="W29" s="78">
        <f t="shared" ca="1" si="8"/>
        <v>0.8572169965387193</v>
      </c>
      <c r="X29" s="4" cm="1">
        <f t="array" aca="1" ref="X29" ca="1">MIN(SUM((Q29:V29&lt;W29)+0)+1,6)</f>
        <v>6</v>
      </c>
      <c r="Y29" s="4" t="str">
        <f t="shared" ca="1" si="3"/>
        <v>F</v>
      </c>
    </row>
    <row r="30" spans="2:25" x14ac:dyDescent="0.2">
      <c r="B30" s="4" t="s">
        <v>105</v>
      </c>
      <c r="C30" s="4">
        <v>0.86103184618814521</v>
      </c>
      <c r="D30" s="4" t="s">
        <v>31</v>
      </c>
      <c r="E30" s="4" t="s">
        <v>20</v>
      </c>
      <c r="I30" s="8" t="s">
        <v>23</v>
      </c>
      <c r="J30" s="8" t="s">
        <v>36</v>
      </c>
      <c r="K30" s="8" t="s">
        <v>21</v>
      </c>
      <c r="L30" s="8" t="s">
        <v>20</v>
      </c>
      <c r="M30" s="8" t="s">
        <v>31</v>
      </c>
      <c r="N30" s="8" t="s">
        <v>27</v>
      </c>
      <c r="P30" s="4" t="str">
        <f ca="1"/>
        <v>D</v>
      </c>
      <c r="Q30" s="79" cm="1">
        <f t="array" aca="1" ref="Q30:V30" ca="1">INDIRECT(P30)</f>
        <v>0</v>
      </c>
      <c r="R30" s="79">
        <f ca="1"/>
        <v>0</v>
      </c>
      <c r="S30" s="79">
        <f ca="1"/>
        <v>0.1</v>
      </c>
      <c r="T30" s="79">
        <f ca="1"/>
        <v>0.5</v>
      </c>
      <c r="U30" s="79">
        <f ca="1"/>
        <v>0.85</v>
      </c>
      <c r="V30" s="79">
        <f ca="1"/>
        <v>1</v>
      </c>
      <c r="W30" s="78">
        <f t="shared" ca="1" si="8"/>
        <v>0.18212158149070679</v>
      </c>
      <c r="X30" s="4" cm="1">
        <f t="array" aca="1" ref="X30" ca="1">MIN(SUM((Q30:V30&lt;W30)+0)+1,6)</f>
        <v>4</v>
      </c>
      <c r="Y30" s="4" t="str">
        <f t="shared" ca="1" si="3"/>
        <v>D</v>
      </c>
    </row>
    <row r="31" spans="2:25" x14ac:dyDescent="0.2">
      <c r="B31" s="4" t="s">
        <v>104</v>
      </c>
      <c r="C31" s="4">
        <v>0.94709052952496053</v>
      </c>
      <c r="D31" s="4" t="s">
        <v>31</v>
      </c>
      <c r="E31" s="4" t="s">
        <v>27</v>
      </c>
      <c r="H31" s="4" t="s">
        <v>23</v>
      </c>
      <c r="I31" s="28">
        <f>I20</f>
        <v>0.53846153846153844</v>
      </c>
      <c r="J31" s="27">
        <f t="shared" ref="J31:N36" si="9">J20+I31</f>
        <v>0.84615384615384615</v>
      </c>
      <c r="K31" s="27">
        <f t="shared" si="9"/>
        <v>1</v>
      </c>
      <c r="L31" s="27">
        <f t="shared" si="9"/>
        <v>1</v>
      </c>
      <c r="M31" s="27">
        <f t="shared" si="9"/>
        <v>1</v>
      </c>
      <c r="N31" s="26">
        <f t="shared" si="9"/>
        <v>1</v>
      </c>
      <c r="P31" s="4" t="str">
        <f ca="1"/>
        <v>F</v>
      </c>
      <c r="Q31" s="79" cm="1">
        <f t="array" aca="1" ref="Q31:V31" ca="1">INDIRECT(P31)</f>
        <v>0</v>
      </c>
      <c r="R31" s="79">
        <f ca="1"/>
        <v>0</v>
      </c>
      <c r="S31" s="79">
        <f ca="1"/>
        <v>0</v>
      </c>
      <c r="T31" s="79">
        <f ca="1"/>
        <v>0</v>
      </c>
      <c r="U31" s="79">
        <f ca="1"/>
        <v>0</v>
      </c>
      <c r="V31" s="79">
        <f ca="1"/>
        <v>0</v>
      </c>
      <c r="W31" s="78">
        <f t="shared" ca="1" si="8"/>
        <v>0.11556861542029473</v>
      </c>
      <c r="X31" s="4" cm="1">
        <f t="array" aca="1" ref="X31" ca="1">MIN(SUM((Q31:V31&lt;W31)+0)+1,6)</f>
        <v>6</v>
      </c>
      <c r="Y31" s="4" t="str">
        <f t="shared" ca="1" si="3"/>
        <v>F</v>
      </c>
    </row>
    <row r="32" spans="2:25" x14ac:dyDescent="0.2">
      <c r="B32" s="4" t="s">
        <v>103</v>
      </c>
      <c r="C32" s="4">
        <v>0.85909824540678892</v>
      </c>
      <c r="D32" s="4" t="s">
        <v>31</v>
      </c>
      <c r="E32" s="4" t="s">
        <v>20</v>
      </c>
      <c r="H32" s="4" t="s">
        <v>36</v>
      </c>
      <c r="I32" s="25">
        <f t="shared" ref="I32:I36" si="10">I21</f>
        <v>9.5238095238095233E-2</v>
      </c>
      <c r="J32" s="23">
        <f t="shared" si="9"/>
        <v>0.61904761904761907</v>
      </c>
      <c r="K32" s="23">
        <f t="shared" si="9"/>
        <v>0.90476190476190477</v>
      </c>
      <c r="L32" s="23">
        <f t="shared" si="9"/>
        <v>1</v>
      </c>
      <c r="M32" s="23">
        <f t="shared" si="9"/>
        <v>1</v>
      </c>
      <c r="N32" s="24">
        <f t="shared" si="9"/>
        <v>1</v>
      </c>
      <c r="P32" s="4" t="str">
        <f ca="1"/>
        <v>D</v>
      </c>
      <c r="Q32" s="79" cm="1">
        <f t="array" aca="1" ref="Q32:V32" ca="1">INDIRECT(P32)</f>
        <v>0</v>
      </c>
      <c r="R32" s="79">
        <f ca="1"/>
        <v>0</v>
      </c>
      <c r="S32" s="79">
        <f ca="1"/>
        <v>0.1</v>
      </c>
      <c r="T32" s="79">
        <f ca="1"/>
        <v>0.5</v>
      </c>
      <c r="U32" s="79">
        <f ca="1"/>
        <v>0.85</v>
      </c>
      <c r="V32" s="79">
        <f ca="1"/>
        <v>1</v>
      </c>
      <c r="W32" s="78">
        <f t="shared" ca="1" si="8"/>
        <v>0.65513024763698391</v>
      </c>
      <c r="X32" s="4" cm="1">
        <f t="array" aca="1" ref="X32" ca="1">MIN(SUM((Q32:V32&lt;W32)+0)+1,6)</f>
        <v>5</v>
      </c>
      <c r="Y32" s="4" t="str">
        <f t="shared" ca="1" si="3"/>
        <v>E</v>
      </c>
    </row>
    <row r="33" spans="2:25" x14ac:dyDescent="0.2">
      <c r="B33" s="4" t="s">
        <v>102</v>
      </c>
      <c r="C33" s="4">
        <v>0.13326863734457084</v>
      </c>
      <c r="D33" s="4" t="s">
        <v>23</v>
      </c>
      <c r="E33" s="4" t="s">
        <v>23</v>
      </c>
      <c r="H33" s="4" t="s">
        <v>261</v>
      </c>
      <c r="I33" s="25">
        <f t="shared" si="10"/>
        <v>0</v>
      </c>
      <c r="J33" s="23">
        <f t="shared" si="9"/>
        <v>9.5238095238095233E-2</v>
      </c>
      <c r="K33" s="23">
        <f t="shared" si="9"/>
        <v>0.2857142857142857</v>
      </c>
      <c r="L33" s="23">
        <f t="shared" si="9"/>
        <v>0.71428571428571419</v>
      </c>
      <c r="M33" s="23">
        <f t="shared" si="9"/>
        <v>0.99999999999999989</v>
      </c>
      <c r="N33" s="24">
        <f t="shared" si="9"/>
        <v>0.99999999999999989</v>
      </c>
      <c r="P33" s="4" t="str">
        <f ca="1"/>
        <v>A</v>
      </c>
      <c r="Q33" s="79" cm="1">
        <f t="array" aca="1" ref="Q33:V33" ca="1">INDIRECT(P33)</f>
        <v>0.53846153846153844</v>
      </c>
      <c r="R33" s="79">
        <f ca="1"/>
        <v>0.84615384615384615</v>
      </c>
      <c r="S33" s="79">
        <f ca="1"/>
        <v>1</v>
      </c>
      <c r="T33" s="79">
        <f ca="1"/>
        <v>1</v>
      </c>
      <c r="U33" s="79">
        <f ca="1"/>
        <v>1</v>
      </c>
      <c r="V33" s="79">
        <f ca="1"/>
        <v>1</v>
      </c>
      <c r="W33" s="78">
        <f t="shared" ca="1" si="8"/>
        <v>0.67384892194287793</v>
      </c>
      <c r="X33" s="4" cm="1">
        <f t="array" aca="1" ref="X33" ca="1">MIN(SUM((Q33:V33&lt;W33)+0)+1,6)</f>
        <v>2</v>
      </c>
      <c r="Y33" s="4" t="str">
        <f t="shared" ca="1" si="3"/>
        <v>B</v>
      </c>
    </row>
    <row r="34" spans="2:25" x14ac:dyDescent="0.2">
      <c r="B34" s="4" t="s">
        <v>101</v>
      </c>
      <c r="C34" s="4">
        <v>2.4561640532133056E-2</v>
      </c>
      <c r="D34" s="4" t="s">
        <v>23</v>
      </c>
      <c r="E34" s="4" t="s">
        <v>23</v>
      </c>
      <c r="H34" s="4" t="s">
        <v>20</v>
      </c>
      <c r="I34" s="25">
        <f t="shared" si="10"/>
        <v>0</v>
      </c>
      <c r="J34" s="23">
        <f t="shared" si="9"/>
        <v>0</v>
      </c>
      <c r="K34" s="23">
        <f t="shared" si="9"/>
        <v>0.1</v>
      </c>
      <c r="L34" s="23">
        <f t="shared" si="9"/>
        <v>0.5</v>
      </c>
      <c r="M34" s="23">
        <f t="shared" si="9"/>
        <v>0.85</v>
      </c>
      <c r="N34" s="24">
        <f t="shared" si="9"/>
        <v>1</v>
      </c>
      <c r="P34" s="4" t="str">
        <f ca="1"/>
        <v>A</v>
      </c>
      <c r="Q34" s="79" cm="1">
        <f t="array" aca="1" ref="Q34:V34" ca="1">INDIRECT(P34)</f>
        <v>0.53846153846153844</v>
      </c>
      <c r="R34" s="79">
        <f ca="1"/>
        <v>0.84615384615384615</v>
      </c>
      <c r="S34" s="79">
        <f ca="1"/>
        <v>1</v>
      </c>
      <c r="T34" s="79">
        <f ca="1"/>
        <v>1</v>
      </c>
      <c r="U34" s="79">
        <f ca="1"/>
        <v>1</v>
      </c>
      <c r="V34" s="79">
        <f ca="1"/>
        <v>1</v>
      </c>
      <c r="W34" s="78">
        <f t="shared" ca="1" si="8"/>
        <v>0.13073417338210103</v>
      </c>
      <c r="X34" s="4" cm="1">
        <f t="array" aca="1" ref="X34" ca="1">MIN(SUM((Q34:V34&lt;W34)+0)+1,6)</f>
        <v>1</v>
      </c>
      <c r="Y34" s="4" t="str">
        <f t="shared" ca="1" si="3"/>
        <v>A</v>
      </c>
    </row>
    <row r="35" spans="2:25" x14ac:dyDescent="0.2">
      <c r="B35" s="4" t="s">
        <v>100</v>
      </c>
      <c r="C35" s="4">
        <v>0.69102718204006508</v>
      </c>
      <c r="D35" s="4" t="s">
        <v>20</v>
      </c>
      <c r="E35" s="4" t="s">
        <v>31</v>
      </c>
      <c r="H35" s="4" t="s">
        <v>31</v>
      </c>
      <c r="I35" s="25">
        <f t="shared" si="10"/>
        <v>0</v>
      </c>
      <c r="J35" s="23">
        <f t="shared" si="9"/>
        <v>0</v>
      </c>
      <c r="K35" s="23">
        <f t="shared" si="9"/>
        <v>0</v>
      </c>
      <c r="L35" s="23">
        <f t="shared" si="9"/>
        <v>0.12</v>
      </c>
      <c r="M35" s="23">
        <f t="shared" si="9"/>
        <v>0.36</v>
      </c>
      <c r="N35" s="24">
        <f t="shared" si="9"/>
        <v>1</v>
      </c>
      <c r="P35" s="4" t="str">
        <f ca="1"/>
        <v>E</v>
      </c>
      <c r="Q35" s="79" cm="1">
        <f t="array" aca="1" ref="Q35:V35" ca="1">INDIRECT(P35)</f>
        <v>0</v>
      </c>
      <c r="R35" s="79">
        <f ca="1"/>
        <v>0</v>
      </c>
      <c r="S35" s="79">
        <f ca="1"/>
        <v>0</v>
      </c>
      <c r="T35" s="79">
        <f ca="1"/>
        <v>0.12</v>
      </c>
      <c r="U35" s="79">
        <f ca="1"/>
        <v>0.36</v>
      </c>
      <c r="V35" s="79">
        <f ca="1"/>
        <v>1</v>
      </c>
      <c r="W35" s="78">
        <f t="shared" ca="1" si="8"/>
        <v>0.87713329595472778</v>
      </c>
      <c r="X35" s="4" cm="1">
        <f t="array" aca="1" ref="X35" ca="1">MIN(SUM((Q35:V35&lt;W35)+0)+1,6)</f>
        <v>6</v>
      </c>
      <c r="Y35" s="4" t="str">
        <f t="shared" ca="1" si="3"/>
        <v>F</v>
      </c>
    </row>
    <row r="36" spans="2:25" x14ac:dyDescent="0.2">
      <c r="B36" s="4" t="s">
        <v>99</v>
      </c>
      <c r="C36" s="4">
        <v>0.47219088645737706</v>
      </c>
      <c r="D36" s="4" t="s">
        <v>21</v>
      </c>
      <c r="E36" s="4" t="s">
        <v>20</v>
      </c>
      <c r="H36" s="4" t="s">
        <v>27</v>
      </c>
      <c r="I36" s="22">
        <f t="shared" si="10"/>
        <v>0</v>
      </c>
      <c r="J36" s="21">
        <f t="shared" si="9"/>
        <v>0</v>
      </c>
      <c r="K36" s="21">
        <f t="shared" si="9"/>
        <v>0</v>
      </c>
      <c r="L36" s="21">
        <f t="shared" si="9"/>
        <v>0</v>
      </c>
      <c r="M36" s="21">
        <f t="shared" si="9"/>
        <v>0</v>
      </c>
      <c r="N36" s="20">
        <f t="shared" si="9"/>
        <v>0</v>
      </c>
      <c r="P36" s="4" t="str">
        <f ca="1"/>
        <v>D</v>
      </c>
      <c r="Q36" s="79" cm="1">
        <f t="array" aca="1" ref="Q36:V36" ca="1">INDIRECT(P36)</f>
        <v>0</v>
      </c>
      <c r="R36" s="79">
        <f ca="1"/>
        <v>0</v>
      </c>
      <c r="S36" s="79">
        <f ca="1"/>
        <v>0.1</v>
      </c>
      <c r="T36" s="79">
        <f ca="1"/>
        <v>0.5</v>
      </c>
      <c r="U36" s="79">
        <f ca="1"/>
        <v>0.85</v>
      </c>
      <c r="V36" s="79">
        <f ca="1"/>
        <v>1</v>
      </c>
      <c r="W36" s="78">
        <f t="shared" ca="1" si="8"/>
        <v>0.55119039249809687</v>
      </c>
      <c r="X36" s="4" cm="1">
        <f t="array" aca="1" ref="X36" ca="1">MIN(SUM((Q36:V36&lt;W36)+0)+1,6)</f>
        <v>5</v>
      </c>
      <c r="Y36" s="4" t="str">
        <f t="shared" ca="1" si="3"/>
        <v>E</v>
      </c>
    </row>
    <row r="37" spans="2:25" x14ac:dyDescent="0.2">
      <c r="B37" s="4" t="s">
        <v>98</v>
      </c>
      <c r="C37" s="4">
        <v>0.96736610542638979</v>
      </c>
      <c r="D37" s="4" t="s">
        <v>31</v>
      </c>
      <c r="E37" s="4" t="s">
        <v>27</v>
      </c>
      <c r="P37" s="4" t="str">
        <f ca="1"/>
        <v>F</v>
      </c>
      <c r="Q37" s="79" cm="1">
        <f t="array" aca="1" ref="Q37:V37" ca="1">INDIRECT(P37)</f>
        <v>0</v>
      </c>
      <c r="R37" s="79">
        <f ca="1"/>
        <v>0</v>
      </c>
      <c r="S37" s="79">
        <f ca="1"/>
        <v>0</v>
      </c>
      <c r="T37" s="79">
        <f ca="1"/>
        <v>0</v>
      </c>
      <c r="U37" s="79">
        <f ca="1"/>
        <v>0</v>
      </c>
      <c r="V37" s="79">
        <f ca="1"/>
        <v>0</v>
      </c>
      <c r="W37" s="78">
        <f t="shared" ca="1" si="8"/>
        <v>0.82248894865324584</v>
      </c>
      <c r="X37" s="4" cm="1">
        <f t="array" aca="1" ref="X37" ca="1">MIN(SUM((Q37:V37&lt;W37)+0)+1,6)</f>
        <v>6</v>
      </c>
      <c r="Y37" s="4" t="str">
        <f t="shared" ca="1" si="3"/>
        <v>F</v>
      </c>
    </row>
    <row r="38" spans="2:25" x14ac:dyDescent="0.2">
      <c r="B38" s="4" t="s">
        <v>97</v>
      </c>
      <c r="C38" s="4">
        <v>0.32731700081355264</v>
      </c>
      <c r="D38" s="4" t="s">
        <v>36</v>
      </c>
      <c r="E38" s="4" t="s">
        <v>36</v>
      </c>
      <c r="P38" s="4" t="str">
        <f ca="1"/>
        <v>B</v>
      </c>
      <c r="Q38" s="79" cm="1">
        <f t="array" aca="1" ref="Q38:V38" ca="1">INDIRECT(P38)</f>
        <v>9.5238095238095233E-2</v>
      </c>
      <c r="R38" s="79">
        <f ca="1"/>
        <v>0.61904761904761907</v>
      </c>
      <c r="S38" s="79">
        <f ca="1"/>
        <v>0.90476190476190477</v>
      </c>
      <c r="T38" s="79">
        <f ca="1"/>
        <v>1</v>
      </c>
      <c r="U38" s="79">
        <f ca="1"/>
        <v>1</v>
      </c>
      <c r="V38" s="79">
        <f ca="1"/>
        <v>1</v>
      </c>
      <c r="W38" s="78">
        <f t="shared" ca="1" si="8"/>
        <v>0.93455803407848059</v>
      </c>
      <c r="X38" s="4" cm="1">
        <f t="array" aca="1" ref="X38" ca="1">MIN(SUM((Q38:V38&lt;W38)+0)+1,6)</f>
        <v>4</v>
      </c>
      <c r="Y38" s="4" t="str">
        <f t="shared" ca="1" si="3"/>
        <v>D</v>
      </c>
    </row>
    <row r="39" spans="2:25" x14ac:dyDescent="0.2">
      <c r="B39" s="4" t="s">
        <v>96</v>
      </c>
      <c r="C39" s="4">
        <v>2.2840188242793991E-2</v>
      </c>
      <c r="D39" s="4" t="s">
        <v>23</v>
      </c>
      <c r="E39" s="4" t="s">
        <v>36</v>
      </c>
      <c r="P39" s="4" t="str">
        <f ca="1"/>
        <v>B</v>
      </c>
      <c r="Q39" s="79" cm="1">
        <f t="array" aca="1" ref="Q39:V39" ca="1">INDIRECT(P39)</f>
        <v>9.5238095238095233E-2</v>
      </c>
      <c r="R39" s="79">
        <f ca="1"/>
        <v>0.61904761904761907</v>
      </c>
      <c r="S39" s="79">
        <f ca="1"/>
        <v>0.90476190476190477</v>
      </c>
      <c r="T39" s="79">
        <f ca="1"/>
        <v>1</v>
      </c>
      <c r="U39" s="79">
        <f ca="1"/>
        <v>1</v>
      </c>
      <c r="V39" s="79">
        <f ca="1"/>
        <v>1</v>
      </c>
      <c r="W39" s="78">
        <f t="shared" ca="1" si="8"/>
        <v>0.11237202691315729</v>
      </c>
      <c r="X39" s="4" cm="1">
        <f t="array" aca="1" ref="X39" ca="1">MIN(SUM((Q39:V39&lt;W39)+0)+1,6)</f>
        <v>2</v>
      </c>
      <c r="Y39" s="4" t="str">
        <f t="shared" ca="1" si="3"/>
        <v>B</v>
      </c>
    </row>
    <row r="40" spans="2:25" x14ac:dyDescent="0.2">
      <c r="B40" s="4" t="s">
        <v>95</v>
      </c>
      <c r="C40" s="4">
        <v>0.92397381828911795</v>
      </c>
      <c r="D40" s="4" t="s">
        <v>31</v>
      </c>
      <c r="E40" s="4" t="s">
        <v>27</v>
      </c>
      <c r="P40" s="4" t="str">
        <f ca="1"/>
        <v>F</v>
      </c>
      <c r="Q40" s="79" cm="1">
        <f t="array" aca="1" ref="Q40:V40" ca="1">INDIRECT(P40)</f>
        <v>0</v>
      </c>
      <c r="R40" s="79">
        <f ca="1"/>
        <v>0</v>
      </c>
      <c r="S40" s="79">
        <f ca="1"/>
        <v>0</v>
      </c>
      <c r="T40" s="79">
        <f ca="1"/>
        <v>0</v>
      </c>
      <c r="U40" s="79">
        <f ca="1"/>
        <v>0</v>
      </c>
      <c r="V40" s="79">
        <f ca="1"/>
        <v>0</v>
      </c>
      <c r="W40" s="78">
        <f t="shared" ca="1" si="8"/>
        <v>0.52614049854827838</v>
      </c>
      <c r="X40" s="4" cm="1">
        <f t="array" aca="1" ref="X40" ca="1">MIN(SUM((Q40:V40&lt;W40)+0)+1,6)</f>
        <v>6</v>
      </c>
      <c r="Y40" s="4" t="str">
        <f t="shared" ca="1" si="3"/>
        <v>F</v>
      </c>
    </row>
    <row r="41" spans="2:25" x14ac:dyDescent="0.2">
      <c r="B41" s="4" t="s">
        <v>94</v>
      </c>
      <c r="C41" s="4">
        <v>7.7896725092658436E-2</v>
      </c>
      <c r="D41" s="4" t="s">
        <v>23</v>
      </c>
      <c r="E41" s="4" t="s">
        <v>36</v>
      </c>
      <c r="P41" s="4" t="str">
        <f ca="1"/>
        <v>B</v>
      </c>
      <c r="Q41" s="79" cm="1">
        <f t="array" aca="1" ref="Q41:V41" ca="1">INDIRECT(P41)</f>
        <v>9.5238095238095233E-2</v>
      </c>
      <c r="R41" s="79">
        <f ca="1"/>
        <v>0.61904761904761907</v>
      </c>
      <c r="S41" s="79">
        <f ca="1"/>
        <v>0.90476190476190477</v>
      </c>
      <c r="T41" s="79">
        <f ca="1"/>
        <v>1</v>
      </c>
      <c r="U41" s="79">
        <f ca="1"/>
        <v>1</v>
      </c>
      <c r="V41" s="79">
        <f ca="1"/>
        <v>1</v>
      </c>
      <c r="W41" s="78">
        <f t="shared" ca="1" si="8"/>
        <v>0.38377374313957302</v>
      </c>
      <c r="X41" s="4" cm="1">
        <f t="array" aca="1" ref="X41" ca="1">MIN(SUM((Q41:V41&lt;W41)+0)+1,6)</f>
        <v>2</v>
      </c>
      <c r="Y41" s="4" t="str">
        <f t="shared" ca="1" si="3"/>
        <v>B</v>
      </c>
    </row>
    <row r="42" spans="2:25" x14ac:dyDescent="0.2">
      <c r="B42" s="4" t="s">
        <v>93</v>
      </c>
      <c r="C42" s="4">
        <v>0.65542830970793808</v>
      </c>
      <c r="D42" s="4" t="s">
        <v>20</v>
      </c>
      <c r="E42" s="4" t="s">
        <v>27</v>
      </c>
      <c r="P42" s="4" t="str">
        <f ca="1"/>
        <v>F</v>
      </c>
      <c r="Q42" s="79" cm="1">
        <f t="array" aca="1" ref="Q42:V42" ca="1">INDIRECT(P42)</f>
        <v>0</v>
      </c>
      <c r="R42" s="79">
        <f ca="1"/>
        <v>0</v>
      </c>
      <c r="S42" s="79">
        <f ca="1"/>
        <v>0</v>
      </c>
      <c r="T42" s="79">
        <f ca="1"/>
        <v>0</v>
      </c>
      <c r="U42" s="79">
        <f ca="1"/>
        <v>0</v>
      </c>
      <c r="V42" s="79">
        <f ca="1"/>
        <v>0</v>
      </c>
      <c r="W42" s="78">
        <f t="shared" ca="1" si="8"/>
        <v>0.68889125471875479</v>
      </c>
      <c r="X42" s="4" cm="1">
        <f t="array" aca="1" ref="X42" ca="1">MIN(SUM((Q42:V42&lt;W42)+0)+1,6)</f>
        <v>6</v>
      </c>
      <c r="Y42" s="4" t="str">
        <f t="shared" ca="1" si="3"/>
        <v>F</v>
      </c>
    </row>
    <row r="43" spans="2:25" x14ac:dyDescent="0.2">
      <c r="B43" s="4" t="s">
        <v>92</v>
      </c>
      <c r="C43" s="4">
        <v>0.25203125416123051</v>
      </c>
      <c r="D43" s="4" t="s">
        <v>36</v>
      </c>
      <c r="E43" s="4" t="s">
        <v>36</v>
      </c>
      <c r="P43" s="4" t="str">
        <f ca="1"/>
        <v>B</v>
      </c>
      <c r="Q43" s="79" cm="1">
        <f t="array" aca="1" ref="Q43:V43" ca="1">INDIRECT(P43)</f>
        <v>9.5238095238095233E-2</v>
      </c>
      <c r="R43" s="79">
        <f ca="1"/>
        <v>0.61904761904761907</v>
      </c>
      <c r="S43" s="79">
        <f ca="1"/>
        <v>0.90476190476190477</v>
      </c>
      <c r="T43" s="79">
        <f ca="1"/>
        <v>1</v>
      </c>
      <c r="U43" s="79">
        <f ca="1"/>
        <v>1</v>
      </c>
      <c r="V43" s="79">
        <f ca="1"/>
        <v>1</v>
      </c>
      <c r="W43" s="78">
        <f t="shared" ca="1" si="8"/>
        <v>0.67938623100576878</v>
      </c>
      <c r="X43" s="4" cm="1">
        <f t="array" aca="1" ref="X43" ca="1">MIN(SUM((Q43:V43&lt;W43)+0)+1,6)</f>
        <v>3</v>
      </c>
      <c r="Y43" s="4" t="str">
        <f t="shared" ca="1" si="3"/>
        <v>C_</v>
      </c>
    </row>
    <row r="44" spans="2:25" x14ac:dyDescent="0.2">
      <c r="B44" s="4" t="s">
        <v>91</v>
      </c>
      <c r="C44" s="4">
        <v>0.7342850127525723</v>
      </c>
      <c r="D44" s="4" t="s">
        <v>20</v>
      </c>
      <c r="E44" s="4" t="s">
        <v>31</v>
      </c>
      <c r="P44" s="4" t="str">
        <f ca="1"/>
        <v>E</v>
      </c>
      <c r="Q44" s="79" cm="1">
        <f t="array" aca="1" ref="Q44:V44" ca="1">INDIRECT(P44)</f>
        <v>0</v>
      </c>
      <c r="R44" s="79">
        <f ca="1"/>
        <v>0</v>
      </c>
      <c r="S44" s="79">
        <f ca="1"/>
        <v>0</v>
      </c>
      <c r="T44" s="79">
        <f ca="1"/>
        <v>0.12</v>
      </c>
      <c r="U44" s="79">
        <f ca="1"/>
        <v>0.36</v>
      </c>
      <c r="V44" s="79">
        <f ca="1"/>
        <v>1</v>
      </c>
      <c r="W44" s="78">
        <f t="shared" ca="1" si="8"/>
        <v>0.55204694154961431</v>
      </c>
      <c r="X44" s="4" cm="1">
        <f t="array" aca="1" ref="X44" ca="1">MIN(SUM((Q44:V44&lt;W44)+0)+1,6)</f>
        <v>6</v>
      </c>
      <c r="Y44" s="4" t="str">
        <f t="shared" ca="1" si="3"/>
        <v>F</v>
      </c>
    </row>
    <row r="45" spans="2:25" x14ac:dyDescent="0.2">
      <c r="B45" s="4" t="s">
        <v>90</v>
      </c>
      <c r="C45" s="4">
        <v>0.45807898016892368</v>
      </c>
      <c r="D45" s="4" t="s">
        <v>21</v>
      </c>
      <c r="E45" s="4" t="s">
        <v>36</v>
      </c>
      <c r="P45" s="4" t="str">
        <f ca="1"/>
        <v>B</v>
      </c>
      <c r="Q45" s="79" cm="1">
        <f t="array" aca="1" ref="Q45:V45" ca="1">INDIRECT(P45)</f>
        <v>9.5238095238095233E-2</v>
      </c>
      <c r="R45" s="79">
        <f ca="1"/>
        <v>0.61904761904761907</v>
      </c>
      <c r="S45" s="79">
        <f ca="1"/>
        <v>0.90476190476190477</v>
      </c>
      <c r="T45" s="79">
        <f ca="1"/>
        <v>1</v>
      </c>
      <c r="U45" s="79">
        <f ca="1"/>
        <v>1</v>
      </c>
      <c r="V45" s="79">
        <f ca="1"/>
        <v>1</v>
      </c>
      <c r="W45" s="78">
        <f t="shared" ca="1" si="8"/>
        <v>0.7663280121387358</v>
      </c>
      <c r="X45" s="4" cm="1">
        <f t="array" aca="1" ref="X45" ca="1">MIN(SUM((Q45:V45&lt;W45)+0)+1,6)</f>
        <v>3</v>
      </c>
      <c r="Y45" s="4" t="str">
        <f t="shared" ca="1" si="3"/>
        <v>C_</v>
      </c>
    </row>
    <row r="46" spans="2:25" x14ac:dyDescent="0.2">
      <c r="B46" s="4" t="s">
        <v>89</v>
      </c>
      <c r="C46" s="4">
        <v>0.84594615337373491</v>
      </c>
      <c r="D46" s="4" t="s">
        <v>31</v>
      </c>
      <c r="E46" s="4" t="s">
        <v>31</v>
      </c>
      <c r="P46" s="4" t="str">
        <f ca="1"/>
        <v>E</v>
      </c>
      <c r="Q46" s="79" cm="1">
        <f t="array" aca="1" ref="Q46:V46" ca="1">INDIRECT(P46)</f>
        <v>0</v>
      </c>
      <c r="R46" s="79">
        <f ca="1"/>
        <v>0</v>
      </c>
      <c r="S46" s="79">
        <f ca="1"/>
        <v>0</v>
      </c>
      <c r="T46" s="79">
        <f ca="1"/>
        <v>0.12</v>
      </c>
      <c r="U46" s="79">
        <f ca="1"/>
        <v>0.36</v>
      </c>
      <c r="V46" s="79">
        <f ca="1"/>
        <v>1</v>
      </c>
      <c r="W46" s="78">
        <f t="shared" ca="1" si="8"/>
        <v>0.6853712623554078</v>
      </c>
      <c r="X46" s="4" cm="1">
        <f t="array" aca="1" ref="X46" ca="1">MIN(SUM((Q46:V46&lt;W46)+0)+1,6)</f>
        <v>6</v>
      </c>
      <c r="Y46" s="4" t="str">
        <f t="shared" ca="1" si="3"/>
        <v>F</v>
      </c>
    </row>
    <row r="47" spans="2:25" x14ac:dyDescent="0.2">
      <c r="B47" s="4" t="s">
        <v>88</v>
      </c>
      <c r="C47" s="4">
        <v>0.86957152007842897</v>
      </c>
      <c r="D47" s="4" t="s">
        <v>31</v>
      </c>
      <c r="E47" s="4" t="s">
        <v>27</v>
      </c>
      <c r="P47" s="4" t="str">
        <f ca="1"/>
        <v>F</v>
      </c>
      <c r="Q47" s="79" cm="1">
        <f t="array" aca="1" ref="Q47:V47" ca="1">INDIRECT(P47)</f>
        <v>0</v>
      </c>
      <c r="R47" s="79">
        <f ca="1"/>
        <v>0</v>
      </c>
      <c r="S47" s="79">
        <f ca="1"/>
        <v>0</v>
      </c>
      <c r="T47" s="79">
        <f ca="1"/>
        <v>0</v>
      </c>
      <c r="U47" s="79">
        <f ca="1"/>
        <v>0</v>
      </c>
      <c r="V47" s="79">
        <f ca="1"/>
        <v>0</v>
      </c>
      <c r="W47" s="78">
        <f t="shared" ca="1" si="8"/>
        <v>0.48842715548420579</v>
      </c>
      <c r="X47" s="4" cm="1">
        <f t="array" aca="1" ref="X47" ca="1">MIN(SUM((Q47:V47&lt;W47)+0)+1,6)</f>
        <v>6</v>
      </c>
      <c r="Y47" s="4" t="str">
        <f t="shared" ca="1" si="3"/>
        <v>F</v>
      </c>
    </row>
    <row r="48" spans="2:25" x14ac:dyDescent="0.2">
      <c r="B48" s="4" t="s">
        <v>87</v>
      </c>
      <c r="C48" s="4">
        <v>0.24226555051074961</v>
      </c>
      <c r="D48" s="4" t="s">
        <v>36</v>
      </c>
      <c r="E48" s="4" t="s">
        <v>36</v>
      </c>
      <c r="P48" s="4" t="str">
        <f ca="1"/>
        <v>B</v>
      </c>
      <c r="Q48" s="79" cm="1">
        <f t="array" aca="1" ref="Q48:V48" ca="1">INDIRECT(P48)</f>
        <v>9.5238095238095233E-2</v>
      </c>
      <c r="R48" s="79">
        <f ca="1"/>
        <v>0.61904761904761907</v>
      </c>
      <c r="S48" s="79">
        <f ca="1"/>
        <v>0.90476190476190477</v>
      </c>
      <c r="T48" s="79">
        <f ca="1"/>
        <v>1</v>
      </c>
      <c r="U48" s="79">
        <f ca="1"/>
        <v>1</v>
      </c>
      <c r="V48" s="79">
        <f ca="1"/>
        <v>1</v>
      </c>
      <c r="W48" s="78">
        <f t="shared" ca="1" si="8"/>
        <v>0.97257514474683415</v>
      </c>
      <c r="X48" s="4" cm="1">
        <f t="array" aca="1" ref="X48" ca="1">MIN(SUM((Q48:V48&lt;W48)+0)+1,6)</f>
        <v>4</v>
      </c>
      <c r="Y48" s="4" t="str">
        <f t="shared" ca="1" si="3"/>
        <v>D</v>
      </c>
    </row>
    <row r="49" spans="2:25" x14ac:dyDescent="0.2">
      <c r="B49" s="4" t="s">
        <v>86</v>
      </c>
      <c r="C49" s="4">
        <v>0.73988308548461668</v>
      </c>
      <c r="D49" s="4" t="s">
        <v>20</v>
      </c>
      <c r="E49" s="4" t="s">
        <v>31</v>
      </c>
      <c r="P49" s="4" t="str">
        <f ca="1"/>
        <v>E</v>
      </c>
      <c r="Q49" s="79" cm="1">
        <f t="array" aca="1" ref="Q49:V49" ca="1">INDIRECT(P49)</f>
        <v>0</v>
      </c>
      <c r="R49" s="79">
        <f ca="1"/>
        <v>0</v>
      </c>
      <c r="S49" s="79">
        <f ca="1"/>
        <v>0</v>
      </c>
      <c r="T49" s="79">
        <f ca="1"/>
        <v>0.12</v>
      </c>
      <c r="U49" s="79">
        <f ca="1"/>
        <v>0.36</v>
      </c>
      <c r="V49" s="79">
        <f ca="1"/>
        <v>1</v>
      </c>
      <c r="W49" s="78">
        <f t="shared" ca="1" si="8"/>
        <v>0.50648953174719613</v>
      </c>
      <c r="X49" s="4" cm="1">
        <f t="array" aca="1" ref="X49" ca="1">MIN(SUM((Q49:V49&lt;W49)+0)+1,6)</f>
        <v>6</v>
      </c>
      <c r="Y49" s="4" t="str">
        <f t="shared" ca="1" si="3"/>
        <v>F</v>
      </c>
    </row>
    <row r="50" spans="2:25" x14ac:dyDescent="0.2">
      <c r="B50" s="4" t="s">
        <v>85</v>
      </c>
      <c r="C50" s="4">
        <v>0.27086535835866432</v>
      </c>
      <c r="D50" s="4" t="s">
        <v>36</v>
      </c>
      <c r="E50" s="4" t="s">
        <v>36</v>
      </c>
      <c r="P50" s="4" t="str">
        <f ca="1"/>
        <v>B</v>
      </c>
      <c r="Q50" s="79" cm="1">
        <f t="array" aca="1" ref="Q50:V50" ca="1">INDIRECT(P50)</f>
        <v>9.5238095238095233E-2</v>
      </c>
      <c r="R50" s="79">
        <f ca="1"/>
        <v>0.61904761904761907</v>
      </c>
      <c r="S50" s="79">
        <f ca="1"/>
        <v>0.90476190476190477</v>
      </c>
      <c r="T50" s="79">
        <f ca="1"/>
        <v>1</v>
      </c>
      <c r="U50" s="79">
        <f ca="1"/>
        <v>1</v>
      </c>
      <c r="V50" s="79">
        <f ca="1"/>
        <v>1</v>
      </c>
      <c r="W50" s="78">
        <f t="shared" ca="1" si="8"/>
        <v>0.76670628391652862</v>
      </c>
      <c r="X50" s="4" cm="1">
        <f t="array" aca="1" ref="X50" ca="1">MIN(SUM((Q50:V50&lt;W50)+0)+1,6)</f>
        <v>3</v>
      </c>
      <c r="Y50" s="4" t="str">
        <f t="shared" ca="1" si="3"/>
        <v>C_</v>
      </c>
    </row>
    <row r="51" spans="2:25" x14ac:dyDescent="0.2">
      <c r="B51" s="4" t="s">
        <v>84</v>
      </c>
      <c r="C51" s="4">
        <v>0.52463050106771492</v>
      </c>
      <c r="D51" s="4" t="s">
        <v>21</v>
      </c>
      <c r="E51" s="4" t="s">
        <v>20</v>
      </c>
      <c r="P51" s="4" t="str">
        <f ca="1"/>
        <v>D</v>
      </c>
      <c r="Q51" s="79" cm="1">
        <f t="array" aca="1" ref="Q51:V51" ca="1">INDIRECT(P51)</f>
        <v>0</v>
      </c>
      <c r="R51" s="79">
        <f ca="1"/>
        <v>0</v>
      </c>
      <c r="S51" s="79">
        <f ca="1"/>
        <v>0.1</v>
      </c>
      <c r="T51" s="79">
        <f ca="1"/>
        <v>0.5</v>
      </c>
      <c r="U51" s="79">
        <f ca="1"/>
        <v>0.85</v>
      </c>
      <c r="V51" s="79">
        <f ca="1"/>
        <v>1</v>
      </c>
      <c r="W51" s="78">
        <f t="shared" ca="1" si="8"/>
        <v>0.95050831961750426</v>
      </c>
      <c r="X51" s="4" cm="1">
        <f t="array" aca="1" ref="X51" ca="1">MIN(SUM((Q51:V51&lt;W51)+0)+1,6)</f>
        <v>6</v>
      </c>
      <c r="Y51" s="4" t="str">
        <f t="shared" ca="1" si="3"/>
        <v>F</v>
      </c>
    </row>
    <row r="52" spans="2:25" x14ac:dyDescent="0.2">
      <c r="B52" s="4" t="s">
        <v>83</v>
      </c>
      <c r="C52" s="4">
        <v>0.32596892448905102</v>
      </c>
      <c r="D52" s="4" t="s">
        <v>36</v>
      </c>
      <c r="E52" s="4" t="s">
        <v>36</v>
      </c>
      <c r="P52" s="4" t="str">
        <f ca="1"/>
        <v>B</v>
      </c>
      <c r="Q52" s="79" cm="1">
        <f t="array" aca="1" ref="Q52:V52" ca="1">INDIRECT(P52)</f>
        <v>9.5238095238095233E-2</v>
      </c>
      <c r="R52" s="79">
        <f ca="1"/>
        <v>0.61904761904761907</v>
      </c>
      <c r="S52" s="79">
        <f ca="1"/>
        <v>0.90476190476190477</v>
      </c>
      <c r="T52" s="79">
        <f ca="1"/>
        <v>1</v>
      </c>
      <c r="U52" s="79">
        <f ca="1"/>
        <v>1</v>
      </c>
      <c r="V52" s="79">
        <f ca="1"/>
        <v>1</v>
      </c>
      <c r="W52" s="78">
        <f t="shared" ca="1" si="8"/>
        <v>0.1355408367964549</v>
      </c>
      <c r="X52" s="4" cm="1">
        <f t="array" aca="1" ref="X52" ca="1">MIN(SUM((Q52:V52&lt;W52)+0)+1,6)</f>
        <v>2</v>
      </c>
      <c r="Y52" s="4" t="str">
        <f t="shared" ca="1" si="3"/>
        <v>B</v>
      </c>
    </row>
    <row r="53" spans="2:25" x14ac:dyDescent="0.2">
      <c r="B53" s="4" t="s">
        <v>82</v>
      </c>
      <c r="C53" s="4">
        <v>9.9770131781005578E-2</v>
      </c>
      <c r="D53" s="4" t="s">
        <v>23</v>
      </c>
      <c r="E53" s="4" t="s">
        <v>23</v>
      </c>
      <c r="P53" s="4" t="str">
        <f ca="1"/>
        <v>A</v>
      </c>
      <c r="Q53" s="79" cm="1">
        <f t="array" aca="1" ref="Q53:V53" ca="1">INDIRECT(P53)</f>
        <v>0.53846153846153844</v>
      </c>
      <c r="R53" s="79">
        <f ca="1"/>
        <v>0.84615384615384615</v>
      </c>
      <c r="S53" s="79">
        <f ca="1"/>
        <v>1</v>
      </c>
      <c r="T53" s="79">
        <f ca="1"/>
        <v>1</v>
      </c>
      <c r="U53" s="79">
        <f ca="1"/>
        <v>1</v>
      </c>
      <c r="V53" s="79">
        <f ca="1"/>
        <v>1</v>
      </c>
      <c r="W53" s="78">
        <f t="shared" ca="1" si="8"/>
        <v>0.26880017884785179</v>
      </c>
      <c r="X53" s="4" cm="1">
        <f t="array" aca="1" ref="X53" ca="1">MIN(SUM((Q53:V53&lt;W53)+0)+1,6)</f>
        <v>1</v>
      </c>
      <c r="Y53" s="4" t="str">
        <f t="shared" ca="1" si="3"/>
        <v>A</v>
      </c>
    </row>
    <row r="54" spans="2:25" x14ac:dyDescent="0.2">
      <c r="B54" s="4" t="s">
        <v>81</v>
      </c>
      <c r="C54" s="4">
        <v>0.93095117946155259</v>
      </c>
      <c r="D54" s="4" t="s">
        <v>31</v>
      </c>
      <c r="E54" s="4" t="s">
        <v>31</v>
      </c>
      <c r="P54" s="4" t="str">
        <f ca="1"/>
        <v>E</v>
      </c>
      <c r="Q54" s="79" cm="1">
        <f t="array" aca="1" ref="Q54:V54" ca="1">INDIRECT(P54)</f>
        <v>0</v>
      </c>
      <c r="R54" s="79">
        <f ca="1"/>
        <v>0</v>
      </c>
      <c r="S54" s="79">
        <f ca="1"/>
        <v>0</v>
      </c>
      <c r="T54" s="79">
        <f ca="1"/>
        <v>0.12</v>
      </c>
      <c r="U54" s="79">
        <f ca="1"/>
        <v>0.36</v>
      </c>
      <c r="V54" s="79">
        <f ca="1"/>
        <v>1</v>
      </c>
      <c r="W54" s="78">
        <f t="shared" ca="1" si="8"/>
        <v>0.5345895813350493</v>
      </c>
      <c r="X54" s="4" cm="1">
        <f t="array" aca="1" ref="X54" ca="1">MIN(SUM((Q54:V54&lt;W54)+0)+1,6)</f>
        <v>6</v>
      </c>
      <c r="Y54" s="4" t="str">
        <f t="shared" ca="1" si="3"/>
        <v>F</v>
      </c>
    </row>
    <row r="55" spans="2:25" x14ac:dyDescent="0.2">
      <c r="B55" s="4" t="s">
        <v>80</v>
      </c>
      <c r="C55" s="4">
        <v>0.90830874893691682</v>
      </c>
      <c r="D55" s="4" t="s">
        <v>31</v>
      </c>
      <c r="E55" s="4" t="s">
        <v>31</v>
      </c>
      <c r="P55" s="4" t="str">
        <f ca="1"/>
        <v>E</v>
      </c>
      <c r="Q55" s="79" cm="1">
        <f t="array" aca="1" ref="Q55:V55" ca="1">INDIRECT(P55)</f>
        <v>0</v>
      </c>
      <c r="R55" s="79">
        <f ca="1"/>
        <v>0</v>
      </c>
      <c r="S55" s="79">
        <f ca="1"/>
        <v>0</v>
      </c>
      <c r="T55" s="79">
        <f ca="1"/>
        <v>0.12</v>
      </c>
      <c r="U55" s="79">
        <f ca="1"/>
        <v>0.36</v>
      </c>
      <c r="V55" s="79">
        <f ca="1"/>
        <v>1</v>
      </c>
      <c r="W55" s="78">
        <f t="shared" ca="1" si="8"/>
        <v>0.15524546319183541</v>
      </c>
      <c r="X55" s="4" cm="1">
        <f t="array" aca="1" ref="X55" ca="1">MIN(SUM((Q55:V55&lt;W55)+0)+1,6)</f>
        <v>5</v>
      </c>
      <c r="Y55" s="4" t="str">
        <f t="shared" ca="1" si="3"/>
        <v>E</v>
      </c>
    </row>
    <row r="56" spans="2:25" x14ac:dyDescent="0.2">
      <c r="B56" s="4" t="s">
        <v>79</v>
      </c>
      <c r="C56" s="4">
        <v>0.73348855941533408</v>
      </c>
      <c r="D56" s="4" t="s">
        <v>20</v>
      </c>
      <c r="E56" s="4" t="s">
        <v>20</v>
      </c>
      <c r="P56" s="4" t="str">
        <f ca="1"/>
        <v>D</v>
      </c>
      <c r="Q56" s="79" cm="1">
        <f t="array" aca="1" ref="Q56:V56" ca="1">INDIRECT(P56)</f>
        <v>0</v>
      </c>
      <c r="R56" s="79">
        <f ca="1"/>
        <v>0</v>
      </c>
      <c r="S56" s="79">
        <f ca="1"/>
        <v>0.1</v>
      </c>
      <c r="T56" s="79">
        <f ca="1"/>
        <v>0.5</v>
      </c>
      <c r="U56" s="79">
        <f ca="1"/>
        <v>0.85</v>
      </c>
      <c r="V56" s="79">
        <f ca="1"/>
        <v>1</v>
      </c>
      <c r="W56" s="78">
        <f t="shared" ca="1" si="8"/>
        <v>0.63122634282794587</v>
      </c>
      <c r="X56" s="4" cm="1">
        <f t="array" aca="1" ref="X56" ca="1">MIN(SUM((Q56:V56&lt;W56)+0)+1,6)</f>
        <v>5</v>
      </c>
      <c r="Y56" s="4" t="str">
        <f t="shared" ca="1" si="3"/>
        <v>E</v>
      </c>
    </row>
    <row r="57" spans="2:25" x14ac:dyDescent="0.2">
      <c r="B57" s="4" t="s">
        <v>78</v>
      </c>
      <c r="C57" s="4">
        <v>0.89357778535202403</v>
      </c>
      <c r="D57" s="4" t="s">
        <v>31</v>
      </c>
      <c r="E57" s="4" t="s">
        <v>27</v>
      </c>
      <c r="P57" s="4" t="str">
        <f ca="1"/>
        <v>F</v>
      </c>
      <c r="Q57" s="79" cm="1">
        <f t="array" aca="1" ref="Q57:V57" ca="1">INDIRECT(P57)</f>
        <v>0</v>
      </c>
      <c r="R57" s="79">
        <f ca="1"/>
        <v>0</v>
      </c>
      <c r="S57" s="79">
        <f ca="1"/>
        <v>0</v>
      </c>
      <c r="T57" s="79">
        <f ca="1"/>
        <v>0</v>
      </c>
      <c r="U57" s="79">
        <f ca="1"/>
        <v>0</v>
      </c>
      <c r="V57" s="79">
        <f ca="1"/>
        <v>0</v>
      </c>
      <c r="W57" s="78">
        <f t="shared" ca="1" si="8"/>
        <v>0.804814152168707</v>
      </c>
      <c r="X57" s="4" cm="1">
        <f t="array" aca="1" ref="X57" ca="1">MIN(SUM((Q57:V57&lt;W57)+0)+1,6)</f>
        <v>6</v>
      </c>
      <c r="Y57" s="4" t="str">
        <f t="shared" ca="1" si="3"/>
        <v>F</v>
      </c>
    </row>
    <row r="58" spans="2:25" x14ac:dyDescent="0.2">
      <c r="B58" s="4" t="s">
        <v>77</v>
      </c>
      <c r="C58" s="4">
        <v>0.52346847344780068</v>
      </c>
      <c r="D58" s="4" t="s">
        <v>21</v>
      </c>
      <c r="E58" s="4" t="s">
        <v>31</v>
      </c>
      <c r="P58" s="4" t="str">
        <f ca="1"/>
        <v>E</v>
      </c>
      <c r="Q58" s="79" cm="1">
        <f t="array" aca="1" ref="Q58:V58" ca="1">INDIRECT(P58)</f>
        <v>0</v>
      </c>
      <c r="R58" s="79">
        <f ca="1"/>
        <v>0</v>
      </c>
      <c r="S58" s="79">
        <f ca="1"/>
        <v>0</v>
      </c>
      <c r="T58" s="79">
        <f ca="1"/>
        <v>0.12</v>
      </c>
      <c r="U58" s="79">
        <f ca="1"/>
        <v>0.36</v>
      </c>
      <c r="V58" s="79">
        <f ca="1"/>
        <v>1</v>
      </c>
      <c r="W58" s="78">
        <f t="shared" ca="1" si="8"/>
        <v>0.80741306168456339</v>
      </c>
      <c r="X58" s="4" cm="1">
        <f t="array" aca="1" ref="X58" ca="1">MIN(SUM((Q58:V58&lt;W58)+0)+1,6)</f>
        <v>6</v>
      </c>
      <c r="Y58" s="4" t="str">
        <f t="shared" ca="1" si="3"/>
        <v>F</v>
      </c>
    </row>
    <row r="59" spans="2:25" x14ac:dyDescent="0.2">
      <c r="B59" s="4" t="s">
        <v>76</v>
      </c>
      <c r="C59" s="4">
        <v>0.76656607302887836</v>
      </c>
      <c r="D59" s="4" t="s">
        <v>20</v>
      </c>
      <c r="E59" s="4" t="s">
        <v>20</v>
      </c>
      <c r="P59" s="4" t="str">
        <f ca="1"/>
        <v>D</v>
      </c>
      <c r="Q59" s="79" cm="1">
        <f t="array" aca="1" ref="Q59:V59" ca="1">INDIRECT(P59)</f>
        <v>0</v>
      </c>
      <c r="R59" s="79">
        <f ca="1"/>
        <v>0</v>
      </c>
      <c r="S59" s="79">
        <f ca="1"/>
        <v>0.1</v>
      </c>
      <c r="T59" s="79">
        <f ca="1"/>
        <v>0.5</v>
      </c>
      <c r="U59" s="79">
        <f ca="1"/>
        <v>0.85</v>
      </c>
      <c r="V59" s="79">
        <f ca="1"/>
        <v>1</v>
      </c>
      <c r="W59" s="78">
        <f t="shared" ca="1" si="8"/>
        <v>0.22916438367397962</v>
      </c>
      <c r="X59" s="4" cm="1">
        <f t="array" aca="1" ref="X59" ca="1">MIN(SUM((Q59:V59&lt;W59)+0)+1,6)</f>
        <v>4</v>
      </c>
      <c r="Y59" s="4" t="str">
        <f t="shared" ca="1" si="3"/>
        <v>D</v>
      </c>
    </row>
    <row r="60" spans="2:25" x14ac:dyDescent="0.2">
      <c r="B60" s="4" t="s">
        <v>75</v>
      </c>
      <c r="C60" s="4">
        <v>0.80003286318070632</v>
      </c>
      <c r="D60" s="4" t="s">
        <v>31</v>
      </c>
      <c r="E60" s="4" t="s">
        <v>27</v>
      </c>
      <c r="P60" s="4" t="str">
        <f ca="1"/>
        <v>F</v>
      </c>
      <c r="Q60" s="79" cm="1">
        <f t="array" aca="1" ref="Q60:V60" ca="1">INDIRECT(P60)</f>
        <v>0</v>
      </c>
      <c r="R60" s="79">
        <f ca="1"/>
        <v>0</v>
      </c>
      <c r="S60" s="79">
        <f ca="1"/>
        <v>0</v>
      </c>
      <c r="T60" s="79">
        <f ca="1"/>
        <v>0</v>
      </c>
      <c r="U60" s="79">
        <f ca="1"/>
        <v>0</v>
      </c>
      <c r="V60" s="79">
        <f ca="1"/>
        <v>0</v>
      </c>
      <c r="W60" s="78">
        <f t="shared" ca="1" si="8"/>
        <v>0.31150717124767002</v>
      </c>
      <c r="X60" s="4" cm="1">
        <f t="array" aca="1" ref="X60" ca="1">MIN(SUM((Q60:V60&lt;W60)+0)+1,6)</f>
        <v>6</v>
      </c>
      <c r="Y60" s="4" t="str">
        <f t="shared" ca="1" si="3"/>
        <v>F</v>
      </c>
    </row>
    <row r="61" spans="2:25" x14ac:dyDescent="0.2">
      <c r="B61" s="4" t="s">
        <v>74</v>
      </c>
      <c r="C61" s="4">
        <v>0.3892708311063463</v>
      </c>
      <c r="D61" s="4" t="s">
        <v>36</v>
      </c>
      <c r="E61" s="4" t="s">
        <v>20</v>
      </c>
      <c r="P61" s="4" t="str">
        <f ca="1"/>
        <v>D</v>
      </c>
      <c r="Q61" s="79" cm="1">
        <f t="array" aca="1" ref="Q61:V61" ca="1">INDIRECT(P61)</f>
        <v>0</v>
      </c>
      <c r="R61" s="79">
        <f ca="1"/>
        <v>0</v>
      </c>
      <c r="S61" s="79">
        <f ca="1"/>
        <v>0.1</v>
      </c>
      <c r="T61" s="79">
        <f ca="1"/>
        <v>0.5</v>
      </c>
      <c r="U61" s="79">
        <f ca="1"/>
        <v>0.85</v>
      </c>
      <c r="V61" s="79">
        <f ca="1"/>
        <v>1</v>
      </c>
      <c r="W61" s="78">
        <f t="shared" ca="1" si="8"/>
        <v>0.74102474013759667</v>
      </c>
      <c r="X61" s="4" cm="1">
        <f t="array" aca="1" ref="X61" ca="1">MIN(SUM((Q61:V61&lt;W61)+0)+1,6)</f>
        <v>5</v>
      </c>
      <c r="Y61" s="4" t="str">
        <f t="shared" ca="1" si="3"/>
        <v>E</v>
      </c>
    </row>
    <row r="62" spans="2:25" x14ac:dyDescent="0.2">
      <c r="B62" s="4" t="s">
        <v>73</v>
      </c>
      <c r="C62" s="4">
        <v>0.87159427427051139</v>
      </c>
      <c r="D62" s="4" t="s">
        <v>31</v>
      </c>
      <c r="E62" s="4" t="s">
        <v>27</v>
      </c>
      <c r="P62" s="4" t="str">
        <f ca="1"/>
        <v>F</v>
      </c>
      <c r="Q62" s="79" cm="1">
        <f t="array" aca="1" ref="Q62:V62" ca="1">INDIRECT(P62)</f>
        <v>0</v>
      </c>
      <c r="R62" s="79">
        <f ca="1"/>
        <v>0</v>
      </c>
      <c r="S62" s="79">
        <f ca="1"/>
        <v>0</v>
      </c>
      <c r="T62" s="79">
        <f ca="1"/>
        <v>0</v>
      </c>
      <c r="U62" s="79">
        <f ca="1"/>
        <v>0</v>
      </c>
      <c r="V62" s="79">
        <f ca="1"/>
        <v>0</v>
      </c>
      <c r="W62" s="78">
        <f t="shared" ca="1" si="8"/>
        <v>0.96523431924360348</v>
      </c>
      <c r="X62" s="4" cm="1">
        <f t="array" aca="1" ref="X62" ca="1">MIN(SUM((Q62:V62&lt;W62)+0)+1,6)</f>
        <v>6</v>
      </c>
      <c r="Y62" s="4" t="str">
        <f t="shared" ca="1" si="3"/>
        <v>F</v>
      </c>
    </row>
    <row r="63" spans="2:25" x14ac:dyDescent="0.2">
      <c r="B63" s="4" t="s">
        <v>72</v>
      </c>
      <c r="C63" s="4">
        <v>0.76945535483045513</v>
      </c>
      <c r="D63" s="4" t="s">
        <v>20</v>
      </c>
      <c r="E63" s="4" t="s">
        <v>31</v>
      </c>
      <c r="P63" s="4" t="str">
        <f ca="1"/>
        <v>E</v>
      </c>
      <c r="Q63" s="79" cm="1">
        <f t="array" aca="1" ref="Q63:V63" ca="1">INDIRECT(P63)</f>
        <v>0</v>
      </c>
      <c r="R63" s="79">
        <f ca="1"/>
        <v>0</v>
      </c>
      <c r="S63" s="79">
        <f ca="1"/>
        <v>0</v>
      </c>
      <c r="T63" s="79">
        <f ca="1"/>
        <v>0.12</v>
      </c>
      <c r="U63" s="79">
        <f ca="1"/>
        <v>0.36</v>
      </c>
      <c r="V63" s="79">
        <f ca="1"/>
        <v>1</v>
      </c>
      <c r="W63" s="78">
        <f t="shared" ca="1" si="8"/>
        <v>0.7372817508854107</v>
      </c>
      <c r="X63" s="4" cm="1">
        <f t="array" aca="1" ref="X63" ca="1">MIN(SUM((Q63:V63&lt;W63)+0)+1,6)</f>
        <v>6</v>
      </c>
      <c r="Y63" s="4" t="str">
        <f t="shared" ca="1" si="3"/>
        <v>F</v>
      </c>
    </row>
    <row r="64" spans="2:25" x14ac:dyDescent="0.2">
      <c r="B64" s="4" t="s">
        <v>71</v>
      </c>
      <c r="C64" s="4">
        <v>0.26480621363728485</v>
      </c>
      <c r="D64" s="4" t="s">
        <v>36</v>
      </c>
      <c r="E64" s="4" t="s">
        <v>261</v>
      </c>
      <c r="P64" s="4" t="str">
        <f ca="1"/>
        <v>C_</v>
      </c>
      <c r="Q64" s="79" cm="1">
        <f t="array" aca="1" ref="Q64:V64" ca="1">INDIRECT(P64)</f>
        <v>0</v>
      </c>
      <c r="R64" s="79">
        <f ca="1"/>
        <v>9.5238095238095233E-2</v>
      </c>
      <c r="S64" s="79">
        <f ca="1"/>
        <v>0.2857142857142857</v>
      </c>
      <c r="T64" s="79">
        <f ca="1"/>
        <v>0.71428571428571419</v>
      </c>
      <c r="U64" s="79">
        <f ca="1"/>
        <v>0.99999999999999989</v>
      </c>
      <c r="V64" s="79">
        <f ca="1"/>
        <v>0.99999999999999989</v>
      </c>
      <c r="W64" s="78">
        <f t="shared" ca="1" si="8"/>
        <v>0.10020086476341372</v>
      </c>
      <c r="X64" s="4" cm="1">
        <f t="array" aca="1" ref="X64" ca="1">MIN(SUM((Q64:V64&lt;W64)+0)+1,6)</f>
        <v>3</v>
      </c>
      <c r="Y64" s="4" t="str">
        <f t="shared" ca="1" si="3"/>
        <v>C_</v>
      </c>
    </row>
    <row r="65" spans="2:25" x14ac:dyDescent="0.2">
      <c r="B65" s="4" t="s">
        <v>70</v>
      </c>
      <c r="C65" s="4">
        <v>0.32324350412310388</v>
      </c>
      <c r="D65" s="4" t="s">
        <v>36</v>
      </c>
      <c r="E65" s="4" t="s">
        <v>20</v>
      </c>
      <c r="P65" s="4" t="str">
        <f ca="1"/>
        <v>D</v>
      </c>
      <c r="Q65" s="79" cm="1">
        <f t="array" aca="1" ref="Q65:V65" ca="1">INDIRECT(P65)</f>
        <v>0</v>
      </c>
      <c r="R65" s="79">
        <f ca="1"/>
        <v>0</v>
      </c>
      <c r="S65" s="79">
        <f ca="1"/>
        <v>0.1</v>
      </c>
      <c r="T65" s="79">
        <f ca="1"/>
        <v>0.5</v>
      </c>
      <c r="U65" s="79">
        <f ca="1"/>
        <v>0.85</v>
      </c>
      <c r="V65" s="79">
        <f ca="1"/>
        <v>1</v>
      </c>
      <c r="W65" s="78">
        <f t="shared" ca="1" si="8"/>
        <v>0.20202224459221285</v>
      </c>
      <c r="X65" s="4" cm="1">
        <f t="array" aca="1" ref="X65" ca="1">MIN(SUM((Q65:V65&lt;W65)+0)+1,6)</f>
        <v>4</v>
      </c>
      <c r="Y65" s="4" t="str">
        <f t="shared" ca="1" si="3"/>
        <v>D</v>
      </c>
    </row>
    <row r="66" spans="2:25" x14ac:dyDescent="0.2">
      <c r="B66" s="4" t="s">
        <v>69</v>
      </c>
      <c r="C66" s="4">
        <v>0.15627153384850234</v>
      </c>
      <c r="D66" s="4" t="s">
        <v>23</v>
      </c>
      <c r="E66" s="4" t="s">
        <v>261</v>
      </c>
      <c r="P66" s="4" t="str">
        <f ca="1"/>
        <v>C_</v>
      </c>
      <c r="Q66" s="79" cm="1">
        <f t="array" aca="1" ref="Q66:V66" ca="1">INDIRECT(P66)</f>
        <v>0</v>
      </c>
      <c r="R66" s="79">
        <f ca="1"/>
        <v>9.5238095238095233E-2</v>
      </c>
      <c r="S66" s="79">
        <f ca="1"/>
        <v>0.2857142857142857</v>
      </c>
      <c r="T66" s="79">
        <f ca="1"/>
        <v>0.71428571428571419</v>
      </c>
      <c r="U66" s="79">
        <f ca="1"/>
        <v>0.99999999999999989</v>
      </c>
      <c r="V66" s="79">
        <f ca="1"/>
        <v>0.99999999999999989</v>
      </c>
      <c r="W66" s="78">
        <f t="shared" ca="1" si="8"/>
        <v>0.26187643558142903</v>
      </c>
      <c r="X66" s="4" cm="1">
        <f t="array" aca="1" ref="X66" ca="1">MIN(SUM((Q66:V66&lt;W66)+0)+1,6)</f>
        <v>3</v>
      </c>
      <c r="Y66" s="4" t="str">
        <f t="shared" ca="1" si="3"/>
        <v>C_</v>
      </c>
    </row>
    <row r="67" spans="2:25" x14ac:dyDescent="0.2">
      <c r="B67" s="4" t="s">
        <v>68</v>
      </c>
      <c r="C67" s="4">
        <v>0.89680710594891</v>
      </c>
      <c r="D67" s="4" t="s">
        <v>31</v>
      </c>
      <c r="E67" s="4" t="s">
        <v>27</v>
      </c>
      <c r="P67" s="4" t="str">
        <f ca="1"/>
        <v>F</v>
      </c>
      <c r="Q67" s="79" cm="1">
        <f t="array" aca="1" ref="Q67:V67" ca="1">INDIRECT(P67)</f>
        <v>0</v>
      </c>
      <c r="R67" s="79">
        <f ca="1"/>
        <v>0</v>
      </c>
      <c r="S67" s="79">
        <f ca="1"/>
        <v>0</v>
      </c>
      <c r="T67" s="79">
        <f ca="1"/>
        <v>0</v>
      </c>
      <c r="U67" s="79">
        <f ca="1"/>
        <v>0</v>
      </c>
      <c r="V67" s="79">
        <f ca="1"/>
        <v>0</v>
      </c>
      <c r="W67" s="78">
        <f t="shared" ca="1" si="8"/>
        <v>0.7219926186212352</v>
      </c>
      <c r="X67" s="4" cm="1">
        <f t="array" aca="1" ref="X67" ca="1">MIN(SUM((Q67:V67&lt;W67)+0)+1,6)</f>
        <v>6</v>
      </c>
      <c r="Y67" s="4" t="str">
        <f t="shared" ca="1" si="3"/>
        <v>F</v>
      </c>
    </row>
    <row r="68" spans="2:25" x14ac:dyDescent="0.2">
      <c r="B68" s="4" t="s">
        <v>67</v>
      </c>
      <c r="C68" s="4">
        <v>0.54385095261031646</v>
      </c>
      <c r="D68" s="4" t="s">
        <v>21</v>
      </c>
      <c r="E68" s="4" t="s">
        <v>20</v>
      </c>
      <c r="P68" s="4" t="str">
        <f ca="1"/>
        <v>D</v>
      </c>
      <c r="Q68" s="79" cm="1">
        <f t="array" aca="1" ref="Q68:V68" ca="1">INDIRECT(P68)</f>
        <v>0</v>
      </c>
      <c r="R68" s="79">
        <f ca="1"/>
        <v>0</v>
      </c>
      <c r="S68" s="79">
        <f ca="1"/>
        <v>0.1</v>
      </c>
      <c r="T68" s="79">
        <f ca="1"/>
        <v>0.5</v>
      </c>
      <c r="U68" s="79">
        <f ca="1"/>
        <v>0.85</v>
      </c>
      <c r="V68" s="79">
        <f ca="1"/>
        <v>1</v>
      </c>
      <c r="W68" s="78">
        <f t="shared" ca="1" si="8"/>
        <v>4.5739568505950956E-2</v>
      </c>
      <c r="X68" s="4" cm="1">
        <f t="array" aca="1" ref="X68" ca="1">MIN(SUM((Q68:V68&lt;W68)+0)+1,6)</f>
        <v>3</v>
      </c>
      <c r="Y68" s="4" t="str">
        <f t="shared" ca="1" si="3"/>
        <v>C_</v>
      </c>
    </row>
    <row r="69" spans="2:25" x14ac:dyDescent="0.2">
      <c r="B69" s="4" t="s">
        <v>66</v>
      </c>
      <c r="C69" s="4">
        <v>0.28179185236382631</v>
      </c>
      <c r="D69" s="4" t="s">
        <v>36</v>
      </c>
      <c r="E69" s="4" t="s">
        <v>36</v>
      </c>
      <c r="P69" s="4" t="str">
        <f ca="1"/>
        <v>B</v>
      </c>
      <c r="Q69" s="79" cm="1">
        <f t="array" aca="1" ref="Q69:V69" ca="1">INDIRECT(P69)</f>
        <v>9.5238095238095233E-2</v>
      </c>
      <c r="R69" s="79">
        <f ca="1"/>
        <v>0.61904761904761907</v>
      </c>
      <c r="S69" s="79">
        <f ca="1"/>
        <v>0.90476190476190477</v>
      </c>
      <c r="T69" s="79">
        <f ca="1"/>
        <v>1</v>
      </c>
      <c r="U69" s="79">
        <f ca="1"/>
        <v>1</v>
      </c>
      <c r="V69" s="79">
        <f ca="1"/>
        <v>1</v>
      </c>
      <c r="W69" s="78">
        <f t="shared" ca="1" si="8"/>
        <v>0.21503996261636116</v>
      </c>
      <c r="X69" s="4" cm="1">
        <f t="array" aca="1" ref="X69" ca="1">MIN(SUM((Q69:V69&lt;W69)+0)+1,6)</f>
        <v>2</v>
      </c>
      <c r="Y69" s="4" t="str">
        <f t="shared" ca="1" si="3"/>
        <v>B</v>
      </c>
    </row>
    <row r="70" spans="2:25" x14ac:dyDescent="0.2">
      <c r="B70" s="4" t="s">
        <v>65</v>
      </c>
      <c r="C70" s="4">
        <v>0.8451739188641425</v>
      </c>
      <c r="D70" s="4" t="s">
        <v>31</v>
      </c>
      <c r="E70" s="4" t="s">
        <v>27</v>
      </c>
      <c r="P70" s="4" t="str">
        <f ca="1"/>
        <v>F</v>
      </c>
      <c r="Q70" s="79" cm="1">
        <f t="array" aca="1" ref="Q70:V70" ca="1">INDIRECT(P70)</f>
        <v>0</v>
      </c>
      <c r="R70" s="79">
        <f ca="1"/>
        <v>0</v>
      </c>
      <c r="S70" s="79">
        <f ca="1"/>
        <v>0</v>
      </c>
      <c r="T70" s="79">
        <f ca="1"/>
        <v>0</v>
      </c>
      <c r="U70" s="79">
        <f ca="1"/>
        <v>0</v>
      </c>
      <c r="V70" s="79">
        <f ca="1"/>
        <v>0</v>
      </c>
      <c r="W70" s="78">
        <f t="shared" ca="1" si="8"/>
        <v>0.70439683376606887</v>
      </c>
      <c r="X70" s="4" cm="1">
        <f t="array" aca="1" ref="X70" ca="1">MIN(SUM((Q70:V70&lt;W70)+0)+1,6)</f>
        <v>6</v>
      </c>
      <c r="Y70" s="4" t="str">
        <f t="shared" ca="1" si="3"/>
        <v>F</v>
      </c>
    </row>
    <row r="71" spans="2:25" x14ac:dyDescent="0.2">
      <c r="B71" s="4" t="s">
        <v>64</v>
      </c>
      <c r="C71" s="4">
        <v>0.27090936711256719</v>
      </c>
      <c r="D71" s="4" t="s">
        <v>36</v>
      </c>
      <c r="E71" s="4" t="s">
        <v>261</v>
      </c>
      <c r="P71" s="4" t="str">
        <f ca="1"/>
        <v>C_</v>
      </c>
      <c r="Q71" s="79" cm="1">
        <f t="array" aca="1" ref="Q71:V71" ca="1">INDIRECT(P71)</f>
        <v>0</v>
      </c>
      <c r="R71" s="79">
        <f ca="1"/>
        <v>9.5238095238095233E-2</v>
      </c>
      <c r="S71" s="79">
        <f ca="1"/>
        <v>0.2857142857142857</v>
      </c>
      <c r="T71" s="79">
        <f ca="1"/>
        <v>0.71428571428571419</v>
      </c>
      <c r="U71" s="79">
        <f ca="1"/>
        <v>0.99999999999999989</v>
      </c>
      <c r="V71" s="79">
        <f ca="1"/>
        <v>0.99999999999999989</v>
      </c>
      <c r="W71" s="78">
        <f t="shared" ca="1" si="8"/>
        <v>0.63300083666135132</v>
      </c>
      <c r="X71" s="4" cm="1">
        <f t="array" aca="1" ref="X71" ca="1">MIN(SUM((Q71:V71&lt;W71)+0)+1,6)</f>
        <v>4</v>
      </c>
      <c r="Y71" s="4" t="str">
        <f t="shared" ca="1" si="3"/>
        <v>D</v>
      </c>
    </row>
    <row r="72" spans="2:25" x14ac:dyDescent="0.2">
      <c r="B72" s="4" t="s">
        <v>63</v>
      </c>
      <c r="C72" s="4">
        <v>0.49441714721295671</v>
      </c>
      <c r="D72" s="4" t="s">
        <v>21</v>
      </c>
      <c r="E72" s="4" t="s">
        <v>261</v>
      </c>
      <c r="P72" s="4" t="str">
        <f ca="1"/>
        <v>C_</v>
      </c>
      <c r="Q72" s="79" cm="1">
        <f t="array" aca="1" ref="Q72:V72" ca="1">INDIRECT(P72)</f>
        <v>0</v>
      </c>
      <c r="R72" s="79">
        <f ca="1"/>
        <v>9.5238095238095233E-2</v>
      </c>
      <c r="S72" s="79">
        <f ca="1"/>
        <v>0.2857142857142857</v>
      </c>
      <c r="T72" s="79">
        <f ca="1"/>
        <v>0.71428571428571419</v>
      </c>
      <c r="U72" s="79">
        <f ca="1"/>
        <v>0.99999999999999989</v>
      </c>
      <c r="V72" s="79">
        <f ca="1"/>
        <v>0.99999999999999989</v>
      </c>
      <c r="W72" s="78">
        <f t="shared" ca="1" si="8"/>
        <v>0.77342274843484105</v>
      </c>
      <c r="X72" s="4" cm="1">
        <f t="array" aca="1" ref="X72" ca="1">MIN(SUM((Q72:V72&lt;W72)+0)+1,6)</f>
        <v>5</v>
      </c>
      <c r="Y72" s="4" t="str">
        <f t="shared" ca="1" si="3"/>
        <v>E</v>
      </c>
    </row>
    <row r="73" spans="2:25" x14ac:dyDescent="0.2">
      <c r="B73" s="4" t="s">
        <v>62</v>
      </c>
      <c r="C73" s="4">
        <v>0.26694834177577897</v>
      </c>
      <c r="D73" s="4" t="s">
        <v>36</v>
      </c>
      <c r="E73" s="4" t="s">
        <v>36</v>
      </c>
      <c r="P73" s="4" t="str">
        <f ca="1"/>
        <v>B</v>
      </c>
      <c r="Q73" s="79" cm="1">
        <f t="array" aca="1" ref="Q73:V73" ca="1">INDIRECT(P73)</f>
        <v>9.5238095238095233E-2</v>
      </c>
      <c r="R73" s="79">
        <f ca="1"/>
        <v>0.61904761904761907</v>
      </c>
      <c r="S73" s="79">
        <f ca="1"/>
        <v>0.90476190476190477</v>
      </c>
      <c r="T73" s="79">
        <f ca="1"/>
        <v>1</v>
      </c>
      <c r="U73" s="79">
        <f ca="1"/>
        <v>1</v>
      </c>
      <c r="V73" s="79">
        <f ca="1"/>
        <v>1</v>
      </c>
      <c r="W73" s="78">
        <f t="shared" ca="1" si="8"/>
        <v>0.26006062453296142</v>
      </c>
      <c r="X73" s="4" cm="1">
        <f t="array" aca="1" ref="X73" ca="1">MIN(SUM((Q73:V73&lt;W73)+0)+1,6)</f>
        <v>2</v>
      </c>
      <c r="Y73" s="4" t="str">
        <f t="shared" ca="1" si="3"/>
        <v>B</v>
      </c>
    </row>
    <row r="74" spans="2:25" x14ac:dyDescent="0.2">
      <c r="B74" s="4" t="s">
        <v>61</v>
      </c>
      <c r="C74" s="4">
        <v>0.18641457449884424</v>
      </c>
      <c r="D74" s="4" t="s">
        <v>23</v>
      </c>
      <c r="E74" s="4" t="s">
        <v>36</v>
      </c>
      <c r="P74" s="4" t="str">
        <f ca="1"/>
        <v>B</v>
      </c>
      <c r="Q74" s="79" cm="1">
        <f t="array" aca="1" ref="Q74:V74" ca="1">INDIRECT(P74)</f>
        <v>9.5238095238095233E-2</v>
      </c>
      <c r="R74" s="79">
        <f ca="1"/>
        <v>0.61904761904761907</v>
      </c>
      <c r="S74" s="79">
        <f ca="1"/>
        <v>0.90476190476190477</v>
      </c>
      <c r="T74" s="79">
        <f ca="1"/>
        <v>1</v>
      </c>
      <c r="U74" s="79">
        <f ca="1"/>
        <v>1</v>
      </c>
      <c r="V74" s="79">
        <f ca="1"/>
        <v>1</v>
      </c>
      <c r="W74" s="78">
        <f t="shared" ca="1" si="8"/>
        <v>0.32950376124956837</v>
      </c>
      <c r="X74" s="4" cm="1">
        <f t="array" aca="1" ref="X74" ca="1">MIN(SUM((Q74:V74&lt;W74)+0)+1,6)</f>
        <v>2</v>
      </c>
      <c r="Y74" s="4" t="str">
        <f t="shared" ca="1" si="3"/>
        <v>B</v>
      </c>
    </row>
    <row r="75" spans="2:25" x14ac:dyDescent="0.2">
      <c r="B75" s="4" t="s">
        <v>60</v>
      </c>
      <c r="C75" s="4">
        <v>0.63893952539851484</v>
      </c>
      <c r="D75" s="4" t="s">
        <v>20</v>
      </c>
      <c r="E75" s="4" t="s">
        <v>261</v>
      </c>
      <c r="P75" s="4" t="str">
        <f ca="1"/>
        <v>C_</v>
      </c>
      <c r="Q75" s="79" cm="1">
        <f t="array" aca="1" ref="Q75:V75" ca="1">INDIRECT(P75)</f>
        <v>0</v>
      </c>
      <c r="R75" s="79">
        <f ca="1"/>
        <v>9.5238095238095233E-2</v>
      </c>
      <c r="S75" s="79">
        <f ca="1"/>
        <v>0.2857142857142857</v>
      </c>
      <c r="T75" s="79">
        <f ca="1"/>
        <v>0.71428571428571419</v>
      </c>
      <c r="U75" s="79">
        <f ca="1"/>
        <v>0.99999999999999989</v>
      </c>
      <c r="V75" s="79">
        <f ca="1"/>
        <v>0.99999999999999989</v>
      </c>
      <c r="W75" s="78">
        <f t="shared" ca="1" si="8"/>
        <v>3.1091671784048924E-2</v>
      </c>
      <c r="X75" s="4" cm="1">
        <f t="array" aca="1" ref="X75" ca="1">MIN(SUM((Q75:V75&lt;W75)+0)+1,6)</f>
        <v>2</v>
      </c>
      <c r="Y75" s="4" t="str">
        <f t="shared" ref="Y75:Y109" ca="1" si="11">OFFSET($H$9,0,X75)</f>
        <v>B</v>
      </c>
    </row>
    <row r="76" spans="2:25" x14ac:dyDescent="0.2">
      <c r="B76" s="4" t="s">
        <v>59</v>
      </c>
      <c r="C76" s="4">
        <v>0.71676697075327966</v>
      </c>
      <c r="D76" s="4" t="s">
        <v>20</v>
      </c>
      <c r="E76" s="4" t="s">
        <v>20</v>
      </c>
      <c r="P76" s="4" t="str">
        <f ca="1"/>
        <v>D</v>
      </c>
      <c r="Q76" s="79" cm="1">
        <f t="array" aca="1" ref="Q76:V76" ca="1">INDIRECT(P76)</f>
        <v>0</v>
      </c>
      <c r="R76" s="79">
        <f ca="1"/>
        <v>0</v>
      </c>
      <c r="S76" s="79">
        <f ca="1"/>
        <v>0.1</v>
      </c>
      <c r="T76" s="79">
        <f ca="1"/>
        <v>0.5</v>
      </c>
      <c r="U76" s="79">
        <f ca="1"/>
        <v>0.85</v>
      </c>
      <c r="V76" s="79">
        <f ca="1"/>
        <v>1</v>
      </c>
      <c r="W76" s="78">
        <f t="shared" ca="1" si="8"/>
        <v>0.62811342399785697</v>
      </c>
      <c r="X76" s="4" cm="1">
        <f t="array" aca="1" ref="X76" ca="1">MIN(SUM((Q76:V76&lt;W76)+0)+1,6)</f>
        <v>5</v>
      </c>
      <c r="Y76" s="4" t="str">
        <f t="shared" ca="1" si="11"/>
        <v>E</v>
      </c>
    </row>
    <row r="77" spans="2:25" x14ac:dyDescent="0.2">
      <c r="B77" s="4" t="s">
        <v>58</v>
      </c>
      <c r="C77" s="4">
        <v>0.44150564930995051</v>
      </c>
      <c r="D77" s="4" t="s">
        <v>21</v>
      </c>
      <c r="E77" s="4" t="s">
        <v>20</v>
      </c>
      <c r="P77" s="4" t="str">
        <f ca="1"/>
        <v>D</v>
      </c>
      <c r="Q77" s="79" cm="1">
        <f t="array" aca="1" ref="Q77:V77" ca="1">INDIRECT(P77)</f>
        <v>0</v>
      </c>
      <c r="R77" s="79">
        <f ca="1"/>
        <v>0</v>
      </c>
      <c r="S77" s="79">
        <f ca="1"/>
        <v>0.1</v>
      </c>
      <c r="T77" s="79">
        <f ca="1"/>
        <v>0.5</v>
      </c>
      <c r="U77" s="79">
        <f ca="1"/>
        <v>0.85</v>
      </c>
      <c r="V77" s="79">
        <f ca="1"/>
        <v>1</v>
      </c>
      <c r="W77" s="78">
        <f t="shared" ca="1" si="8"/>
        <v>0.25979207862300369</v>
      </c>
      <c r="X77" s="4" cm="1">
        <f t="array" aca="1" ref="X77" ca="1">MIN(SUM((Q77:V77&lt;W77)+0)+1,6)</f>
        <v>4</v>
      </c>
      <c r="Y77" s="4" t="str">
        <f t="shared" ca="1" si="11"/>
        <v>D</v>
      </c>
    </row>
    <row r="78" spans="2:25" x14ac:dyDescent="0.2">
      <c r="B78" s="4" t="s">
        <v>57</v>
      </c>
      <c r="C78" s="4">
        <v>0.20931085094305968</v>
      </c>
      <c r="D78" s="4" t="s">
        <v>36</v>
      </c>
      <c r="E78" s="4" t="s">
        <v>23</v>
      </c>
      <c r="P78" s="4" t="str">
        <f ca="1"/>
        <v>A</v>
      </c>
      <c r="Q78" s="79" cm="1">
        <f t="array" aca="1" ref="Q78:V78" ca="1">INDIRECT(P78)</f>
        <v>0.53846153846153844</v>
      </c>
      <c r="R78" s="79">
        <f ca="1"/>
        <v>0.84615384615384615</v>
      </c>
      <c r="S78" s="79">
        <f ca="1"/>
        <v>1</v>
      </c>
      <c r="T78" s="79">
        <f ca="1"/>
        <v>1</v>
      </c>
      <c r="U78" s="79">
        <f ca="1"/>
        <v>1</v>
      </c>
      <c r="V78" s="79">
        <f ca="1"/>
        <v>1</v>
      </c>
      <c r="W78" s="78">
        <f t="shared" ca="1" si="8"/>
        <v>0.14072503501432221</v>
      </c>
      <c r="X78" s="4" cm="1">
        <f t="array" aca="1" ref="X78" ca="1">MIN(SUM((Q78:V78&lt;W78)+0)+1,6)</f>
        <v>1</v>
      </c>
      <c r="Y78" s="4" t="str">
        <f t="shared" ca="1" si="11"/>
        <v>A</v>
      </c>
    </row>
    <row r="79" spans="2:25" x14ac:dyDescent="0.2">
      <c r="B79" s="4" t="s">
        <v>56</v>
      </c>
      <c r="C79" s="4">
        <v>0.33312080808404332</v>
      </c>
      <c r="D79" s="4" t="s">
        <v>36</v>
      </c>
      <c r="E79" s="4" t="s">
        <v>261</v>
      </c>
      <c r="P79" s="4" t="str">
        <f ca="1"/>
        <v>C_</v>
      </c>
      <c r="Q79" s="79" cm="1">
        <f t="array" aca="1" ref="Q79:V79" ca="1">INDIRECT(P79)</f>
        <v>0</v>
      </c>
      <c r="R79" s="79">
        <f ca="1"/>
        <v>9.5238095238095233E-2</v>
      </c>
      <c r="S79" s="79">
        <f ca="1"/>
        <v>0.2857142857142857</v>
      </c>
      <c r="T79" s="79">
        <f ca="1"/>
        <v>0.71428571428571419</v>
      </c>
      <c r="U79" s="79">
        <f ca="1"/>
        <v>0.99999999999999989</v>
      </c>
      <c r="V79" s="79">
        <f ca="1"/>
        <v>0.99999999999999989</v>
      </c>
      <c r="W79" s="78">
        <f t="shared" ca="1" si="8"/>
        <v>0.96177276983027749</v>
      </c>
      <c r="X79" s="4" cm="1">
        <f t="array" aca="1" ref="X79" ca="1">MIN(SUM((Q79:V79&lt;W79)+0)+1,6)</f>
        <v>5</v>
      </c>
      <c r="Y79" s="4" t="str">
        <f t="shared" ca="1" si="11"/>
        <v>E</v>
      </c>
    </row>
    <row r="80" spans="2:25" x14ac:dyDescent="0.2">
      <c r="B80" s="4" t="s">
        <v>55</v>
      </c>
      <c r="C80" s="4">
        <v>0.4576175646538907</v>
      </c>
      <c r="D80" s="4" t="s">
        <v>21</v>
      </c>
      <c r="E80" s="4" t="s">
        <v>20</v>
      </c>
      <c r="P80" s="4" t="str">
        <f ca="1"/>
        <v>D</v>
      </c>
      <c r="Q80" s="79" cm="1">
        <f t="array" aca="1" ref="Q80:V80" ca="1">INDIRECT(P80)</f>
        <v>0</v>
      </c>
      <c r="R80" s="79">
        <f ca="1"/>
        <v>0</v>
      </c>
      <c r="S80" s="79">
        <f ca="1"/>
        <v>0.1</v>
      </c>
      <c r="T80" s="79">
        <f ca="1"/>
        <v>0.5</v>
      </c>
      <c r="U80" s="79">
        <f ca="1"/>
        <v>0.85</v>
      </c>
      <c r="V80" s="79">
        <f ca="1"/>
        <v>1</v>
      </c>
      <c r="W80" s="78">
        <f t="shared" ca="1" si="8"/>
        <v>0.45454028586428696</v>
      </c>
      <c r="X80" s="4" cm="1">
        <f t="array" aca="1" ref="X80" ca="1">MIN(SUM((Q80:V80&lt;W80)+0)+1,6)</f>
        <v>4</v>
      </c>
      <c r="Y80" s="4" t="str">
        <f t="shared" ca="1" si="11"/>
        <v>D</v>
      </c>
    </row>
    <row r="81" spans="2:25" x14ac:dyDescent="0.2">
      <c r="B81" s="4" t="s">
        <v>54</v>
      </c>
      <c r="C81" s="4">
        <v>0.98714157385309476</v>
      </c>
      <c r="D81" s="4" t="s">
        <v>31</v>
      </c>
      <c r="E81" s="4" t="s">
        <v>27</v>
      </c>
      <c r="P81" s="4" t="str">
        <f ca="1"/>
        <v>F</v>
      </c>
      <c r="Q81" s="79" cm="1">
        <f t="array" aca="1" ref="Q81:V81" ca="1">INDIRECT(P81)</f>
        <v>0</v>
      </c>
      <c r="R81" s="79">
        <f ca="1"/>
        <v>0</v>
      </c>
      <c r="S81" s="79">
        <f ca="1"/>
        <v>0</v>
      </c>
      <c r="T81" s="79">
        <f ca="1"/>
        <v>0</v>
      </c>
      <c r="U81" s="79">
        <f ca="1"/>
        <v>0</v>
      </c>
      <c r="V81" s="79">
        <f ca="1"/>
        <v>0</v>
      </c>
      <c r="W81" s="78">
        <f t="shared" ca="1" si="8"/>
        <v>0.62069656038425947</v>
      </c>
      <c r="X81" s="4" cm="1">
        <f t="array" aca="1" ref="X81" ca="1">MIN(SUM((Q81:V81&lt;W81)+0)+1,6)</f>
        <v>6</v>
      </c>
      <c r="Y81" s="4" t="str">
        <f t="shared" ca="1" si="11"/>
        <v>F</v>
      </c>
    </row>
    <row r="82" spans="2:25" x14ac:dyDescent="0.2">
      <c r="B82" s="4" t="s">
        <v>53</v>
      </c>
      <c r="C82" s="4">
        <v>0.10380078292225448</v>
      </c>
      <c r="D82" s="4" t="s">
        <v>23</v>
      </c>
      <c r="E82" s="4" t="s">
        <v>36</v>
      </c>
      <c r="P82" s="4" t="str">
        <f ca="1"/>
        <v>B</v>
      </c>
      <c r="Q82" s="79" cm="1">
        <f t="array" aca="1" ref="Q82:V82" ca="1">INDIRECT(P82)</f>
        <v>9.5238095238095233E-2</v>
      </c>
      <c r="R82" s="79">
        <f ca="1"/>
        <v>0.61904761904761907</v>
      </c>
      <c r="S82" s="79">
        <f ca="1"/>
        <v>0.90476190476190477</v>
      </c>
      <c r="T82" s="79">
        <f ca="1"/>
        <v>1</v>
      </c>
      <c r="U82" s="79">
        <f ca="1"/>
        <v>1</v>
      </c>
      <c r="V82" s="79">
        <f ca="1"/>
        <v>1</v>
      </c>
      <c r="W82" s="78">
        <f t="shared" ca="1" si="8"/>
        <v>0.82333394416386063</v>
      </c>
      <c r="X82" s="4" cm="1">
        <f t="array" aca="1" ref="X82" ca="1">MIN(SUM((Q82:V82&lt;W82)+0)+1,6)</f>
        <v>3</v>
      </c>
      <c r="Y82" s="4" t="str">
        <f t="shared" ca="1" si="11"/>
        <v>C_</v>
      </c>
    </row>
    <row r="83" spans="2:25" x14ac:dyDescent="0.2">
      <c r="B83" s="4" t="s">
        <v>52</v>
      </c>
      <c r="C83" s="4">
        <v>6.2017494817444563E-2</v>
      </c>
      <c r="D83" s="4" t="s">
        <v>23</v>
      </c>
      <c r="E83" s="4" t="s">
        <v>23</v>
      </c>
      <c r="P83" s="4" t="str">
        <f ca="1"/>
        <v>A</v>
      </c>
      <c r="Q83" s="79" cm="1">
        <f t="array" aca="1" ref="Q83:V83" ca="1">INDIRECT(P83)</f>
        <v>0.53846153846153844</v>
      </c>
      <c r="R83" s="79">
        <f ca="1"/>
        <v>0.84615384615384615</v>
      </c>
      <c r="S83" s="79">
        <f ca="1"/>
        <v>1</v>
      </c>
      <c r="T83" s="79">
        <f ca="1"/>
        <v>1</v>
      </c>
      <c r="U83" s="79">
        <f ca="1"/>
        <v>1</v>
      </c>
      <c r="V83" s="79">
        <f ca="1"/>
        <v>1</v>
      </c>
      <c r="W83" s="78">
        <f t="shared" ca="1" si="8"/>
        <v>0.23063176132783669</v>
      </c>
      <c r="X83" s="4" cm="1">
        <f t="array" aca="1" ref="X83" ca="1">MIN(SUM((Q83:V83&lt;W83)+0)+1,6)</f>
        <v>1</v>
      </c>
      <c r="Y83" s="4" t="str">
        <f t="shared" ca="1" si="11"/>
        <v>A</v>
      </c>
    </row>
    <row r="84" spans="2:25" x14ac:dyDescent="0.2">
      <c r="B84" s="4" t="s">
        <v>51</v>
      </c>
      <c r="C84" s="4">
        <v>0.78450070831783014</v>
      </c>
      <c r="D84" s="4" t="s">
        <v>20</v>
      </c>
      <c r="E84" s="4" t="s">
        <v>20</v>
      </c>
      <c r="P84" s="4" t="str">
        <f ca="1"/>
        <v>D</v>
      </c>
      <c r="Q84" s="79" cm="1">
        <f t="array" aca="1" ref="Q84:V84" ca="1">INDIRECT(P84)</f>
        <v>0</v>
      </c>
      <c r="R84" s="79">
        <f ca="1"/>
        <v>0</v>
      </c>
      <c r="S84" s="79">
        <f ca="1"/>
        <v>0.1</v>
      </c>
      <c r="T84" s="79">
        <f ca="1"/>
        <v>0.5</v>
      </c>
      <c r="U84" s="79">
        <f ca="1"/>
        <v>0.85</v>
      </c>
      <c r="V84" s="79">
        <f ca="1"/>
        <v>1</v>
      </c>
      <c r="W84" s="78">
        <f t="shared" ref="W84:W109" ca="1" si="12">RAND()</f>
        <v>0.50810280155024135</v>
      </c>
      <c r="X84" s="4" cm="1">
        <f t="array" aca="1" ref="X84" ca="1">MIN(SUM((Q84:V84&lt;W84)+0)+1,6)</f>
        <v>5</v>
      </c>
      <c r="Y84" s="4" t="str">
        <f t="shared" ca="1" si="11"/>
        <v>E</v>
      </c>
    </row>
    <row r="85" spans="2:25" x14ac:dyDescent="0.2">
      <c r="B85" s="4" t="s">
        <v>50</v>
      </c>
      <c r="C85" s="4">
        <v>0.22724111322015161</v>
      </c>
      <c r="D85" s="4" t="s">
        <v>36</v>
      </c>
      <c r="E85" s="4" t="s">
        <v>36</v>
      </c>
      <c r="P85" s="4" t="str">
        <f ca="1"/>
        <v>B</v>
      </c>
      <c r="Q85" s="79" cm="1">
        <f t="array" aca="1" ref="Q85:V85" ca="1">INDIRECT(P85)</f>
        <v>9.5238095238095233E-2</v>
      </c>
      <c r="R85" s="79">
        <f ca="1"/>
        <v>0.61904761904761907</v>
      </c>
      <c r="S85" s="79">
        <f ca="1"/>
        <v>0.90476190476190477</v>
      </c>
      <c r="T85" s="79">
        <f ca="1"/>
        <v>1</v>
      </c>
      <c r="U85" s="79">
        <f ca="1"/>
        <v>1</v>
      </c>
      <c r="V85" s="79">
        <f ca="1"/>
        <v>1</v>
      </c>
      <c r="W85" s="78">
        <f t="shared" ca="1" si="12"/>
        <v>0.42243326436443251</v>
      </c>
      <c r="X85" s="4" cm="1">
        <f t="array" aca="1" ref="X85" ca="1">MIN(SUM((Q85:V85&lt;W85)+0)+1,6)</f>
        <v>2</v>
      </c>
      <c r="Y85" s="4" t="str">
        <f t="shared" ca="1" si="11"/>
        <v>B</v>
      </c>
    </row>
    <row r="86" spans="2:25" x14ac:dyDescent="0.2">
      <c r="B86" s="4" t="s">
        <v>49</v>
      </c>
      <c r="C86" s="4">
        <v>0.98565679401413675</v>
      </c>
      <c r="D86" s="4" t="s">
        <v>31</v>
      </c>
      <c r="E86" s="4" t="s">
        <v>27</v>
      </c>
      <c r="P86" s="4" t="str">
        <f ca="1"/>
        <v>F</v>
      </c>
      <c r="Q86" s="79" cm="1">
        <f t="array" aca="1" ref="Q86:V86" ca="1">INDIRECT(P86)</f>
        <v>0</v>
      </c>
      <c r="R86" s="79">
        <f ca="1"/>
        <v>0</v>
      </c>
      <c r="S86" s="79">
        <f ca="1"/>
        <v>0</v>
      </c>
      <c r="T86" s="79">
        <f ca="1"/>
        <v>0</v>
      </c>
      <c r="U86" s="79">
        <f ca="1"/>
        <v>0</v>
      </c>
      <c r="V86" s="79">
        <f ca="1"/>
        <v>0</v>
      </c>
      <c r="W86" s="78">
        <f t="shared" ca="1" si="12"/>
        <v>0.3775500288061806</v>
      </c>
      <c r="X86" s="4" cm="1">
        <f t="array" aca="1" ref="X86" ca="1">MIN(SUM((Q86:V86&lt;W86)+0)+1,6)</f>
        <v>6</v>
      </c>
      <c r="Y86" s="4" t="str">
        <f t="shared" ca="1" si="11"/>
        <v>F</v>
      </c>
    </row>
    <row r="87" spans="2:25" x14ac:dyDescent="0.2">
      <c r="B87" s="4" t="s">
        <v>48</v>
      </c>
      <c r="C87" s="4">
        <v>0.56165831800490862</v>
      </c>
      <c r="D87" s="4" t="s">
        <v>21</v>
      </c>
      <c r="E87" s="4" t="s">
        <v>31</v>
      </c>
      <c r="P87" s="4" t="str">
        <f ca="1"/>
        <v>E</v>
      </c>
      <c r="Q87" s="79" cm="1">
        <f t="array" aca="1" ref="Q87:V87" ca="1">INDIRECT(P87)</f>
        <v>0</v>
      </c>
      <c r="R87" s="79">
        <f ca="1"/>
        <v>0</v>
      </c>
      <c r="S87" s="79">
        <f ca="1"/>
        <v>0</v>
      </c>
      <c r="T87" s="79">
        <f ca="1"/>
        <v>0.12</v>
      </c>
      <c r="U87" s="79">
        <f ca="1"/>
        <v>0.36</v>
      </c>
      <c r="V87" s="79">
        <f ca="1"/>
        <v>1</v>
      </c>
      <c r="W87" s="78">
        <f t="shared" ca="1" si="12"/>
        <v>0.9489945664116316</v>
      </c>
      <c r="X87" s="4" cm="1">
        <f t="array" aca="1" ref="X87" ca="1">MIN(SUM((Q87:V87&lt;W87)+0)+1,6)</f>
        <v>6</v>
      </c>
      <c r="Y87" s="4" t="str">
        <f t="shared" ca="1" si="11"/>
        <v>F</v>
      </c>
    </row>
    <row r="88" spans="2:25" x14ac:dyDescent="0.2">
      <c r="B88" s="4" t="s">
        <v>47</v>
      </c>
      <c r="C88" s="4">
        <v>0.78028204907125442</v>
      </c>
      <c r="D88" s="4" t="s">
        <v>20</v>
      </c>
      <c r="E88" s="4" t="s">
        <v>31</v>
      </c>
      <c r="P88" s="4" t="str">
        <f ca="1"/>
        <v>E</v>
      </c>
      <c r="Q88" s="79" cm="1">
        <f t="array" aca="1" ref="Q88:V88" ca="1">INDIRECT(P88)</f>
        <v>0</v>
      </c>
      <c r="R88" s="79">
        <f ca="1"/>
        <v>0</v>
      </c>
      <c r="S88" s="79">
        <f ca="1"/>
        <v>0</v>
      </c>
      <c r="T88" s="79">
        <f ca="1"/>
        <v>0.12</v>
      </c>
      <c r="U88" s="79">
        <f ca="1"/>
        <v>0.36</v>
      </c>
      <c r="V88" s="79">
        <f ca="1"/>
        <v>1</v>
      </c>
      <c r="W88" s="78">
        <f t="shared" ca="1" si="12"/>
        <v>0.70055869585876096</v>
      </c>
      <c r="X88" s="4" cm="1">
        <f t="array" aca="1" ref="X88" ca="1">MIN(SUM((Q88:V88&lt;W88)+0)+1,6)</f>
        <v>6</v>
      </c>
      <c r="Y88" s="4" t="str">
        <f t="shared" ca="1" si="11"/>
        <v>F</v>
      </c>
    </row>
    <row r="89" spans="2:25" x14ac:dyDescent="0.2">
      <c r="B89" s="4" t="s">
        <v>46</v>
      </c>
      <c r="C89" s="4">
        <v>0.434984899765402</v>
      </c>
      <c r="D89" s="4" t="s">
        <v>21</v>
      </c>
      <c r="E89" s="4" t="s">
        <v>36</v>
      </c>
      <c r="P89" s="4" t="str">
        <f ca="1"/>
        <v>B</v>
      </c>
      <c r="Q89" s="79" cm="1">
        <f t="array" aca="1" ref="Q89:V89" ca="1">INDIRECT(P89)</f>
        <v>9.5238095238095233E-2</v>
      </c>
      <c r="R89" s="79">
        <f ca="1"/>
        <v>0.61904761904761907</v>
      </c>
      <c r="S89" s="79">
        <f ca="1"/>
        <v>0.90476190476190477</v>
      </c>
      <c r="T89" s="79">
        <f ca="1"/>
        <v>1</v>
      </c>
      <c r="U89" s="79">
        <f ca="1"/>
        <v>1</v>
      </c>
      <c r="V89" s="79">
        <f ca="1"/>
        <v>1</v>
      </c>
      <c r="W89" s="78">
        <f t="shared" ca="1" si="12"/>
        <v>0.55386727818635895</v>
      </c>
      <c r="X89" s="4" cm="1">
        <f t="array" aca="1" ref="X89" ca="1">MIN(SUM((Q89:V89&lt;W89)+0)+1,6)</f>
        <v>2</v>
      </c>
      <c r="Y89" s="4" t="str">
        <f t="shared" ca="1" si="11"/>
        <v>B</v>
      </c>
    </row>
    <row r="90" spans="2:25" x14ac:dyDescent="0.2">
      <c r="B90" s="4" t="s">
        <v>45</v>
      </c>
      <c r="C90" s="4">
        <v>0.83827533834394208</v>
      </c>
      <c r="D90" s="4" t="s">
        <v>31</v>
      </c>
      <c r="E90" s="4" t="s">
        <v>31</v>
      </c>
      <c r="P90" s="4" t="str">
        <f ca="1"/>
        <v>E</v>
      </c>
      <c r="Q90" s="79" cm="1">
        <f t="array" aca="1" ref="Q90:V90" ca="1">INDIRECT(P90)</f>
        <v>0</v>
      </c>
      <c r="R90" s="79">
        <f ca="1"/>
        <v>0</v>
      </c>
      <c r="S90" s="79">
        <f ca="1"/>
        <v>0</v>
      </c>
      <c r="T90" s="79">
        <f ca="1"/>
        <v>0.12</v>
      </c>
      <c r="U90" s="79">
        <f ca="1"/>
        <v>0.36</v>
      </c>
      <c r="V90" s="79">
        <f ca="1"/>
        <v>1</v>
      </c>
      <c r="W90" s="78">
        <f t="shared" ca="1" si="12"/>
        <v>0.94910747114714766</v>
      </c>
      <c r="X90" s="4" cm="1">
        <f t="array" aca="1" ref="X90" ca="1">MIN(SUM((Q90:V90&lt;W90)+0)+1,6)</f>
        <v>6</v>
      </c>
      <c r="Y90" s="4" t="str">
        <f t="shared" ca="1" si="11"/>
        <v>F</v>
      </c>
    </row>
    <row r="91" spans="2:25" x14ac:dyDescent="0.2">
      <c r="B91" s="4" t="s">
        <v>44</v>
      </c>
      <c r="C91" s="4">
        <v>0.53822666933083452</v>
      </c>
      <c r="D91" s="4" t="s">
        <v>21</v>
      </c>
      <c r="E91" s="4" t="s">
        <v>31</v>
      </c>
      <c r="P91" s="4" t="str">
        <f ca="1"/>
        <v>E</v>
      </c>
      <c r="Q91" s="79" cm="1">
        <f t="array" aca="1" ref="Q91:V91" ca="1">INDIRECT(P91)</f>
        <v>0</v>
      </c>
      <c r="R91" s="79">
        <f ca="1"/>
        <v>0</v>
      </c>
      <c r="S91" s="79">
        <f ca="1"/>
        <v>0</v>
      </c>
      <c r="T91" s="79">
        <f ca="1"/>
        <v>0.12</v>
      </c>
      <c r="U91" s="79">
        <f ca="1"/>
        <v>0.36</v>
      </c>
      <c r="V91" s="79">
        <f ca="1"/>
        <v>1</v>
      </c>
      <c r="W91" s="78">
        <f t="shared" ca="1" si="12"/>
        <v>0.39903985803837927</v>
      </c>
      <c r="X91" s="4" cm="1">
        <f t="array" aca="1" ref="X91" ca="1">MIN(SUM((Q91:V91&lt;W91)+0)+1,6)</f>
        <v>6</v>
      </c>
      <c r="Y91" s="4" t="str">
        <f t="shared" ca="1" si="11"/>
        <v>F</v>
      </c>
    </row>
    <row r="92" spans="2:25" x14ac:dyDescent="0.2">
      <c r="B92" s="4" t="s">
        <v>43</v>
      </c>
      <c r="C92" s="4">
        <v>0.78100542885218072</v>
      </c>
      <c r="D92" s="4" t="s">
        <v>20</v>
      </c>
      <c r="E92" s="4" t="s">
        <v>31</v>
      </c>
      <c r="P92" s="4" t="str">
        <f ca="1"/>
        <v>E</v>
      </c>
      <c r="Q92" s="79" cm="1">
        <f t="array" aca="1" ref="Q92:V92" ca="1">INDIRECT(P92)</f>
        <v>0</v>
      </c>
      <c r="R92" s="79">
        <f ca="1"/>
        <v>0</v>
      </c>
      <c r="S92" s="79">
        <f ca="1"/>
        <v>0</v>
      </c>
      <c r="T92" s="79">
        <f ca="1"/>
        <v>0.12</v>
      </c>
      <c r="U92" s="79">
        <f ca="1"/>
        <v>0.36</v>
      </c>
      <c r="V92" s="79">
        <f ca="1"/>
        <v>1</v>
      </c>
      <c r="W92" s="78">
        <f t="shared" ca="1" si="12"/>
        <v>0.2174901670967776</v>
      </c>
      <c r="X92" s="4" cm="1">
        <f t="array" aca="1" ref="X92" ca="1">MIN(SUM((Q92:V92&lt;W92)+0)+1,6)</f>
        <v>5</v>
      </c>
      <c r="Y92" s="4" t="str">
        <f t="shared" ca="1" si="11"/>
        <v>E</v>
      </c>
    </row>
    <row r="93" spans="2:25" x14ac:dyDescent="0.2">
      <c r="B93" s="4" t="s">
        <v>42</v>
      </c>
      <c r="C93" s="4">
        <v>0.36391068529626602</v>
      </c>
      <c r="D93" s="4" t="s">
        <v>36</v>
      </c>
      <c r="E93" s="4" t="s">
        <v>36</v>
      </c>
      <c r="P93" s="4" t="str">
        <f ca="1"/>
        <v>B</v>
      </c>
      <c r="Q93" s="79" cm="1">
        <f t="array" aca="1" ref="Q93:V93" ca="1">INDIRECT(P93)</f>
        <v>9.5238095238095233E-2</v>
      </c>
      <c r="R93" s="79">
        <f ca="1"/>
        <v>0.61904761904761907</v>
      </c>
      <c r="S93" s="79">
        <f ca="1"/>
        <v>0.90476190476190477</v>
      </c>
      <c r="T93" s="79">
        <f ca="1"/>
        <v>1</v>
      </c>
      <c r="U93" s="79">
        <f ca="1"/>
        <v>1</v>
      </c>
      <c r="V93" s="79">
        <f ca="1"/>
        <v>1</v>
      </c>
      <c r="W93" s="78">
        <f t="shared" ca="1" si="12"/>
        <v>0.3618298797289885</v>
      </c>
      <c r="X93" s="4" cm="1">
        <f t="array" aca="1" ref="X93" ca="1">MIN(SUM((Q93:V93&lt;W93)+0)+1,6)</f>
        <v>2</v>
      </c>
      <c r="Y93" s="4" t="str">
        <f t="shared" ca="1" si="11"/>
        <v>B</v>
      </c>
    </row>
    <row r="94" spans="2:25" x14ac:dyDescent="0.2">
      <c r="B94" s="4" t="s">
        <v>41</v>
      </c>
      <c r="C94" s="4">
        <v>0.87143062788127279</v>
      </c>
      <c r="D94" s="4" t="s">
        <v>31</v>
      </c>
      <c r="E94" s="4" t="s">
        <v>27</v>
      </c>
      <c r="P94" s="4" t="str">
        <f ca="1"/>
        <v>F</v>
      </c>
      <c r="Q94" s="79" cm="1">
        <f t="array" aca="1" ref="Q94:V94" ca="1">INDIRECT(P94)</f>
        <v>0</v>
      </c>
      <c r="R94" s="79">
        <f ca="1"/>
        <v>0</v>
      </c>
      <c r="S94" s="79">
        <f ca="1"/>
        <v>0</v>
      </c>
      <c r="T94" s="79">
        <f ca="1"/>
        <v>0</v>
      </c>
      <c r="U94" s="79">
        <f ca="1"/>
        <v>0</v>
      </c>
      <c r="V94" s="79">
        <f ca="1"/>
        <v>0</v>
      </c>
      <c r="W94" s="78">
        <f t="shared" ca="1" si="12"/>
        <v>0.57362619081671928</v>
      </c>
      <c r="X94" s="4" cm="1">
        <f t="array" aca="1" ref="X94" ca="1">MIN(SUM((Q94:V94&lt;W94)+0)+1,6)</f>
        <v>6</v>
      </c>
      <c r="Y94" s="4" t="str">
        <f t="shared" ca="1" si="11"/>
        <v>F</v>
      </c>
    </row>
    <row r="95" spans="2:25" x14ac:dyDescent="0.2">
      <c r="B95" s="4" t="s">
        <v>40</v>
      </c>
      <c r="C95" s="4">
        <v>0.67461747316541898</v>
      </c>
      <c r="D95" s="4" t="s">
        <v>20</v>
      </c>
      <c r="E95" s="4" t="s">
        <v>31</v>
      </c>
      <c r="P95" s="4" t="str">
        <f ca="1"/>
        <v>E</v>
      </c>
      <c r="Q95" s="79" cm="1">
        <f t="array" aca="1" ref="Q95:V95" ca="1">INDIRECT(P95)</f>
        <v>0</v>
      </c>
      <c r="R95" s="79">
        <f ca="1"/>
        <v>0</v>
      </c>
      <c r="S95" s="79">
        <f ca="1"/>
        <v>0</v>
      </c>
      <c r="T95" s="79">
        <f ca="1"/>
        <v>0.12</v>
      </c>
      <c r="U95" s="79">
        <f ca="1"/>
        <v>0.36</v>
      </c>
      <c r="V95" s="79">
        <f ca="1"/>
        <v>1</v>
      </c>
      <c r="W95" s="78">
        <f t="shared" ca="1" si="12"/>
        <v>0.46460266518139426</v>
      </c>
      <c r="X95" s="4" cm="1">
        <f t="array" aca="1" ref="X95" ca="1">MIN(SUM((Q95:V95&lt;W95)+0)+1,6)</f>
        <v>6</v>
      </c>
      <c r="Y95" s="4" t="str">
        <f t="shared" ca="1" si="11"/>
        <v>F</v>
      </c>
    </row>
    <row r="96" spans="2:25" x14ac:dyDescent="0.2">
      <c r="B96" s="4" t="s">
        <v>39</v>
      </c>
      <c r="C96" s="4">
        <v>0.190127743072105</v>
      </c>
      <c r="D96" s="4" t="s">
        <v>23</v>
      </c>
      <c r="E96" s="4" t="s">
        <v>23</v>
      </c>
      <c r="P96" s="4" t="str">
        <f ca="1"/>
        <v>A</v>
      </c>
      <c r="Q96" s="79" cm="1">
        <f t="array" aca="1" ref="Q96:V96" ca="1">INDIRECT(P96)</f>
        <v>0.53846153846153844</v>
      </c>
      <c r="R96" s="79">
        <f ca="1"/>
        <v>0.84615384615384615</v>
      </c>
      <c r="S96" s="79">
        <f ca="1"/>
        <v>1</v>
      </c>
      <c r="T96" s="79">
        <f ca="1"/>
        <v>1</v>
      </c>
      <c r="U96" s="79">
        <f ca="1"/>
        <v>1</v>
      </c>
      <c r="V96" s="79">
        <f ca="1"/>
        <v>1</v>
      </c>
      <c r="W96" s="78">
        <f t="shared" ca="1" si="12"/>
        <v>0.27562912562441078</v>
      </c>
      <c r="X96" s="4" cm="1">
        <f t="array" aca="1" ref="X96" ca="1">MIN(SUM((Q96:V96&lt;W96)+0)+1,6)</f>
        <v>1</v>
      </c>
      <c r="Y96" s="4" t="str">
        <f t="shared" ca="1" si="11"/>
        <v>A</v>
      </c>
    </row>
    <row r="97" spans="2:25" x14ac:dyDescent="0.2">
      <c r="B97" s="4" t="s">
        <v>38</v>
      </c>
      <c r="C97" s="4">
        <v>0.3015815400587385</v>
      </c>
      <c r="D97" s="4" t="s">
        <v>36</v>
      </c>
      <c r="E97" s="4" t="s">
        <v>36</v>
      </c>
      <c r="P97" s="4" t="str">
        <f ca="1"/>
        <v>B</v>
      </c>
      <c r="Q97" s="79" cm="1">
        <f t="array" aca="1" ref="Q97:V97" ca="1">INDIRECT(P97)</f>
        <v>9.5238095238095233E-2</v>
      </c>
      <c r="R97" s="79">
        <f ca="1"/>
        <v>0.61904761904761907</v>
      </c>
      <c r="S97" s="79">
        <f ca="1"/>
        <v>0.90476190476190477</v>
      </c>
      <c r="T97" s="79">
        <f ca="1"/>
        <v>1</v>
      </c>
      <c r="U97" s="79">
        <f ca="1"/>
        <v>1</v>
      </c>
      <c r="V97" s="79">
        <f ca="1"/>
        <v>1</v>
      </c>
      <c r="W97" s="78">
        <f t="shared" ca="1" si="12"/>
        <v>0.85329402555758671</v>
      </c>
      <c r="X97" s="4" cm="1">
        <f t="array" aca="1" ref="X97" ca="1">MIN(SUM((Q97:V97&lt;W97)+0)+1,6)</f>
        <v>3</v>
      </c>
      <c r="Y97" s="4" t="str">
        <f t="shared" ca="1" si="11"/>
        <v>C_</v>
      </c>
    </row>
    <row r="98" spans="2:25" x14ac:dyDescent="0.2">
      <c r="B98" s="4" t="s">
        <v>37</v>
      </c>
      <c r="C98" s="4">
        <v>0.33749567042133943</v>
      </c>
      <c r="D98" s="4" t="s">
        <v>36</v>
      </c>
      <c r="E98" s="4" t="s">
        <v>261</v>
      </c>
      <c r="P98" s="4" t="str">
        <f ca="1"/>
        <v>C_</v>
      </c>
      <c r="Q98" s="79" cm="1">
        <f t="array" aca="1" ref="Q98:V98" ca="1">INDIRECT(P98)</f>
        <v>0</v>
      </c>
      <c r="R98" s="79">
        <f ca="1"/>
        <v>9.5238095238095233E-2</v>
      </c>
      <c r="S98" s="79">
        <f ca="1"/>
        <v>0.2857142857142857</v>
      </c>
      <c r="T98" s="79">
        <f ca="1"/>
        <v>0.71428571428571419</v>
      </c>
      <c r="U98" s="79">
        <f ca="1"/>
        <v>0.99999999999999989</v>
      </c>
      <c r="V98" s="79">
        <f ca="1"/>
        <v>0.99999999999999989</v>
      </c>
      <c r="W98" s="78">
        <f t="shared" ca="1" si="12"/>
        <v>0.14031685405730709</v>
      </c>
      <c r="X98" s="4" cm="1">
        <f t="array" aca="1" ref="X98" ca="1">MIN(SUM((Q98:V98&lt;W98)+0)+1,6)</f>
        <v>3</v>
      </c>
      <c r="Y98" s="4" t="str">
        <f t="shared" ca="1" si="11"/>
        <v>C_</v>
      </c>
    </row>
    <row r="99" spans="2:25" x14ac:dyDescent="0.2">
      <c r="B99" s="4" t="s">
        <v>35</v>
      </c>
      <c r="C99" s="4">
        <v>0.41743570679011921</v>
      </c>
      <c r="D99" s="4" t="s">
        <v>21</v>
      </c>
      <c r="E99" s="4" t="s">
        <v>261</v>
      </c>
      <c r="P99" s="4" t="str">
        <f ca="1"/>
        <v>C_</v>
      </c>
      <c r="Q99" s="79" cm="1">
        <f t="array" aca="1" ref="Q99:V99" ca="1">INDIRECT(P99)</f>
        <v>0</v>
      </c>
      <c r="R99" s="79">
        <f ca="1"/>
        <v>9.5238095238095233E-2</v>
      </c>
      <c r="S99" s="79">
        <f ca="1"/>
        <v>0.2857142857142857</v>
      </c>
      <c r="T99" s="79">
        <f ca="1"/>
        <v>0.71428571428571419</v>
      </c>
      <c r="U99" s="79">
        <f ca="1"/>
        <v>0.99999999999999989</v>
      </c>
      <c r="V99" s="79">
        <f ca="1"/>
        <v>0.99999999999999989</v>
      </c>
      <c r="W99" s="78">
        <f t="shared" ca="1" si="12"/>
        <v>0.52823110691006181</v>
      </c>
      <c r="X99" s="4" cm="1">
        <f t="array" aca="1" ref="X99" ca="1">MIN(SUM((Q99:V99&lt;W99)+0)+1,6)</f>
        <v>4</v>
      </c>
      <c r="Y99" s="4" t="str">
        <f t="shared" ca="1" si="11"/>
        <v>D</v>
      </c>
    </row>
    <row r="100" spans="2:25" x14ac:dyDescent="0.2">
      <c r="B100" s="4" t="s">
        <v>34</v>
      </c>
      <c r="C100" s="4">
        <v>0.87620699852378636</v>
      </c>
      <c r="D100" s="4" t="s">
        <v>31</v>
      </c>
      <c r="E100" s="4" t="s">
        <v>20</v>
      </c>
      <c r="P100" s="4" t="str">
        <f ca="1"/>
        <v>D</v>
      </c>
      <c r="Q100" s="79" cm="1">
        <f t="array" aca="1" ref="Q100:V100" ca="1">INDIRECT(P100)</f>
        <v>0</v>
      </c>
      <c r="R100" s="79">
        <f ca="1"/>
        <v>0</v>
      </c>
      <c r="S100" s="79">
        <f ca="1"/>
        <v>0.1</v>
      </c>
      <c r="T100" s="79">
        <f ca="1"/>
        <v>0.5</v>
      </c>
      <c r="U100" s="79">
        <f ca="1"/>
        <v>0.85</v>
      </c>
      <c r="V100" s="79">
        <f ca="1"/>
        <v>1</v>
      </c>
      <c r="W100" s="78">
        <f t="shared" ca="1" si="12"/>
        <v>0.51200445648031034</v>
      </c>
      <c r="X100" s="4" cm="1">
        <f t="array" aca="1" ref="X100" ca="1">MIN(SUM((Q100:V100&lt;W100)+0)+1,6)</f>
        <v>5</v>
      </c>
      <c r="Y100" s="4" t="str">
        <f t="shared" ca="1" si="11"/>
        <v>E</v>
      </c>
    </row>
    <row r="101" spans="2:25" x14ac:dyDescent="0.2">
      <c r="B101" s="4" t="s">
        <v>33</v>
      </c>
      <c r="C101" s="4">
        <v>0.93159355039564817</v>
      </c>
      <c r="D101" s="4" t="s">
        <v>31</v>
      </c>
      <c r="E101" s="4" t="s">
        <v>27</v>
      </c>
      <c r="P101" s="4" t="str">
        <f ca="1"/>
        <v>F</v>
      </c>
      <c r="Q101" s="79" cm="1">
        <f t="array" aca="1" ref="Q101:V101" ca="1">INDIRECT(P101)</f>
        <v>0</v>
      </c>
      <c r="R101" s="79">
        <f ca="1"/>
        <v>0</v>
      </c>
      <c r="S101" s="79">
        <f ca="1"/>
        <v>0</v>
      </c>
      <c r="T101" s="79">
        <f ca="1"/>
        <v>0</v>
      </c>
      <c r="U101" s="79">
        <f ca="1"/>
        <v>0</v>
      </c>
      <c r="V101" s="79">
        <f ca="1"/>
        <v>0</v>
      </c>
      <c r="W101" s="78">
        <f t="shared" ca="1" si="12"/>
        <v>0.70358084292607248</v>
      </c>
      <c r="X101" s="4" cm="1">
        <f t="array" aca="1" ref="X101" ca="1">MIN(SUM((Q101:V101&lt;W101)+0)+1,6)</f>
        <v>6</v>
      </c>
      <c r="Y101" s="4" t="str">
        <f t="shared" ca="1" si="11"/>
        <v>F</v>
      </c>
    </row>
    <row r="102" spans="2:25" x14ac:dyDescent="0.2">
      <c r="B102" s="4" t="s">
        <v>32</v>
      </c>
      <c r="C102" s="4">
        <v>0.5974665198857787</v>
      </c>
      <c r="D102" s="4" t="s">
        <v>21</v>
      </c>
      <c r="E102" s="4" t="s">
        <v>31</v>
      </c>
      <c r="P102" s="4" t="str">
        <f ca="1"/>
        <v>E</v>
      </c>
      <c r="Q102" s="79" cm="1">
        <f t="array" aca="1" ref="Q102:V102" ca="1">INDIRECT(P102)</f>
        <v>0</v>
      </c>
      <c r="R102" s="79">
        <f ca="1"/>
        <v>0</v>
      </c>
      <c r="S102" s="79">
        <f ca="1"/>
        <v>0</v>
      </c>
      <c r="T102" s="79">
        <f ca="1"/>
        <v>0.12</v>
      </c>
      <c r="U102" s="79">
        <f ca="1"/>
        <v>0.36</v>
      </c>
      <c r="V102" s="79">
        <f ca="1"/>
        <v>1</v>
      </c>
      <c r="W102" s="78">
        <f t="shared" ca="1" si="12"/>
        <v>0.88809192066730103</v>
      </c>
      <c r="X102" s="4" cm="1">
        <f t="array" aca="1" ref="X102" ca="1">MIN(SUM((Q102:V102&lt;W102)+0)+1,6)</f>
        <v>6</v>
      </c>
      <c r="Y102" s="4" t="str">
        <f t="shared" ca="1" si="11"/>
        <v>F</v>
      </c>
    </row>
    <row r="103" spans="2:25" x14ac:dyDescent="0.2">
      <c r="B103" s="4" t="s">
        <v>30</v>
      </c>
      <c r="C103" s="4">
        <v>0.47410685578653822</v>
      </c>
      <c r="D103" s="4" t="s">
        <v>21</v>
      </c>
      <c r="E103" s="4" t="s">
        <v>20</v>
      </c>
      <c r="P103" s="4" t="str">
        <f ca="1"/>
        <v>D</v>
      </c>
      <c r="Q103" s="79" cm="1">
        <f t="array" aca="1" ref="Q103:V103" ca="1">INDIRECT(P103)</f>
        <v>0</v>
      </c>
      <c r="R103" s="79">
        <f ca="1"/>
        <v>0</v>
      </c>
      <c r="S103" s="79">
        <f ca="1"/>
        <v>0.1</v>
      </c>
      <c r="T103" s="79">
        <f ca="1"/>
        <v>0.5</v>
      </c>
      <c r="U103" s="79">
        <f ca="1"/>
        <v>0.85</v>
      </c>
      <c r="V103" s="79">
        <f ca="1"/>
        <v>1</v>
      </c>
      <c r="W103" s="78">
        <f t="shared" ca="1" si="12"/>
        <v>0.65374007633474895</v>
      </c>
      <c r="X103" s="4" cm="1">
        <f t="array" aca="1" ref="X103" ca="1">MIN(SUM((Q103:V103&lt;W103)+0)+1,6)</f>
        <v>5</v>
      </c>
      <c r="Y103" s="4" t="str">
        <f t="shared" ca="1" si="11"/>
        <v>E</v>
      </c>
    </row>
    <row r="104" spans="2:25" x14ac:dyDescent="0.2">
      <c r="B104" s="4" t="s">
        <v>29</v>
      </c>
      <c r="C104" s="4">
        <v>0.65559589565764997</v>
      </c>
      <c r="D104" s="4" t="s">
        <v>20</v>
      </c>
      <c r="E104" s="4" t="s">
        <v>27</v>
      </c>
      <c r="P104" s="4" t="str">
        <f ca="1"/>
        <v>F</v>
      </c>
      <c r="Q104" s="79" cm="1">
        <f t="array" aca="1" ref="Q104:V104" ca="1">INDIRECT(P104)</f>
        <v>0</v>
      </c>
      <c r="R104" s="79">
        <f ca="1"/>
        <v>0</v>
      </c>
      <c r="S104" s="79">
        <f ca="1"/>
        <v>0</v>
      </c>
      <c r="T104" s="79">
        <f ca="1"/>
        <v>0</v>
      </c>
      <c r="U104" s="79">
        <f ca="1"/>
        <v>0</v>
      </c>
      <c r="V104" s="79">
        <f ca="1"/>
        <v>0</v>
      </c>
      <c r="W104" s="78">
        <f t="shared" ca="1" si="12"/>
        <v>0.57547751432953098</v>
      </c>
      <c r="X104" s="4" cm="1">
        <f t="array" aca="1" ref="X104" ca="1">MIN(SUM((Q104:V104&lt;W104)+0)+1,6)</f>
        <v>6</v>
      </c>
      <c r="Y104" s="4" t="str">
        <f t="shared" ca="1" si="11"/>
        <v>F</v>
      </c>
    </row>
    <row r="105" spans="2:25" x14ac:dyDescent="0.2">
      <c r="B105" s="4" t="s">
        <v>28</v>
      </c>
      <c r="C105" s="4">
        <v>0.76356759394203066</v>
      </c>
      <c r="D105" s="4" t="s">
        <v>20</v>
      </c>
      <c r="E105" s="4" t="s">
        <v>27</v>
      </c>
      <c r="P105" s="4" t="str">
        <f ca="1"/>
        <v>F</v>
      </c>
      <c r="Q105" s="79" cm="1">
        <f t="array" aca="1" ref="Q105:V105" ca="1">INDIRECT(P105)</f>
        <v>0</v>
      </c>
      <c r="R105" s="79">
        <f ca="1"/>
        <v>0</v>
      </c>
      <c r="S105" s="79">
        <f ca="1"/>
        <v>0</v>
      </c>
      <c r="T105" s="79">
        <f ca="1"/>
        <v>0</v>
      </c>
      <c r="U105" s="79">
        <f ca="1"/>
        <v>0</v>
      </c>
      <c r="V105" s="79">
        <f ca="1"/>
        <v>0</v>
      </c>
      <c r="W105" s="78">
        <f t="shared" ca="1" si="12"/>
        <v>0.77135190339226356</v>
      </c>
      <c r="X105" s="4" cm="1">
        <f t="array" aca="1" ref="X105" ca="1">MIN(SUM((Q105:V105&lt;W105)+0)+1,6)</f>
        <v>6</v>
      </c>
      <c r="Y105" s="4" t="str">
        <f t="shared" ca="1" si="11"/>
        <v>F</v>
      </c>
    </row>
    <row r="106" spans="2:25" x14ac:dyDescent="0.2">
      <c r="B106" s="4" t="s">
        <v>26</v>
      </c>
      <c r="C106" s="4">
        <v>0.42212135662889816</v>
      </c>
      <c r="D106" s="4" t="s">
        <v>21</v>
      </c>
      <c r="E106" s="4" t="s">
        <v>261</v>
      </c>
      <c r="P106" s="4" t="str">
        <f ca="1"/>
        <v>C_</v>
      </c>
      <c r="Q106" s="79" cm="1">
        <f t="array" aca="1" ref="Q106:V106" ca="1">INDIRECT(P106)</f>
        <v>0</v>
      </c>
      <c r="R106" s="79">
        <f ca="1"/>
        <v>9.5238095238095233E-2</v>
      </c>
      <c r="S106" s="79">
        <f ca="1"/>
        <v>0.2857142857142857</v>
      </c>
      <c r="T106" s="79">
        <f ca="1"/>
        <v>0.71428571428571419</v>
      </c>
      <c r="U106" s="79">
        <f ca="1"/>
        <v>0.99999999999999989</v>
      </c>
      <c r="V106" s="79">
        <f ca="1"/>
        <v>0.99999999999999989</v>
      </c>
      <c r="W106" s="78">
        <f t="shared" ca="1" si="12"/>
        <v>0.96836557494378406</v>
      </c>
      <c r="X106" s="4" cm="1">
        <f t="array" aca="1" ref="X106" ca="1">MIN(SUM((Q106:V106&lt;W106)+0)+1,6)</f>
        <v>5</v>
      </c>
      <c r="Y106" s="4" t="str">
        <f t="shared" ca="1" si="11"/>
        <v>E</v>
      </c>
    </row>
    <row r="107" spans="2:25" x14ac:dyDescent="0.2">
      <c r="B107" s="4" t="s">
        <v>25</v>
      </c>
      <c r="C107" s="4">
        <v>0.607187631368174</v>
      </c>
      <c r="D107" s="4" t="s">
        <v>20</v>
      </c>
      <c r="E107" s="4" t="s">
        <v>20</v>
      </c>
      <c r="P107" s="4" t="str">
        <f ca="1"/>
        <v>D</v>
      </c>
      <c r="Q107" s="79" cm="1">
        <f t="array" aca="1" ref="Q107:V107" ca="1">INDIRECT(P107)</f>
        <v>0</v>
      </c>
      <c r="R107" s="79">
        <f ca="1"/>
        <v>0</v>
      </c>
      <c r="S107" s="79">
        <f ca="1"/>
        <v>0.1</v>
      </c>
      <c r="T107" s="79">
        <f ca="1"/>
        <v>0.5</v>
      </c>
      <c r="U107" s="79">
        <f ca="1"/>
        <v>0.85</v>
      </c>
      <c r="V107" s="79">
        <f ca="1"/>
        <v>1</v>
      </c>
      <c r="W107" s="78">
        <f t="shared" ca="1" si="12"/>
        <v>0.78544363039357989</v>
      </c>
      <c r="X107" s="4" cm="1">
        <f t="array" aca="1" ref="X107" ca="1">MIN(SUM((Q107:V107&lt;W107)+0)+1,6)</f>
        <v>5</v>
      </c>
      <c r="Y107" s="4" t="str">
        <f t="shared" ca="1" si="11"/>
        <v>E</v>
      </c>
    </row>
    <row r="108" spans="2:25" x14ac:dyDescent="0.2">
      <c r="B108" s="4" t="s">
        <v>24</v>
      </c>
      <c r="C108" s="4">
        <v>0.19009590420046663</v>
      </c>
      <c r="D108" s="4" t="s">
        <v>23</v>
      </c>
      <c r="E108" s="4" t="s">
        <v>23</v>
      </c>
      <c r="P108" s="4" t="str">
        <f ca="1"/>
        <v>A</v>
      </c>
      <c r="Q108" s="79" cm="1">
        <f t="array" aca="1" ref="Q108:V108" ca="1">INDIRECT(P108)</f>
        <v>0.53846153846153844</v>
      </c>
      <c r="R108" s="79">
        <f ca="1"/>
        <v>0.84615384615384615</v>
      </c>
      <c r="S108" s="79">
        <f ca="1"/>
        <v>1</v>
      </c>
      <c r="T108" s="79">
        <f ca="1"/>
        <v>1</v>
      </c>
      <c r="U108" s="79">
        <f ca="1"/>
        <v>1</v>
      </c>
      <c r="V108" s="79">
        <f ca="1"/>
        <v>1</v>
      </c>
      <c r="W108" s="78">
        <f t="shared" ca="1" si="12"/>
        <v>0.88548219498577896</v>
      </c>
      <c r="X108" s="4" cm="1">
        <f t="array" aca="1" ref="X108" ca="1">MIN(SUM((Q108:V108&lt;W108)+0)+1,6)</f>
        <v>3</v>
      </c>
      <c r="Y108" s="4" t="str">
        <f t="shared" ca="1" si="11"/>
        <v>C_</v>
      </c>
    </row>
    <row r="109" spans="2:25" x14ac:dyDescent="0.2">
      <c r="B109" s="4" t="s">
        <v>22</v>
      </c>
      <c r="C109" s="4">
        <v>0.54256136479850625</v>
      </c>
      <c r="D109" s="4" t="s">
        <v>21</v>
      </c>
      <c r="E109" s="4" t="s">
        <v>20</v>
      </c>
      <c r="P109" s="4" t="str">
        <f ca="1"/>
        <v>D</v>
      </c>
      <c r="Q109" s="79" cm="1">
        <f t="array" aca="1" ref="Q109:V109" ca="1">INDIRECT(P109)</f>
        <v>0</v>
      </c>
      <c r="R109" s="79">
        <f ca="1"/>
        <v>0</v>
      </c>
      <c r="S109" s="79">
        <f ca="1"/>
        <v>0.1</v>
      </c>
      <c r="T109" s="79">
        <f ca="1"/>
        <v>0.5</v>
      </c>
      <c r="U109" s="79">
        <f ca="1"/>
        <v>0.85</v>
      </c>
      <c r="V109" s="79">
        <f ca="1"/>
        <v>1</v>
      </c>
      <c r="W109" s="78">
        <f t="shared" ca="1" si="12"/>
        <v>0.14464624416452732</v>
      </c>
      <c r="X109" s="4" cm="1">
        <f t="array" aca="1" ref="X109" ca="1">MIN(SUM((Q109:V109&lt;W109)+0)+1,6)</f>
        <v>4</v>
      </c>
      <c r="Y109" s="4" t="str">
        <f t="shared" ca="1" si="11"/>
        <v>D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7994F-5E21-9C4F-9DE0-7FAE427C35A7}">
  <sheetPr codeName="Sheet9">
    <tabColor rgb="FFFF0000"/>
  </sheetPr>
  <dimension ref="B1:AF109"/>
  <sheetViews>
    <sheetView workbookViewId="0">
      <selection activeCell="AD26" sqref="AD26"/>
    </sheetView>
  </sheetViews>
  <sheetFormatPr baseColWidth="10" defaultColWidth="8.83203125" defaultRowHeight="15" x14ac:dyDescent="0.2"/>
  <cols>
    <col min="1" max="1" width="8.83203125" style="4"/>
    <col min="2" max="2" width="11.33203125" style="4" bestFit="1" customWidth="1"/>
    <col min="3" max="3" width="11.33203125" style="4" customWidth="1"/>
    <col min="4" max="4" width="10" style="4" bestFit="1" customWidth="1"/>
    <col min="5" max="5" width="9.1640625" style="4" customWidth="1"/>
    <col min="6" max="6" width="8.1640625" style="4" customWidth="1"/>
    <col min="7" max="7" width="7" style="4" customWidth="1"/>
    <col min="8" max="16" width="8.83203125" style="4"/>
    <col min="17" max="22" width="8.83203125" style="79"/>
    <col min="23" max="26" width="8.83203125" style="4"/>
    <col min="27" max="27" width="5" style="4" bestFit="1" customWidth="1"/>
    <col min="28" max="28" width="8" style="4" bestFit="1" customWidth="1"/>
    <col min="29" max="30" width="8.83203125" style="4"/>
    <col min="31" max="31" width="3" style="4" bestFit="1" customWidth="1"/>
    <col min="32" max="16384" width="8.83203125" style="4"/>
  </cols>
  <sheetData>
    <row r="1" spans="2:32" x14ac:dyDescent="0.2">
      <c r="Q1" s="4"/>
      <c r="R1" s="4"/>
      <c r="S1" s="4"/>
      <c r="T1" s="4"/>
      <c r="U1" s="4"/>
      <c r="V1" s="4"/>
    </row>
    <row r="2" spans="2:32" x14ac:dyDescent="0.2">
      <c r="Q2" s="4"/>
      <c r="R2" s="4"/>
      <c r="S2" s="4"/>
      <c r="T2" s="4"/>
      <c r="U2" s="4"/>
      <c r="V2" s="4"/>
    </row>
    <row r="3" spans="2:32" ht="29" x14ac:dyDescent="0.35">
      <c r="B3" s="30" t="s">
        <v>134</v>
      </c>
      <c r="Q3" s="4"/>
      <c r="R3" s="4"/>
      <c r="S3" s="4"/>
      <c r="T3" s="4"/>
      <c r="U3" s="4"/>
      <c r="V3" s="4"/>
    </row>
    <row r="4" spans="2:32" x14ac:dyDescent="0.2">
      <c r="Q4" s="4"/>
      <c r="R4" s="4"/>
      <c r="S4" s="4"/>
      <c r="T4" s="4"/>
      <c r="U4" s="4"/>
      <c r="V4" s="4"/>
    </row>
    <row r="5" spans="2:32" x14ac:dyDescent="0.2">
      <c r="Q5" s="4"/>
      <c r="R5" s="4"/>
      <c r="S5" s="4"/>
      <c r="T5" s="4"/>
      <c r="U5" s="4"/>
      <c r="V5" s="4"/>
    </row>
    <row r="6" spans="2:32" x14ac:dyDescent="0.2">
      <c r="Q6" s="4"/>
      <c r="R6" s="4"/>
      <c r="S6" s="4"/>
      <c r="T6" s="4"/>
      <c r="U6" s="4"/>
      <c r="V6" s="4"/>
    </row>
    <row r="7" spans="2:32" x14ac:dyDescent="0.2">
      <c r="Q7" s="4"/>
      <c r="R7" s="4"/>
      <c r="S7" s="4"/>
      <c r="T7" s="4"/>
      <c r="U7" s="4"/>
      <c r="V7" s="4"/>
    </row>
    <row r="8" spans="2:32" x14ac:dyDescent="0.2">
      <c r="H8" s="23" t="s">
        <v>133</v>
      </c>
      <c r="I8" s="23"/>
      <c r="J8" s="23"/>
      <c r="K8" s="23"/>
      <c r="L8" s="23"/>
      <c r="M8" s="23"/>
      <c r="N8" s="23"/>
      <c r="O8" s="7"/>
      <c r="Q8" s="4"/>
      <c r="R8" s="4"/>
      <c r="S8" s="4"/>
      <c r="T8" s="4"/>
      <c r="U8" s="4"/>
      <c r="V8" s="4"/>
    </row>
    <row r="9" spans="2:32" x14ac:dyDescent="0.2">
      <c r="B9" s="4" t="s">
        <v>132</v>
      </c>
      <c r="C9" s="4" t="s">
        <v>131</v>
      </c>
      <c r="D9" s="4" t="s">
        <v>130</v>
      </c>
      <c r="E9" s="4" t="s">
        <v>129</v>
      </c>
      <c r="H9" s="23"/>
      <c r="I9" s="29" t="s">
        <v>23</v>
      </c>
      <c r="J9" s="29" t="s">
        <v>36</v>
      </c>
      <c r="K9" s="29" t="s">
        <v>261</v>
      </c>
      <c r="L9" s="29" t="s">
        <v>20</v>
      </c>
      <c r="M9" s="29" t="s">
        <v>31</v>
      </c>
      <c r="N9" s="29" t="s">
        <v>27</v>
      </c>
      <c r="O9" s="7"/>
      <c r="P9" s="4" t="s">
        <v>129</v>
      </c>
      <c r="Q9" s="4" t="s">
        <v>262</v>
      </c>
      <c r="R9" s="4"/>
      <c r="S9" s="4"/>
      <c r="T9" s="4"/>
      <c r="U9" s="4"/>
      <c r="V9" s="4"/>
      <c r="W9" s="4" t="s">
        <v>131</v>
      </c>
      <c r="X9" s="4" t="s">
        <v>264</v>
      </c>
      <c r="Y9" s="4" t="s">
        <v>263</v>
      </c>
      <c r="AA9" s="4" t="s">
        <v>202</v>
      </c>
      <c r="AB9" s="4" t="s">
        <v>203</v>
      </c>
      <c r="AC9" s="4" t="s">
        <v>260</v>
      </c>
      <c r="AF9" s="31" t="s">
        <v>143</v>
      </c>
    </row>
    <row r="10" spans="2:32" x14ac:dyDescent="0.2">
      <c r="B10" s="4" t="s">
        <v>128</v>
      </c>
      <c r="C10" s="4">
        <v>0.87837986396496903</v>
      </c>
      <c r="D10" s="4" t="s">
        <v>31</v>
      </c>
      <c r="E10" s="4" t="s">
        <v>27</v>
      </c>
      <c r="H10" s="23" t="s">
        <v>23</v>
      </c>
      <c r="I10" s="28">
        <f t="shared" ref="I10:N10" si="0">COUNTIFS(RatingLast,$H10,RatingNow,I$9)</f>
        <v>7</v>
      </c>
      <c r="J10" s="27">
        <f t="shared" si="0"/>
        <v>4</v>
      </c>
      <c r="K10" s="27">
        <f t="shared" si="0"/>
        <v>2</v>
      </c>
      <c r="L10" s="27">
        <f t="shared" si="0"/>
        <v>0</v>
      </c>
      <c r="M10" s="27">
        <f t="shared" si="0"/>
        <v>0</v>
      </c>
      <c r="N10" s="26">
        <f t="shared" si="0"/>
        <v>0</v>
      </c>
      <c r="O10" s="7"/>
      <c r="P10" s="4" t="str" cm="1">
        <f t="array" aca="1" ref="P10:P109" ca="1">INDIRECT(P9)</f>
        <v>F</v>
      </c>
      <c r="Q10" s="79" cm="1">
        <f t="array" aca="1" ref="Q10:V10" ca="1">INDIRECT(P10)</f>
        <v>0</v>
      </c>
      <c r="R10" s="79">
        <f ca="1"/>
        <v>0</v>
      </c>
      <c r="S10" s="79">
        <f ca="1"/>
        <v>0</v>
      </c>
      <c r="T10" s="79">
        <f ca="1"/>
        <v>0</v>
      </c>
      <c r="U10" s="79">
        <f ca="1"/>
        <v>0</v>
      </c>
      <c r="V10" s="79">
        <f ca="1"/>
        <v>0</v>
      </c>
      <c r="W10" s="78">
        <f t="shared" ref="W10:W17" ca="1" si="1">RAND()</f>
        <v>0.51127983987821135</v>
      </c>
      <c r="X10" s="4" cm="1">
        <f t="array" aca="1" ref="X10" ca="1">MIN(SUM((Q10:V10&lt;W10)+0)+1,6)</f>
        <v>6</v>
      </c>
      <c r="Y10" s="4" t="str">
        <f ca="1">OFFSET($H$9,0,X10)</f>
        <v>F</v>
      </c>
      <c r="AA10" s="97">
        <v>8.2116889611948682</v>
      </c>
      <c r="AB10" s="98">
        <v>1.39787817085794</v>
      </c>
      <c r="AC10" s="99" cm="1">
        <f t="array" ref="AC10:AC109">Price_*Duration_</f>
        <v>11.478940744729419</v>
      </c>
      <c r="AE10" s="23" t="s">
        <v>23</v>
      </c>
      <c r="AF10" s="100">
        <v>5.0000000000000001E-3</v>
      </c>
    </row>
    <row r="11" spans="2:32" x14ac:dyDescent="0.2">
      <c r="B11" s="4" t="s">
        <v>127</v>
      </c>
      <c r="C11" s="4">
        <v>0.86778592575709479</v>
      </c>
      <c r="D11" s="4" t="s">
        <v>31</v>
      </c>
      <c r="E11" s="4" t="s">
        <v>31</v>
      </c>
      <c r="H11" s="23" t="s">
        <v>36</v>
      </c>
      <c r="I11" s="25">
        <f t="shared" ref="I11:N11" si="2">COUNTIFS(RatingLast,$H11,RatingNow,I$9)</f>
        <v>2</v>
      </c>
      <c r="J11" s="23">
        <f t="shared" si="2"/>
        <v>11</v>
      </c>
      <c r="K11" s="23">
        <f t="shared" si="2"/>
        <v>6</v>
      </c>
      <c r="L11" s="23">
        <f t="shared" si="2"/>
        <v>2</v>
      </c>
      <c r="M11" s="23">
        <f t="shared" si="2"/>
        <v>0</v>
      </c>
      <c r="N11" s="24">
        <f t="shared" si="2"/>
        <v>0</v>
      </c>
      <c r="O11" s="7"/>
      <c r="P11" s="4" t="str">
        <f ca="1"/>
        <v>E</v>
      </c>
      <c r="Q11" s="79" cm="1">
        <f t="array" aca="1" ref="Q11:V11" ca="1">INDIRECT(P11)</f>
        <v>0</v>
      </c>
      <c r="R11" s="79">
        <f ca="1"/>
        <v>0</v>
      </c>
      <c r="S11" s="79">
        <f ca="1"/>
        <v>0</v>
      </c>
      <c r="T11" s="79">
        <f ca="1"/>
        <v>0.12</v>
      </c>
      <c r="U11" s="79">
        <f ca="1"/>
        <v>0.36</v>
      </c>
      <c r="V11" s="79">
        <f ca="1"/>
        <v>1</v>
      </c>
      <c r="W11" s="78">
        <f t="shared" ca="1" si="1"/>
        <v>0.88490322632729701</v>
      </c>
      <c r="X11" s="4" cm="1">
        <f t="array" aca="1" ref="X11" ca="1">MIN(SUM((Q11:V11&lt;W11)+0)+1,6)</f>
        <v>6</v>
      </c>
      <c r="Y11" s="4" t="str">
        <f t="shared" ref="Y11:Y74" ca="1" si="3">OFFSET($H$9,0,X11)</f>
        <v>F</v>
      </c>
      <c r="AA11" s="97">
        <v>2.0821978323688706</v>
      </c>
      <c r="AB11" s="98">
        <v>1.6252926650112602</v>
      </c>
      <c r="AC11" s="99">
        <v>3.384180864051471</v>
      </c>
      <c r="AE11" s="23" t="s">
        <v>36</v>
      </c>
      <c r="AF11" s="101">
        <v>0.01</v>
      </c>
    </row>
    <row r="12" spans="2:32" x14ac:dyDescent="0.2">
      <c r="B12" s="4" t="s">
        <v>126</v>
      </c>
      <c r="C12" s="4">
        <v>0.52119145596927485</v>
      </c>
      <c r="D12" s="4" t="s">
        <v>21</v>
      </c>
      <c r="E12" s="4" t="s">
        <v>20</v>
      </c>
      <c r="H12" s="23" t="s">
        <v>21</v>
      </c>
      <c r="I12" s="25">
        <f t="shared" ref="I12:N12" si="4">COUNTIFS(RatingLast,$H12,RatingNow,I$9)</f>
        <v>0</v>
      </c>
      <c r="J12" s="23">
        <f t="shared" si="4"/>
        <v>2</v>
      </c>
      <c r="K12" s="23">
        <f t="shared" si="4"/>
        <v>4</v>
      </c>
      <c r="L12" s="23">
        <f t="shared" si="4"/>
        <v>9</v>
      </c>
      <c r="M12" s="23">
        <f t="shared" si="4"/>
        <v>6</v>
      </c>
      <c r="N12" s="24">
        <f t="shared" si="4"/>
        <v>0</v>
      </c>
      <c r="O12" s="7"/>
      <c r="P12" s="4" t="str">
        <f ca="1"/>
        <v>D</v>
      </c>
      <c r="Q12" s="79" cm="1">
        <f t="array" aca="1" ref="Q12:V12" ca="1">INDIRECT(P12)</f>
        <v>0</v>
      </c>
      <c r="R12" s="79">
        <f ca="1"/>
        <v>0</v>
      </c>
      <c r="S12" s="79">
        <f ca="1"/>
        <v>0.1</v>
      </c>
      <c r="T12" s="79">
        <f ca="1"/>
        <v>0.5</v>
      </c>
      <c r="U12" s="79">
        <f ca="1"/>
        <v>0.85</v>
      </c>
      <c r="V12" s="79">
        <f ca="1"/>
        <v>1</v>
      </c>
      <c r="W12" s="78">
        <f t="shared" ca="1" si="1"/>
        <v>0.37330146634543704</v>
      </c>
      <c r="X12" s="4" cm="1">
        <f t="array" aca="1" ref="X12" ca="1">MIN(SUM((Q12:V12&lt;W12)+0)+1,6)</f>
        <v>4</v>
      </c>
      <c r="Y12" s="4" t="str">
        <f t="shared" ca="1" si="3"/>
        <v>D</v>
      </c>
      <c r="AA12" s="97">
        <v>67.129219523606139</v>
      </c>
      <c r="AB12" s="98">
        <v>7.4590248775114931</v>
      </c>
      <c r="AC12" s="99">
        <v>500.71851843450844</v>
      </c>
      <c r="AE12" s="23" t="s">
        <v>261</v>
      </c>
      <c r="AF12" s="101">
        <v>0.02</v>
      </c>
    </row>
    <row r="13" spans="2:32" x14ac:dyDescent="0.2">
      <c r="B13" s="4" t="s">
        <v>125</v>
      </c>
      <c r="C13" s="4">
        <v>0.84786367665154105</v>
      </c>
      <c r="D13" s="4" t="s">
        <v>31</v>
      </c>
      <c r="E13" s="4" t="s">
        <v>27</v>
      </c>
      <c r="H13" s="23" t="s">
        <v>20</v>
      </c>
      <c r="I13" s="25">
        <f t="shared" ref="I13:N13" si="5">COUNTIFS(RatingLast,$H13,RatingNow,I$9)</f>
        <v>0</v>
      </c>
      <c r="J13" s="23">
        <f t="shared" si="5"/>
        <v>0</v>
      </c>
      <c r="K13" s="23">
        <f t="shared" si="5"/>
        <v>2</v>
      </c>
      <c r="L13" s="23">
        <f t="shared" si="5"/>
        <v>8</v>
      </c>
      <c r="M13" s="23">
        <f t="shared" si="5"/>
        <v>7</v>
      </c>
      <c r="N13" s="24">
        <f t="shared" si="5"/>
        <v>3</v>
      </c>
      <c r="O13" s="7"/>
      <c r="P13" s="4" t="str">
        <f ca="1"/>
        <v>F</v>
      </c>
      <c r="Q13" s="79" cm="1">
        <f t="array" aca="1" ref="Q13:V13" ca="1">INDIRECT(P13)</f>
        <v>0</v>
      </c>
      <c r="R13" s="79">
        <f ca="1"/>
        <v>0</v>
      </c>
      <c r="S13" s="79">
        <f ca="1"/>
        <v>0</v>
      </c>
      <c r="T13" s="79">
        <f ca="1"/>
        <v>0</v>
      </c>
      <c r="U13" s="79">
        <f ca="1"/>
        <v>0</v>
      </c>
      <c r="V13" s="79">
        <f ca="1"/>
        <v>0</v>
      </c>
      <c r="W13" s="78">
        <f t="shared" ca="1" si="1"/>
        <v>0.61240973480693073</v>
      </c>
      <c r="X13" s="4" cm="1">
        <f t="array" aca="1" ref="X13" ca="1">MIN(SUM((Q13:V13&lt;W13)+0)+1,6)</f>
        <v>6</v>
      </c>
      <c r="Y13" s="4" t="str">
        <f t="shared" ca="1" si="3"/>
        <v>F</v>
      </c>
      <c r="AA13" s="97">
        <v>23.919401965204763</v>
      </c>
      <c r="AB13" s="98">
        <v>1.0138721046124297</v>
      </c>
      <c r="AC13" s="99">
        <v>24.251214411532839</v>
      </c>
      <c r="AE13" s="23" t="s">
        <v>20</v>
      </c>
      <c r="AF13" s="101">
        <v>0.04</v>
      </c>
    </row>
    <row r="14" spans="2:32" x14ac:dyDescent="0.2">
      <c r="B14" s="4" t="s">
        <v>124</v>
      </c>
      <c r="C14" s="4">
        <v>0.74482071432451058</v>
      </c>
      <c r="D14" s="4" t="s">
        <v>20</v>
      </c>
      <c r="E14" s="4" t="s">
        <v>20</v>
      </c>
      <c r="H14" s="23" t="s">
        <v>31</v>
      </c>
      <c r="I14" s="25">
        <f t="shared" ref="I14:N14" si="6">COUNTIFS(RatingLast,$H14,RatingNow,I$9)</f>
        <v>0</v>
      </c>
      <c r="J14" s="23">
        <f t="shared" si="6"/>
        <v>0</v>
      </c>
      <c r="K14" s="23">
        <f t="shared" si="6"/>
        <v>0</v>
      </c>
      <c r="L14" s="23">
        <f t="shared" si="6"/>
        <v>3</v>
      </c>
      <c r="M14" s="23">
        <f t="shared" si="6"/>
        <v>6</v>
      </c>
      <c r="N14" s="24">
        <f t="shared" si="6"/>
        <v>16</v>
      </c>
      <c r="O14" s="7"/>
      <c r="P14" s="4" t="str">
        <f ca="1"/>
        <v>D</v>
      </c>
      <c r="Q14" s="79" cm="1">
        <f t="array" aca="1" ref="Q14:V14" ca="1">INDIRECT(P14)</f>
        <v>0</v>
      </c>
      <c r="R14" s="79">
        <f ca="1"/>
        <v>0</v>
      </c>
      <c r="S14" s="79">
        <f ca="1"/>
        <v>0.1</v>
      </c>
      <c r="T14" s="79">
        <f ca="1"/>
        <v>0.5</v>
      </c>
      <c r="U14" s="79">
        <f ca="1"/>
        <v>0.85</v>
      </c>
      <c r="V14" s="79">
        <f ca="1"/>
        <v>1</v>
      </c>
      <c r="W14" s="78">
        <f t="shared" ca="1" si="1"/>
        <v>0.59956233380594914</v>
      </c>
      <c r="X14" s="4" cm="1">
        <f t="array" aca="1" ref="X14" ca="1">MIN(SUM((Q14:V14&lt;W14)+0)+1,6)</f>
        <v>5</v>
      </c>
      <c r="Y14" s="4" t="str">
        <f t="shared" ca="1" si="3"/>
        <v>E</v>
      </c>
      <c r="AA14" s="97">
        <v>67.226538868279505</v>
      </c>
      <c r="AB14" s="98">
        <v>7.0882993287412512</v>
      </c>
      <c r="AC14" s="99">
        <v>476.52183033362326</v>
      </c>
      <c r="AE14" s="23" t="s">
        <v>31</v>
      </c>
      <c r="AF14" s="101">
        <v>0.08</v>
      </c>
    </row>
    <row r="15" spans="2:32" x14ac:dyDescent="0.2">
      <c r="B15" s="4" t="s">
        <v>123</v>
      </c>
      <c r="C15" s="4">
        <v>0.85633854254513686</v>
      </c>
      <c r="D15" s="4" t="s">
        <v>31</v>
      </c>
      <c r="E15" s="4" t="s">
        <v>31</v>
      </c>
      <c r="H15" s="23" t="s">
        <v>27</v>
      </c>
      <c r="I15" s="22">
        <f t="shared" ref="I15:N15" si="7">COUNTIFS(RatingLast,$H15,RatingNow,I$9)</f>
        <v>0</v>
      </c>
      <c r="J15" s="21">
        <f t="shared" si="7"/>
        <v>0</v>
      </c>
      <c r="K15" s="21">
        <f t="shared" si="7"/>
        <v>0</v>
      </c>
      <c r="L15" s="21">
        <f t="shared" si="7"/>
        <v>0</v>
      </c>
      <c r="M15" s="21">
        <f t="shared" si="7"/>
        <v>0</v>
      </c>
      <c r="N15" s="20">
        <f t="shared" si="7"/>
        <v>0</v>
      </c>
      <c r="O15" s="7"/>
      <c r="P15" s="4" t="str">
        <f ca="1"/>
        <v>E</v>
      </c>
      <c r="Q15" s="79" cm="1">
        <f t="array" aca="1" ref="Q15:V15" ca="1">INDIRECT(P15)</f>
        <v>0</v>
      </c>
      <c r="R15" s="79">
        <f ca="1"/>
        <v>0</v>
      </c>
      <c r="S15" s="79">
        <f ca="1"/>
        <v>0</v>
      </c>
      <c r="T15" s="79">
        <f ca="1"/>
        <v>0.12</v>
      </c>
      <c r="U15" s="79">
        <f ca="1"/>
        <v>0.36</v>
      </c>
      <c r="V15" s="79">
        <f ca="1"/>
        <v>1</v>
      </c>
      <c r="W15" s="78">
        <f t="shared" ca="1" si="1"/>
        <v>4.7568797327035783E-2</v>
      </c>
      <c r="X15" s="4" cm="1">
        <f t="array" aca="1" ref="X15" ca="1">MIN(SUM((Q15:V15&lt;W15)+0)+1,6)</f>
        <v>4</v>
      </c>
      <c r="Y15" s="4" t="str">
        <f t="shared" ca="1" si="3"/>
        <v>D</v>
      </c>
      <c r="AA15" s="97">
        <v>40.365796255204877</v>
      </c>
      <c r="AB15" s="98">
        <v>3.0220181451316055</v>
      </c>
      <c r="AC15" s="99">
        <v>121.98616872591455</v>
      </c>
      <c r="AE15" s="23" t="s">
        <v>27</v>
      </c>
      <c r="AF15" s="102" t="s">
        <v>204</v>
      </c>
    </row>
    <row r="16" spans="2:32" x14ac:dyDescent="0.2">
      <c r="B16" s="4" t="s">
        <v>122</v>
      </c>
      <c r="C16" s="4">
        <v>3.1748623600066805E-2</v>
      </c>
      <c r="D16" s="4" t="s">
        <v>23</v>
      </c>
      <c r="E16" s="4" t="s">
        <v>23</v>
      </c>
      <c r="H16" s="7"/>
      <c r="I16" s="7"/>
      <c r="J16" s="7"/>
      <c r="K16" s="7"/>
      <c r="L16" s="7"/>
      <c r="M16" s="7"/>
      <c r="N16" s="7"/>
      <c r="O16" s="7"/>
      <c r="P16" s="4" t="str">
        <f ca="1"/>
        <v>A</v>
      </c>
      <c r="Q16" s="79" cm="1">
        <f t="array" aca="1" ref="Q16:V16" ca="1">INDIRECT(P16)</f>
        <v>0.53846153846153844</v>
      </c>
      <c r="R16" s="79">
        <f ca="1"/>
        <v>0.84615384615384615</v>
      </c>
      <c r="S16" s="79">
        <f ca="1"/>
        <v>1</v>
      </c>
      <c r="T16" s="79">
        <f ca="1"/>
        <v>1</v>
      </c>
      <c r="U16" s="79">
        <f ca="1"/>
        <v>1</v>
      </c>
      <c r="V16" s="79">
        <f ca="1"/>
        <v>1</v>
      </c>
      <c r="W16" s="78">
        <f t="shared" ca="1" si="1"/>
        <v>0.53179915924839427</v>
      </c>
      <c r="X16" s="4" cm="1">
        <f t="array" aca="1" ref="X16" ca="1">MIN(SUM((Q16:V16&lt;W16)+0)+1,6)</f>
        <v>1</v>
      </c>
      <c r="Y16" s="4" t="str">
        <f t="shared" ca="1" si="3"/>
        <v>A</v>
      </c>
      <c r="AA16" s="97">
        <v>80.467834923351319</v>
      </c>
      <c r="AB16" s="98">
        <v>9.5506402260277916</v>
      </c>
      <c r="AC16" s="99">
        <v>768.51934112032302</v>
      </c>
      <c r="AE16" s="4" t="s">
        <v>21</v>
      </c>
      <c r="AF16" s="101">
        <v>0.02</v>
      </c>
    </row>
    <row r="17" spans="2:29" x14ac:dyDescent="0.2">
      <c r="B17" s="4" t="s">
        <v>121</v>
      </c>
      <c r="C17" s="4">
        <v>0.13847525438575636</v>
      </c>
      <c r="D17" s="4" t="s">
        <v>23</v>
      </c>
      <c r="E17" s="4" t="s">
        <v>261</v>
      </c>
      <c r="P17" s="4" t="str">
        <f ca="1"/>
        <v>C_</v>
      </c>
      <c r="Q17" s="79" cm="1">
        <f t="array" aca="1" ref="Q17:V17" ca="1">INDIRECT(P17)</f>
        <v>0</v>
      </c>
      <c r="R17" s="79">
        <f ca="1"/>
        <v>9.5238095238095233E-2</v>
      </c>
      <c r="S17" s="79">
        <f ca="1"/>
        <v>0.2857142857142857</v>
      </c>
      <c r="T17" s="79">
        <f ca="1"/>
        <v>0.71428571428571419</v>
      </c>
      <c r="U17" s="79">
        <f ca="1"/>
        <v>0.99999999999999989</v>
      </c>
      <c r="V17" s="79">
        <f ca="1"/>
        <v>0.99999999999999989</v>
      </c>
      <c r="W17" s="78">
        <f t="shared" ca="1" si="1"/>
        <v>8.7204508022657223E-2</v>
      </c>
      <c r="X17" s="4" cm="1">
        <f t="array" aca="1" ref="X17" ca="1">MIN(SUM((Q17:V17&lt;W17)+0)+1,6)</f>
        <v>2</v>
      </c>
      <c r="Y17" s="4" t="str">
        <f t="shared" ca="1" si="3"/>
        <v>B</v>
      </c>
      <c r="AA17" s="97">
        <v>74.294695771915386</v>
      </c>
      <c r="AB17" s="98">
        <v>9.8434192564738119</v>
      </c>
      <c r="AC17" s="99">
        <v>731.31383901513539</v>
      </c>
    </row>
    <row r="18" spans="2:29" x14ac:dyDescent="0.2">
      <c r="B18" s="4" t="s">
        <v>120</v>
      </c>
      <c r="C18" s="4">
        <v>0.35239980324078335</v>
      </c>
      <c r="D18" s="4" t="s">
        <v>36</v>
      </c>
      <c r="E18" s="4" t="s">
        <v>261</v>
      </c>
      <c r="H18" s="4" t="s">
        <v>119</v>
      </c>
      <c r="P18" s="4" t="str">
        <f ca="1"/>
        <v>C_</v>
      </c>
      <c r="Q18" s="79" cm="1">
        <f t="array" aca="1" ref="Q18:V18" ca="1">INDIRECT(P18)</f>
        <v>0</v>
      </c>
      <c r="R18" s="79">
        <f ca="1"/>
        <v>9.5238095238095233E-2</v>
      </c>
      <c r="S18" s="79">
        <f ca="1"/>
        <v>0.2857142857142857</v>
      </c>
      <c r="T18" s="79">
        <f ca="1"/>
        <v>0.71428571428571419</v>
      </c>
      <c r="U18" s="79">
        <f ca="1"/>
        <v>0.99999999999999989</v>
      </c>
      <c r="V18" s="79">
        <f ca="1"/>
        <v>0.99999999999999989</v>
      </c>
      <c r="W18" s="78">
        <v>0.13</v>
      </c>
      <c r="X18" s="4" cm="1">
        <f t="array" aca="1" ref="X18" ca="1">MIN(SUM((Q18:V18&lt;W18)+0)+1,6)</f>
        <v>3</v>
      </c>
      <c r="Y18" s="4" t="str">
        <f t="shared" ca="1" si="3"/>
        <v>C_</v>
      </c>
      <c r="AA18" s="97">
        <v>37.636930947623661</v>
      </c>
      <c r="AB18" s="98">
        <v>8.344474777321544</v>
      </c>
      <c r="AC18" s="99">
        <v>314.06042098823826</v>
      </c>
    </row>
    <row r="19" spans="2:29" x14ac:dyDescent="0.2">
      <c r="B19" s="4" t="s">
        <v>118</v>
      </c>
      <c r="C19" s="4">
        <v>0.629727923495492</v>
      </c>
      <c r="D19" s="4" t="s">
        <v>20</v>
      </c>
      <c r="E19" s="4" t="s">
        <v>261</v>
      </c>
      <c r="I19" s="8" t="s">
        <v>23</v>
      </c>
      <c r="J19" s="8" t="s">
        <v>36</v>
      </c>
      <c r="K19" s="8" t="s">
        <v>21</v>
      </c>
      <c r="L19" s="8" t="s">
        <v>20</v>
      </c>
      <c r="M19" s="8" t="s">
        <v>31</v>
      </c>
      <c r="N19" s="8" t="s">
        <v>27</v>
      </c>
      <c r="P19" s="4" t="str">
        <f ca="1"/>
        <v>C_</v>
      </c>
      <c r="Q19" s="79" cm="1">
        <f t="array" aca="1" ref="Q19:V19" ca="1">INDIRECT(P19)</f>
        <v>0</v>
      </c>
      <c r="R19" s="79">
        <f ca="1"/>
        <v>9.5238095238095233E-2</v>
      </c>
      <c r="S19" s="79">
        <f ca="1"/>
        <v>0.2857142857142857</v>
      </c>
      <c r="T19" s="79">
        <f ca="1"/>
        <v>0.71428571428571419</v>
      </c>
      <c r="U19" s="79">
        <f ca="1"/>
        <v>0.99999999999999989</v>
      </c>
      <c r="V19" s="79">
        <f ca="1"/>
        <v>0.99999999999999989</v>
      </c>
      <c r="W19" s="78">
        <f ca="1">RAND()</f>
        <v>0.19733974660202269</v>
      </c>
      <c r="X19" s="4" cm="1">
        <f t="array" aca="1" ref="X19" ca="1">MIN(SUM((Q19:V19&lt;W19)+0)+1,6)</f>
        <v>3</v>
      </c>
      <c r="Y19" s="4" t="str">
        <f t="shared" ca="1" si="3"/>
        <v>C_</v>
      </c>
      <c r="AA19" s="97">
        <v>76.753161003324905</v>
      </c>
      <c r="AB19" s="98">
        <v>7.9150148005442347</v>
      </c>
      <c r="AC19" s="99">
        <v>607.50240532987118</v>
      </c>
    </row>
    <row r="20" spans="2:29" x14ac:dyDescent="0.2">
      <c r="B20" s="4" t="s">
        <v>116</v>
      </c>
      <c r="C20" s="4">
        <v>0.30133037852189781</v>
      </c>
      <c r="D20" s="4" t="s">
        <v>36</v>
      </c>
      <c r="E20" s="4" t="s">
        <v>261</v>
      </c>
      <c r="H20" s="4" t="s">
        <v>23</v>
      </c>
      <c r="I20" s="19">
        <f t="array" ref="I20:N20">I10:N10/SUM(I10:N10)</f>
        <v>0.53846153846153844</v>
      </c>
      <c r="J20" s="18">
        <v>0.30769230769230771</v>
      </c>
      <c r="K20" s="18">
        <v>0.15384615384615385</v>
      </c>
      <c r="L20" s="18">
        <v>0</v>
      </c>
      <c r="M20" s="18">
        <v>0</v>
      </c>
      <c r="N20" s="17">
        <v>0</v>
      </c>
      <c r="P20" s="4" t="str">
        <f ca="1"/>
        <v>C_</v>
      </c>
      <c r="Q20" s="79" cm="1">
        <f t="array" aca="1" ref="Q20:V20" ca="1">INDIRECT(P20)</f>
        <v>0</v>
      </c>
      <c r="R20" s="79">
        <f ca="1"/>
        <v>9.5238095238095233E-2</v>
      </c>
      <c r="S20" s="79">
        <f ca="1"/>
        <v>0.2857142857142857</v>
      </c>
      <c r="T20" s="79">
        <f ca="1"/>
        <v>0.71428571428571419</v>
      </c>
      <c r="U20" s="79">
        <f ca="1"/>
        <v>0.99999999999999989</v>
      </c>
      <c r="V20" s="79">
        <f ca="1"/>
        <v>0.99999999999999989</v>
      </c>
      <c r="W20" s="78">
        <f t="shared" ref="W20:W83" ca="1" si="8">RAND()</f>
        <v>4.0790876320573322E-2</v>
      </c>
      <c r="X20" s="4" cm="1">
        <f t="array" aca="1" ref="X20" ca="1">MIN(SUM((Q20:V20&lt;W20)+0)+1,6)</f>
        <v>2</v>
      </c>
      <c r="Y20" s="4" t="str">
        <f t="shared" ca="1" si="3"/>
        <v>B</v>
      </c>
      <c r="AA20" s="97">
        <v>21.187561451253998</v>
      </c>
      <c r="AB20" s="98">
        <v>7.1277270027175987</v>
      </c>
      <c r="AC20" s="99">
        <v>151.0191538778416</v>
      </c>
    </row>
    <row r="21" spans="2:29" x14ac:dyDescent="0.2">
      <c r="B21" s="4" t="s">
        <v>115</v>
      </c>
      <c r="C21" s="4">
        <v>0.55932131678917996</v>
      </c>
      <c r="D21" s="4" t="s">
        <v>21</v>
      </c>
      <c r="E21" s="4" t="s">
        <v>31</v>
      </c>
      <c r="H21" s="4" t="s">
        <v>36</v>
      </c>
      <c r="I21" s="16">
        <f t="array" ref="I21:N21">I11:N11/SUM(I11:N11)</f>
        <v>9.5238095238095233E-2</v>
      </c>
      <c r="J21" s="14">
        <v>0.52380952380952384</v>
      </c>
      <c r="K21" s="15">
        <v>0.2857142857142857</v>
      </c>
      <c r="L21" s="15">
        <v>9.5238095238095233E-2</v>
      </c>
      <c r="M21" s="15">
        <v>0</v>
      </c>
      <c r="N21" s="13">
        <v>0</v>
      </c>
      <c r="P21" s="4" t="str">
        <f ca="1"/>
        <v>E</v>
      </c>
      <c r="Q21" s="79" cm="1">
        <f t="array" aca="1" ref="Q21:V21" ca="1">INDIRECT(P21)</f>
        <v>0</v>
      </c>
      <c r="R21" s="79">
        <f ca="1"/>
        <v>0</v>
      </c>
      <c r="S21" s="79">
        <f ca="1"/>
        <v>0</v>
      </c>
      <c r="T21" s="79">
        <f ca="1"/>
        <v>0.12</v>
      </c>
      <c r="U21" s="79">
        <f ca="1"/>
        <v>0.36</v>
      </c>
      <c r="V21" s="79">
        <f ca="1"/>
        <v>1</v>
      </c>
      <c r="W21" s="78">
        <f t="shared" ca="1" si="8"/>
        <v>6.5567234931090956E-2</v>
      </c>
      <c r="X21" s="4" cm="1">
        <f t="array" aca="1" ref="X21" ca="1">MIN(SUM((Q21:V21&lt;W21)+0)+1,6)</f>
        <v>4</v>
      </c>
      <c r="Y21" s="4" t="str">
        <f t="shared" ca="1" si="3"/>
        <v>D</v>
      </c>
      <c r="AA21" s="97">
        <v>99.017852588544912</v>
      </c>
      <c r="AB21" s="98">
        <v>1.4969246243228673</v>
      </c>
      <c r="AC21" s="99">
        <v>148.22226178736466</v>
      </c>
    </row>
    <row r="22" spans="2:29" x14ac:dyDescent="0.2">
      <c r="B22" s="4" t="s">
        <v>114</v>
      </c>
      <c r="C22" s="4">
        <v>0.57897251751359091</v>
      </c>
      <c r="D22" s="4" t="s">
        <v>21</v>
      </c>
      <c r="E22" s="4" t="s">
        <v>261</v>
      </c>
      <c r="H22" s="4" t="s">
        <v>21</v>
      </c>
      <c r="I22" s="16">
        <f t="array" ref="I22:N22">I12:N12/SUM(I12:N12)</f>
        <v>0</v>
      </c>
      <c r="J22" s="15">
        <v>9.5238095238095233E-2</v>
      </c>
      <c r="K22" s="14">
        <v>0.19047619047619047</v>
      </c>
      <c r="L22" s="15">
        <v>0.42857142857142855</v>
      </c>
      <c r="M22" s="15">
        <v>0.2857142857142857</v>
      </c>
      <c r="N22" s="13">
        <v>0</v>
      </c>
      <c r="P22" s="4" t="str">
        <f ca="1"/>
        <v>C_</v>
      </c>
      <c r="Q22" s="79" cm="1">
        <f t="array" aca="1" ref="Q22:V22" ca="1">INDIRECT(P22)</f>
        <v>0</v>
      </c>
      <c r="R22" s="79">
        <f ca="1"/>
        <v>9.5238095238095233E-2</v>
      </c>
      <c r="S22" s="79">
        <f ca="1"/>
        <v>0.2857142857142857</v>
      </c>
      <c r="T22" s="79">
        <f ca="1"/>
        <v>0.71428571428571419</v>
      </c>
      <c r="U22" s="79">
        <f ca="1"/>
        <v>0.99999999999999989</v>
      </c>
      <c r="V22" s="79">
        <f ca="1"/>
        <v>0.99999999999999989</v>
      </c>
      <c r="W22" s="78">
        <f t="shared" ca="1" si="8"/>
        <v>0.21918851966535824</v>
      </c>
      <c r="X22" s="4" cm="1">
        <f t="array" aca="1" ref="X22" ca="1">MIN(SUM((Q22:V22&lt;W22)+0)+1,6)</f>
        <v>3</v>
      </c>
      <c r="Y22" s="4" t="str">
        <f t="shared" ca="1" si="3"/>
        <v>C_</v>
      </c>
      <c r="AA22" s="97">
        <v>89.428696095140779</v>
      </c>
      <c r="AB22" s="98">
        <v>7.6093974701891414</v>
      </c>
      <c r="AC22" s="99">
        <v>680.49849382867774</v>
      </c>
    </row>
    <row r="23" spans="2:29" x14ac:dyDescent="0.2">
      <c r="B23" s="4" t="s">
        <v>113</v>
      </c>
      <c r="C23" s="4">
        <v>0.57354336706452547</v>
      </c>
      <c r="D23" s="4" t="s">
        <v>21</v>
      </c>
      <c r="E23" s="4" t="s">
        <v>20</v>
      </c>
      <c r="H23" s="4" t="s">
        <v>20</v>
      </c>
      <c r="I23" s="16">
        <f t="array" ref="I23:N23">I13:N13/SUM(I13:N13)</f>
        <v>0</v>
      </c>
      <c r="J23" s="15">
        <v>0</v>
      </c>
      <c r="K23" s="15">
        <v>0.1</v>
      </c>
      <c r="L23" s="14">
        <v>0.4</v>
      </c>
      <c r="M23" s="15">
        <v>0.35</v>
      </c>
      <c r="N23" s="13">
        <v>0.15</v>
      </c>
      <c r="P23" s="4" t="str">
        <f ca="1"/>
        <v>D</v>
      </c>
      <c r="Q23" s="79" cm="1">
        <f t="array" aca="1" ref="Q23:V23" ca="1">INDIRECT(P23)</f>
        <v>0</v>
      </c>
      <c r="R23" s="79">
        <f ca="1"/>
        <v>0</v>
      </c>
      <c r="S23" s="79">
        <f ca="1"/>
        <v>0.1</v>
      </c>
      <c r="T23" s="79">
        <f ca="1"/>
        <v>0.5</v>
      </c>
      <c r="U23" s="79">
        <f ca="1"/>
        <v>0.85</v>
      </c>
      <c r="V23" s="79">
        <f ca="1"/>
        <v>1</v>
      </c>
      <c r="W23" s="78">
        <f t="shared" ca="1" si="8"/>
        <v>0.40600351475501917</v>
      </c>
      <c r="X23" s="4" cm="1">
        <f t="array" aca="1" ref="X23" ca="1">MIN(SUM((Q23:V23&lt;W23)+0)+1,6)</f>
        <v>4</v>
      </c>
      <c r="Y23" s="4" t="str">
        <f t="shared" ca="1" si="3"/>
        <v>D</v>
      </c>
      <c r="AA23" s="97">
        <v>97.490593750922798</v>
      </c>
      <c r="AB23" s="98">
        <v>6.8702237255337684</v>
      </c>
      <c r="AC23" s="99">
        <v>669.78219020396398</v>
      </c>
    </row>
    <row r="24" spans="2:29" x14ac:dyDescent="0.2">
      <c r="B24" s="4" t="s">
        <v>112</v>
      </c>
      <c r="C24" s="4">
        <v>0.2220152633174447</v>
      </c>
      <c r="D24" s="4" t="s">
        <v>36</v>
      </c>
      <c r="E24" s="4" t="s">
        <v>23</v>
      </c>
      <c r="H24" s="4" t="s">
        <v>31</v>
      </c>
      <c r="I24" s="16">
        <f t="array" ref="I24:N24">I14:N14/SUM(I14:N14)</f>
        <v>0</v>
      </c>
      <c r="J24" s="15">
        <v>0</v>
      </c>
      <c r="K24" s="15">
        <v>0</v>
      </c>
      <c r="L24" s="15">
        <v>0.12</v>
      </c>
      <c r="M24" s="14">
        <v>0.24</v>
      </c>
      <c r="N24" s="13">
        <v>0.64</v>
      </c>
      <c r="P24" s="4" t="str">
        <f ca="1"/>
        <v>A</v>
      </c>
      <c r="Q24" s="79" cm="1">
        <f t="array" aca="1" ref="Q24:V24" ca="1">INDIRECT(P24)</f>
        <v>0.53846153846153844</v>
      </c>
      <c r="R24" s="79">
        <f ca="1"/>
        <v>0.84615384615384615</v>
      </c>
      <c r="S24" s="79">
        <f ca="1"/>
        <v>1</v>
      </c>
      <c r="T24" s="79">
        <f ca="1"/>
        <v>1</v>
      </c>
      <c r="U24" s="79">
        <f ca="1"/>
        <v>1</v>
      </c>
      <c r="V24" s="79">
        <f ca="1"/>
        <v>1</v>
      </c>
      <c r="W24" s="78">
        <f t="shared" ca="1" si="8"/>
        <v>0.64801865490602251</v>
      </c>
      <c r="X24" s="4" cm="1">
        <f t="array" aca="1" ref="X24" ca="1">MIN(SUM((Q24:V24&lt;W24)+0)+1,6)</f>
        <v>2</v>
      </c>
      <c r="Y24" s="4" t="str">
        <f t="shared" ca="1" si="3"/>
        <v>B</v>
      </c>
      <c r="AA24" s="97">
        <v>11.835634126517435</v>
      </c>
      <c r="AB24" s="98">
        <v>10.932351871754516</v>
      </c>
      <c r="AC24" s="99">
        <v>129.39131689643452</v>
      </c>
    </row>
    <row r="25" spans="2:29" x14ac:dyDescent="0.2">
      <c r="B25" s="4" t="s">
        <v>111</v>
      </c>
      <c r="C25" s="4">
        <v>0.93262582287957241</v>
      </c>
      <c r="D25" s="4" t="s">
        <v>31</v>
      </c>
      <c r="E25" s="4" t="s">
        <v>27</v>
      </c>
      <c r="H25" s="4" t="s">
        <v>27</v>
      </c>
      <c r="I25" s="12">
        <f t="array" ref="I25:N25">IFERROR(I15:N15/SUM(I15:N15),0)</f>
        <v>0</v>
      </c>
      <c r="J25" s="11">
        <v>0</v>
      </c>
      <c r="K25" s="11">
        <v>0</v>
      </c>
      <c r="L25" s="11">
        <v>0</v>
      </c>
      <c r="M25" s="11">
        <v>0</v>
      </c>
      <c r="N25" s="10">
        <v>0</v>
      </c>
      <c r="P25" s="4" t="str">
        <f ca="1"/>
        <v>F</v>
      </c>
      <c r="Q25" s="79" cm="1">
        <f t="array" aca="1" ref="Q25:V25" ca="1">INDIRECT(P25)</f>
        <v>0</v>
      </c>
      <c r="R25" s="79">
        <f ca="1"/>
        <v>0</v>
      </c>
      <c r="S25" s="79">
        <f ca="1"/>
        <v>0</v>
      </c>
      <c r="T25" s="79">
        <f ca="1"/>
        <v>0</v>
      </c>
      <c r="U25" s="79">
        <f ca="1"/>
        <v>0</v>
      </c>
      <c r="V25" s="79">
        <f ca="1"/>
        <v>0</v>
      </c>
      <c r="W25" s="78">
        <f t="shared" ca="1" si="8"/>
        <v>0.21132517693819286</v>
      </c>
      <c r="X25" s="4" cm="1">
        <f t="array" aca="1" ref="X25" ca="1">MIN(SUM((Q25:V25&lt;W25)+0)+1,6)</f>
        <v>6</v>
      </c>
      <c r="Y25" s="4" t="str">
        <f t="shared" ca="1" si="3"/>
        <v>F</v>
      </c>
      <c r="AA25" s="97">
        <v>16.788775597477603</v>
      </c>
      <c r="AB25" s="98">
        <v>1.5244219381878628</v>
      </c>
      <c r="AC25" s="99">
        <v>25.593177836107902</v>
      </c>
    </row>
    <row r="26" spans="2:29" x14ac:dyDescent="0.2">
      <c r="B26" s="4" t="s">
        <v>110</v>
      </c>
      <c r="C26" s="4">
        <v>0.62075910543702517</v>
      </c>
      <c r="D26" s="4" t="s">
        <v>20</v>
      </c>
      <c r="E26" s="4" t="s">
        <v>20</v>
      </c>
      <c r="P26" s="4" t="str">
        <f ca="1"/>
        <v>D</v>
      </c>
      <c r="Q26" s="79" cm="1">
        <f t="array" aca="1" ref="Q26:V26" ca="1">INDIRECT(P26)</f>
        <v>0</v>
      </c>
      <c r="R26" s="79">
        <f ca="1"/>
        <v>0</v>
      </c>
      <c r="S26" s="79">
        <f ca="1"/>
        <v>0.1</v>
      </c>
      <c r="T26" s="79">
        <f ca="1"/>
        <v>0.5</v>
      </c>
      <c r="U26" s="79">
        <f ca="1"/>
        <v>0.85</v>
      </c>
      <c r="V26" s="79">
        <f ca="1"/>
        <v>1</v>
      </c>
      <c r="W26" s="78">
        <f t="shared" ca="1" si="8"/>
        <v>0.93389381260732196</v>
      </c>
      <c r="X26" s="4" cm="1">
        <f t="array" aca="1" ref="X26" ca="1">MIN(SUM((Q26:V26&lt;W26)+0)+1,6)</f>
        <v>6</v>
      </c>
      <c r="Y26" s="4" t="str">
        <f t="shared" ca="1" si="3"/>
        <v>F</v>
      </c>
      <c r="AA26" s="97">
        <v>25.594671943319081</v>
      </c>
      <c r="AB26" s="98">
        <v>5.1703871658063152</v>
      </c>
      <c r="AC26" s="99">
        <v>132.33436332875996</v>
      </c>
    </row>
    <row r="27" spans="2:29" x14ac:dyDescent="0.2">
      <c r="B27" s="4" t="s">
        <v>109</v>
      </c>
      <c r="C27" s="4">
        <v>0.22819056193474963</v>
      </c>
      <c r="D27" s="4" t="s">
        <v>36</v>
      </c>
      <c r="E27" s="4" t="s">
        <v>36</v>
      </c>
      <c r="P27" s="4" t="str">
        <f ca="1"/>
        <v>B</v>
      </c>
      <c r="Q27" s="79" cm="1">
        <f t="array" aca="1" ref="Q27:V27" ca="1">INDIRECT(P27)</f>
        <v>9.5238095238095233E-2</v>
      </c>
      <c r="R27" s="79">
        <f ca="1"/>
        <v>0.61904761904761907</v>
      </c>
      <c r="S27" s="79">
        <f ca="1"/>
        <v>0.90476190476190477</v>
      </c>
      <c r="T27" s="79">
        <f ca="1"/>
        <v>1</v>
      </c>
      <c r="U27" s="79">
        <f ca="1"/>
        <v>1</v>
      </c>
      <c r="V27" s="79">
        <f ca="1"/>
        <v>1</v>
      </c>
      <c r="W27" s="78">
        <f t="shared" ca="1" si="8"/>
        <v>0.15767167663017401</v>
      </c>
      <c r="X27" s="4" cm="1">
        <f t="array" aca="1" ref="X27" ca="1">MIN(SUM((Q27:V27&lt;W27)+0)+1,6)</f>
        <v>2</v>
      </c>
      <c r="Y27" s="4" t="str">
        <f t="shared" ca="1" si="3"/>
        <v>B</v>
      </c>
      <c r="AA27" s="97">
        <v>46.397183218041768</v>
      </c>
      <c r="AB27" s="98">
        <v>8.0711338068908027</v>
      </c>
      <c r="AC27" s="99">
        <v>374.47787401564352</v>
      </c>
    </row>
    <row r="28" spans="2:29" x14ac:dyDescent="0.2">
      <c r="B28" s="4" t="s">
        <v>108</v>
      </c>
      <c r="C28" s="4">
        <v>0.77132432197816658</v>
      </c>
      <c r="D28" s="4" t="s">
        <v>20</v>
      </c>
      <c r="E28" s="4" t="s">
        <v>20</v>
      </c>
      <c r="P28" s="4" t="str">
        <f ca="1"/>
        <v>D</v>
      </c>
      <c r="Q28" s="79" cm="1">
        <f t="array" aca="1" ref="Q28:V28" ca="1">INDIRECT(P28)</f>
        <v>0</v>
      </c>
      <c r="R28" s="79">
        <f ca="1"/>
        <v>0</v>
      </c>
      <c r="S28" s="79">
        <f ca="1"/>
        <v>0.1</v>
      </c>
      <c r="T28" s="79">
        <f ca="1"/>
        <v>0.5</v>
      </c>
      <c r="U28" s="79">
        <f ca="1"/>
        <v>0.85</v>
      </c>
      <c r="V28" s="79">
        <f ca="1"/>
        <v>1</v>
      </c>
      <c r="W28" s="78">
        <f t="shared" ca="1" si="8"/>
        <v>0.80984438104523437</v>
      </c>
      <c r="X28" s="4" cm="1">
        <f t="array" aca="1" ref="X28" ca="1">MIN(SUM((Q28:V28&lt;W28)+0)+1,6)</f>
        <v>5</v>
      </c>
      <c r="Y28" s="4" t="str">
        <f t="shared" ca="1" si="3"/>
        <v>E</v>
      </c>
      <c r="AA28" s="97">
        <v>22.422308321723992</v>
      </c>
      <c r="AB28" s="98">
        <v>5.0711388322277493</v>
      </c>
      <c r="AC28" s="99">
        <v>113.70663843847795</v>
      </c>
    </row>
    <row r="29" spans="2:29" x14ac:dyDescent="0.2">
      <c r="B29" s="4" t="s">
        <v>107</v>
      </c>
      <c r="C29" s="4">
        <v>0.57246332435771263</v>
      </c>
      <c r="D29" s="4" t="s">
        <v>21</v>
      </c>
      <c r="E29" s="4" t="s">
        <v>31</v>
      </c>
      <c r="H29" s="9" t="s">
        <v>106</v>
      </c>
      <c r="P29" s="4" t="str">
        <f ca="1"/>
        <v>E</v>
      </c>
      <c r="Q29" s="79" cm="1">
        <f t="array" aca="1" ref="Q29:V29" ca="1">INDIRECT(P29)</f>
        <v>0</v>
      </c>
      <c r="R29" s="79">
        <f ca="1"/>
        <v>0</v>
      </c>
      <c r="S29" s="79">
        <f ca="1"/>
        <v>0</v>
      </c>
      <c r="T29" s="79">
        <f ca="1"/>
        <v>0.12</v>
      </c>
      <c r="U29" s="79">
        <f ca="1"/>
        <v>0.36</v>
      </c>
      <c r="V29" s="79">
        <f ca="1"/>
        <v>1</v>
      </c>
      <c r="W29" s="78">
        <f t="shared" ca="1" si="8"/>
        <v>0.76809827168708955</v>
      </c>
      <c r="X29" s="4" cm="1">
        <f t="array" aca="1" ref="X29" ca="1">MIN(SUM((Q29:V29&lt;W29)+0)+1,6)</f>
        <v>6</v>
      </c>
      <c r="Y29" s="4" t="str">
        <f t="shared" ca="1" si="3"/>
        <v>F</v>
      </c>
      <c r="AA29" s="97">
        <v>49.900240230025631</v>
      </c>
      <c r="AB29" s="98">
        <v>3.5278072841494366</v>
      </c>
      <c r="AC29" s="99">
        <v>176.03843096429117</v>
      </c>
    </row>
    <row r="30" spans="2:29" x14ac:dyDescent="0.2">
      <c r="B30" s="4" t="s">
        <v>105</v>
      </c>
      <c r="C30" s="4">
        <v>0.86103184618814521</v>
      </c>
      <c r="D30" s="4" t="s">
        <v>31</v>
      </c>
      <c r="E30" s="4" t="s">
        <v>20</v>
      </c>
      <c r="I30" s="8" t="s">
        <v>23</v>
      </c>
      <c r="J30" s="8" t="s">
        <v>36</v>
      </c>
      <c r="K30" s="8" t="s">
        <v>21</v>
      </c>
      <c r="L30" s="8" t="s">
        <v>20</v>
      </c>
      <c r="M30" s="8" t="s">
        <v>31</v>
      </c>
      <c r="N30" s="8" t="s">
        <v>27</v>
      </c>
      <c r="P30" s="4" t="str">
        <f ca="1"/>
        <v>D</v>
      </c>
      <c r="Q30" s="79" cm="1">
        <f t="array" aca="1" ref="Q30:V30" ca="1">INDIRECT(P30)</f>
        <v>0</v>
      </c>
      <c r="R30" s="79">
        <f ca="1"/>
        <v>0</v>
      </c>
      <c r="S30" s="79">
        <f ca="1"/>
        <v>0.1</v>
      </c>
      <c r="T30" s="79">
        <f ca="1"/>
        <v>0.5</v>
      </c>
      <c r="U30" s="79">
        <f ca="1"/>
        <v>0.85</v>
      </c>
      <c r="V30" s="79">
        <f ca="1"/>
        <v>1</v>
      </c>
      <c r="W30" s="78">
        <f t="shared" ca="1" si="8"/>
        <v>0.98876819648892966</v>
      </c>
      <c r="X30" s="4" cm="1">
        <f t="array" aca="1" ref="X30" ca="1">MIN(SUM((Q30:V30&lt;W30)+0)+1,6)</f>
        <v>6</v>
      </c>
      <c r="Y30" s="4" t="str">
        <f t="shared" ca="1" si="3"/>
        <v>F</v>
      </c>
      <c r="AA30" s="97">
        <v>88.634516281821547</v>
      </c>
      <c r="AB30" s="98">
        <v>5.3101370653186271</v>
      </c>
      <c r="AC30" s="99">
        <v>470.66143017468795</v>
      </c>
    </row>
    <row r="31" spans="2:29" x14ac:dyDescent="0.2">
      <c r="B31" s="4" t="s">
        <v>104</v>
      </c>
      <c r="C31" s="4">
        <v>0.94709052952496053</v>
      </c>
      <c r="D31" s="4" t="s">
        <v>31</v>
      </c>
      <c r="E31" s="4" t="s">
        <v>27</v>
      </c>
      <c r="H31" s="4" t="s">
        <v>23</v>
      </c>
      <c r="I31" s="88">
        <f>I20</f>
        <v>0.53846153846153844</v>
      </c>
      <c r="J31" s="89">
        <f t="shared" ref="J31:N36" si="9">J20+I31</f>
        <v>0.84615384615384615</v>
      </c>
      <c r="K31" s="89">
        <f t="shared" si="9"/>
        <v>1</v>
      </c>
      <c r="L31" s="89">
        <f t="shared" si="9"/>
        <v>1</v>
      </c>
      <c r="M31" s="89">
        <f t="shared" si="9"/>
        <v>1</v>
      </c>
      <c r="N31" s="90">
        <f t="shared" si="9"/>
        <v>1</v>
      </c>
      <c r="P31" s="4" t="str">
        <f ca="1"/>
        <v>F</v>
      </c>
      <c r="Q31" s="79" cm="1">
        <f t="array" aca="1" ref="Q31:V31" ca="1">INDIRECT(P31)</f>
        <v>0</v>
      </c>
      <c r="R31" s="79">
        <f ca="1"/>
        <v>0</v>
      </c>
      <c r="S31" s="79">
        <f ca="1"/>
        <v>0</v>
      </c>
      <c r="T31" s="79">
        <f ca="1"/>
        <v>0</v>
      </c>
      <c r="U31" s="79">
        <f ca="1"/>
        <v>0</v>
      </c>
      <c r="V31" s="79">
        <f ca="1"/>
        <v>0</v>
      </c>
      <c r="W31" s="78">
        <f t="shared" ca="1" si="8"/>
        <v>0.26588019173803268</v>
      </c>
      <c r="X31" s="4" cm="1">
        <f t="array" aca="1" ref="X31" ca="1">MIN(SUM((Q31:V31&lt;W31)+0)+1,6)</f>
        <v>6</v>
      </c>
      <c r="Y31" s="4" t="str">
        <f t="shared" ca="1" si="3"/>
        <v>F</v>
      </c>
      <c r="AA31" s="97">
        <v>28.880299552292112</v>
      </c>
      <c r="AB31" s="98">
        <v>0.80637700826324499</v>
      </c>
      <c r="AC31" s="99">
        <v>23.288409550723646</v>
      </c>
    </row>
    <row r="32" spans="2:29" x14ac:dyDescent="0.2">
      <c r="B32" s="4" t="s">
        <v>103</v>
      </c>
      <c r="C32" s="4">
        <v>0.85909824540678892</v>
      </c>
      <c r="D32" s="4" t="s">
        <v>31</v>
      </c>
      <c r="E32" s="4" t="s">
        <v>20</v>
      </c>
      <c r="H32" s="4" t="s">
        <v>36</v>
      </c>
      <c r="I32" s="91">
        <f t="shared" ref="I32:I36" si="10">I21</f>
        <v>9.5238095238095233E-2</v>
      </c>
      <c r="J32" s="92">
        <f t="shared" si="9"/>
        <v>0.61904761904761907</v>
      </c>
      <c r="K32" s="92">
        <f t="shared" si="9"/>
        <v>0.90476190476190477</v>
      </c>
      <c r="L32" s="92">
        <f t="shared" si="9"/>
        <v>1</v>
      </c>
      <c r="M32" s="92">
        <f t="shared" si="9"/>
        <v>1</v>
      </c>
      <c r="N32" s="93">
        <f t="shared" si="9"/>
        <v>1</v>
      </c>
      <c r="P32" s="4" t="str">
        <f ca="1"/>
        <v>D</v>
      </c>
      <c r="Q32" s="79" cm="1">
        <f t="array" aca="1" ref="Q32:V32" ca="1">INDIRECT(P32)</f>
        <v>0</v>
      </c>
      <c r="R32" s="79">
        <f ca="1"/>
        <v>0</v>
      </c>
      <c r="S32" s="79">
        <f ca="1"/>
        <v>0.1</v>
      </c>
      <c r="T32" s="79">
        <f ca="1"/>
        <v>0.5</v>
      </c>
      <c r="U32" s="79">
        <f ca="1"/>
        <v>0.85</v>
      </c>
      <c r="V32" s="79">
        <f ca="1"/>
        <v>1</v>
      </c>
      <c r="W32" s="78">
        <f t="shared" ca="1" si="8"/>
        <v>5.7453922074525154E-2</v>
      </c>
      <c r="X32" s="4" cm="1">
        <f t="array" aca="1" ref="X32" ca="1">MIN(SUM((Q32:V32&lt;W32)+0)+1,6)</f>
        <v>3</v>
      </c>
      <c r="Y32" s="4" t="str">
        <f t="shared" ca="1" si="3"/>
        <v>C_</v>
      </c>
      <c r="AA32" s="97">
        <v>21.610227046155149</v>
      </c>
      <c r="AB32" s="98">
        <v>6.9531340803672181</v>
      </c>
      <c r="AC32" s="99">
        <v>150.25880615909477</v>
      </c>
    </row>
    <row r="33" spans="2:29" x14ac:dyDescent="0.2">
      <c r="B33" s="4" t="s">
        <v>102</v>
      </c>
      <c r="C33" s="4">
        <v>0.13326863734457084</v>
      </c>
      <c r="D33" s="4" t="s">
        <v>23</v>
      </c>
      <c r="E33" s="4" t="s">
        <v>23</v>
      </c>
      <c r="H33" s="4" t="s">
        <v>261</v>
      </c>
      <c r="I33" s="91">
        <f t="shared" si="10"/>
        <v>0</v>
      </c>
      <c r="J33" s="92">
        <f t="shared" si="9"/>
        <v>9.5238095238095233E-2</v>
      </c>
      <c r="K33" s="92">
        <f t="shared" si="9"/>
        <v>0.2857142857142857</v>
      </c>
      <c r="L33" s="92">
        <f t="shared" si="9"/>
        <v>0.71428571428571419</v>
      </c>
      <c r="M33" s="92">
        <f t="shared" si="9"/>
        <v>0.99999999999999989</v>
      </c>
      <c r="N33" s="93">
        <f t="shared" si="9"/>
        <v>0.99999999999999989</v>
      </c>
      <c r="P33" s="4" t="str">
        <f ca="1"/>
        <v>A</v>
      </c>
      <c r="Q33" s="79" cm="1">
        <f t="array" aca="1" ref="Q33:V33" ca="1">INDIRECT(P33)</f>
        <v>0.53846153846153844</v>
      </c>
      <c r="R33" s="79">
        <f ca="1"/>
        <v>0.84615384615384615</v>
      </c>
      <c r="S33" s="79">
        <f ca="1"/>
        <v>1</v>
      </c>
      <c r="T33" s="79">
        <f ca="1"/>
        <v>1</v>
      </c>
      <c r="U33" s="79">
        <f ca="1"/>
        <v>1</v>
      </c>
      <c r="V33" s="79">
        <f ca="1"/>
        <v>1</v>
      </c>
      <c r="W33" s="78">
        <f t="shared" ca="1" si="8"/>
        <v>0.55446875821315578</v>
      </c>
      <c r="X33" s="4" cm="1">
        <f t="array" aca="1" ref="X33" ca="1">MIN(SUM((Q33:V33&lt;W33)+0)+1,6)</f>
        <v>2</v>
      </c>
      <c r="Y33" s="4" t="str">
        <f t="shared" ca="1" si="3"/>
        <v>B</v>
      </c>
      <c r="AA33" s="97">
        <v>85.021688878712865</v>
      </c>
      <c r="AB33" s="98">
        <v>10.399959882403085</v>
      </c>
      <c r="AC33" s="99">
        <v>884.22215347277029</v>
      </c>
    </row>
    <row r="34" spans="2:29" x14ac:dyDescent="0.2">
      <c r="B34" s="4" t="s">
        <v>101</v>
      </c>
      <c r="C34" s="4">
        <v>2.4561640532133056E-2</v>
      </c>
      <c r="D34" s="4" t="s">
        <v>23</v>
      </c>
      <c r="E34" s="4" t="s">
        <v>23</v>
      </c>
      <c r="H34" s="4" t="s">
        <v>20</v>
      </c>
      <c r="I34" s="91">
        <f t="shared" si="10"/>
        <v>0</v>
      </c>
      <c r="J34" s="92">
        <f t="shared" si="9"/>
        <v>0</v>
      </c>
      <c r="K34" s="92">
        <f t="shared" si="9"/>
        <v>0.1</v>
      </c>
      <c r="L34" s="92">
        <f t="shared" si="9"/>
        <v>0.5</v>
      </c>
      <c r="M34" s="92">
        <f t="shared" si="9"/>
        <v>0.85</v>
      </c>
      <c r="N34" s="93">
        <f t="shared" si="9"/>
        <v>1</v>
      </c>
      <c r="P34" s="4" t="str">
        <f ca="1"/>
        <v>A</v>
      </c>
      <c r="Q34" s="79" cm="1">
        <f t="array" aca="1" ref="Q34:V34" ca="1">INDIRECT(P34)</f>
        <v>0.53846153846153844</v>
      </c>
      <c r="R34" s="79">
        <f ca="1"/>
        <v>0.84615384615384615</v>
      </c>
      <c r="S34" s="79">
        <f ca="1"/>
        <v>1</v>
      </c>
      <c r="T34" s="79">
        <f ca="1"/>
        <v>1</v>
      </c>
      <c r="U34" s="79">
        <f ca="1"/>
        <v>1</v>
      </c>
      <c r="V34" s="79">
        <f ca="1"/>
        <v>1</v>
      </c>
      <c r="W34" s="78">
        <f t="shared" ca="1" si="8"/>
        <v>0.59085195586527905</v>
      </c>
      <c r="X34" s="4" cm="1">
        <f t="array" aca="1" ref="X34" ca="1">MIN(SUM((Q34:V34&lt;W34)+0)+1,6)</f>
        <v>2</v>
      </c>
      <c r="Y34" s="4" t="str">
        <f t="shared" ca="1" si="3"/>
        <v>B</v>
      </c>
      <c r="AA34" s="97">
        <v>21.473754008323841</v>
      </c>
      <c r="AB34" s="98">
        <v>8.2059291658347995</v>
      </c>
      <c r="AC34" s="99">
        <v>176.21210431686654</v>
      </c>
    </row>
    <row r="35" spans="2:29" x14ac:dyDescent="0.2">
      <c r="B35" s="4" t="s">
        <v>100</v>
      </c>
      <c r="C35" s="4">
        <v>0.69102718204006508</v>
      </c>
      <c r="D35" s="4" t="s">
        <v>20</v>
      </c>
      <c r="E35" s="4" t="s">
        <v>31</v>
      </c>
      <c r="H35" s="4" t="s">
        <v>31</v>
      </c>
      <c r="I35" s="91">
        <f t="shared" si="10"/>
        <v>0</v>
      </c>
      <c r="J35" s="92">
        <f t="shared" si="9"/>
        <v>0</v>
      </c>
      <c r="K35" s="92">
        <f t="shared" si="9"/>
        <v>0</v>
      </c>
      <c r="L35" s="92">
        <f t="shared" si="9"/>
        <v>0.12</v>
      </c>
      <c r="M35" s="92">
        <f t="shared" si="9"/>
        <v>0.36</v>
      </c>
      <c r="N35" s="93">
        <f t="shared" si="9"/>
        <v>1</v>
      </c>
      <c r="P35" s="4" t="str">
        <f ca="1"/>
        <v>E</v>
      </c>
      <c r="Q35" s="79" cm="1">
        <f t="array" aca="1" ref="Q35:V35" ca="1">INDIRECT(P35)</f>
        <v>0</v>
      </c>
      <c r="R35" s="79">
        <f ca="1"/>
        <v>0</v>
      </c>
      <c r="S35" s="79">
        <f ca="1"/>
        <v>0</v>
      </c>
      <c r="T35" s="79">
        <f ca="1"/>
        <v>0.12</v>
      </c>
      <c r="U35" s="79">
        <f ca="1"/>
        <v>0.36</v>
      </c>
      <c r="V35" s="79">
        <f ca="1"/>
        <v>1</v>
      </c>
      <c r="W35" s="78">
        <f t="shared" ca="1" si="8"/>
        <v>0.3337581809274438</v>
      </c>
      <c r="X35" s="4" cm="1">
        <f t="array" aca="1" ref="X35" ca="1">MIN(SUM((Q35:V35&lt;W35)+0)+1,6)</f>
        <v>5</v>
      </c>
      <c r="Y35" s="4" t="str">
        <f t="shared" ca="1" si="3"/>
        <v>E</v>
      </c>
      <c r="AA35" s="97">
        <v>61.912255756391033</v>
      </c>
      <c r="AB35" s="98">
        <v>1.8594266660912036</v>
      </c>
      <c r="AC35" s="99">
        <v>115.12129931129211</v>
      </c>
    </row>
    <row r="36" spans="2:29" x14ac:dyDescent="0.2">
      <c r="B36" s="4" t="s">
        <v>99</v>
      </c>
      <c r="C36" s="4">
        <v>0.47219088645737706</v>
      </c>
      <c r="D36" s="4" t="s">
        <v>21</v>
      </c>
      <c r="E36" s="4" t="s">
        <v>20</v>
      </c>
      <c r="H36" s="4" t="s">
        <v>27</v>
      </c>
      <c r="I36" s="94">
        <f t="shared" si="10"/>
        <v>0</v>
      </c>
      <c r="J36" s="95">
        <f t="shared" si="9"/>
        <v>0</v>
      </c>
      <c r="K36" s="95">
        <f t="shared" si="9"/>
        <v>0</v>
      </c>
      <c r="L36" s="95">
        <f t="shared" si="9"/>
        <v>0</v>
      </c>
      <c r="M36" s="95">
        <f t="shared" si="9"/>
        <v>0</v>
      </c>
      <c r="N36" s="96">
        <f t="shared" si="9"/>
        <v>0</v>
      </c>
      <c r="P36" s="4" t="str">
        <f ca="1"/>
        <v>D</v>
      </c>
      <c r="Q36" s="79" cm="1">
        <f t="array" aca="1" ref="Q36:V36" ca="1">INDIRECT(P36)</f>
        <v>0</v>
      </c>
      <c r="R36" s="79">
        <f ca="1"/>
        <v>0</v>
      </c>
      <c r="S36" s="79">
        <f ca="1"/>
        <v>0.1</v>
      </c>
      <c r="T36" s="79">
        <f ca="1"/>
        <v>0.5</v>
      </c>
      <c r="U36" s="79">
        <f ca="1"/>
        <v>0.85</v>
      </c>
      <c r="V36" s="79">
        <f ca="1"/>
        <v>1</v>
      </c>
      <c r="W36" s="78">
        <f t="shared" ca="1" si="8"/>
        <v>0.55221007630012953</v>
      </c>
      <c r="X36" s="4" cm="1">
        <f t="array" aca="1" ref="X36" ca="1">MIN(SUM((Q36:V36&lt;W36)+0)+1,6)</f>
        <v>5</v>
      </c>
      <c r="Y36" s="4" t="str">
        <f t="shared" ca="1" si="3"/>
        <v>E</v>
      </c>
      <c r="AA36" s="97">
        <v>53.322073630811737</v>
      </c>
      <c r="AB36" s="98">
        <v>6.4046647552474081</v>
      </c>
      <c r="AC36" s="99">
        <v>341.51000565996713</v>
      </c>
    </row>
    <row r="37" spans="2:29" x14ac:dyDescent="0.2">
      <c r="B37" s="4" t="s">
        <v>98</v>
      </c>
      <c r="C37" s="4">
        <v>0.96736610542638979</v>
      </c>
      <c r="D37" s="4" t="s">
        <v>31</v>
      </c>
      <c r="E37" s="4" t="s">
        <v>27</v>
      </c>
      <c r="P37" s="4" t="str">
        <f ca="1"/>
        <v>F</v>
      </c>
      <c r="Q37" s="79" cm="1">
        <f t="array" aca="1" ref="Q37:V37" ca="1">INDIRECT(P37)</f>
        <v>0</v>
      </c>
      <c r="R37" s="79">
        <f ca="1"/>
        <v>0</v>
      </c>
      <c r="S37" s="79">
        <f ca="1"/>
        <v>0</v>
      </c>
      <c r="T37" s="79">
        <f ca="1"/>
        <v>0</v>
      </c>
      <c r="U37" s="79">
        <f ca="1"/>
        <v>0</v>
      </c>
      <c r="V37" s="79">
        <f ca="1"/>
        <v>0</v>
      </c>
      <c r="W37" s="78">
        <f t="shared" ca="1" si="8"/>
        <v>0.60479606956019705</v>
      </c>
      <c r="X37" s="4" cm="1">
        <f t="array" aca="1" ref="X37" ca="1">MIN(SUM((Q37:V37&lt;W37)+0)+1,6)</f>
        <v>6</v>
      </c>
      <c r="Y37" s="4" t="str">
        <f t="shared" ca="1" si="3"/>
        <v>F</v>
      </c>
      <c r="AA37" s="97">
        <v>36.39863146840986</v>
      </c>
      <c r="AB37" s="98">
        <v>0.49332315522988845</v>
      </c>
      <c r="AC37" s="99">
        <v>17.956287722045861</v>
      </c>
    </row>
    <row r="38" spans="2:29" x14ac:dyDescent="0.2">
      <c r="B38" s="4" t="s">
        <v>97</v>
      </c>
      <c r="C38" s="4">
        <v>0.32731700081355264</v>
      </c>
      <c r="D38" s="4" t="s">
        <v>36</v>
      </c>
      <c r="E38" s="4" t="s">
        <v>36</v>
      </c>
      <c r="P38" s="4" t="str">
        <f ca="1"/>
        <v>B</v>
      </c>
      <c r="Q38" s="79" cm="1">
        <f t="array" aca="1" ref="Q38:V38" ca="1">INDIRECT(P38)</f>
        <v>9.5238095238095233E-2</v>
      </c>
      <c r="R38" s="79">
        <f ca="1"/>
        <v>0.61904761904761907</v>
      </c>
      <c r="S38" s="79">
        <f ca="1"/>
        <v>0.90476190476190477</v>
      </c>
      <c r="T38" s="79">
        <f ca="1"/>
        <v>1</v>
      </c>
      <c r="U38" s="79">
        <f ca="1"/>
        <v>1</v>
      </c>
      <c r="V38" s="79">
        <f ca="1"/>
        <v>1</v>
      </c>
      <c r="W38" s="78">
        <f t="shared" ca="1" si="8"/>
        <v>7.8996413941383348E-2</v>
      </c>
      <c r="X38" s="4" cm="1">
        <f t="array" aca="1" ref="X38" ca="1">MIN(SUM((Q38:V38&lt;W38)+0)+1,6)</f>
        <v>1</v>
      </c>
      <c r="Y38" s="4" t="str">
        <f t="shared" ca="1" si="3"/>
        <v>A</v>
      </c>
      <c r="AA38" s="97">
        <v>66.337934995536642</v>
      </c>
      <c r="AB38" s="98">
        <v>8.4695858142277398</v>
      </c>
      <c r="AC38" s="99">
        <v>561.85483318335912</v>
      </c>
    </row>
    <row r="39" spans="2:29" x14ac:dyDescent="0.2">
      <c r="B39" s="4" t="s">
        <v>96</v>
      </c>
      <c r="C39" s="4">
        <v>2.2840188242793991E-2</v>
      </c>
      <c r="D39" s="4" t="s">
        <v>23</v>
      </c>
      <c r="E39" s="4" t="s">
        <v>36</v>
      </c>
      <c r="P39" s="4" t="str">
        <f ca="1"/>
        <v>B</v>
      </c>
      <c r="Q39" s="79" cm="1">
        <f t="array" aca="1" ref="Q39:V39" ca="1">INDIRECT(P39)</f>
        <v>9.5238095238095233E-2</v>
      </c>
      <c r="R39" s="79">
        <f ca="1"/>
        <v>0.61904761904761907</v>
      </c>
      <c r="S39" s="79">
        <f ca="1"/>
        <v>0.90476190476190477</v>
      </c>
      <c r="T39" s="79">
        <f ca="1"/>
        <v>1</v>
      </c>
      <c r="U39" s="79">
        <f ca="1"/>
        <v>1</v>
      </c>
      <c r="V39" s="79">
        <f ca="1"/>
        <v>1</v>
      </c>
      <c r="W39" s="78">
        <f t="shared" ca="1" si="8"/>
        <v>0.90803018744528885</v>
      </c>
      <c r="X39" s="4" cm="1">
        <f t="array" aca="1" ref="X39" ca="1">MIN(SUM((Q39:V39&lt;W39)+0)+1,6)</f>
        <v>4</v>
      </c>
      <c r="Y39" s="4" t="str">
        <f t="shared" ca="1" si="3"/>
        <v>D</v>
      </c>
      <c r="AA39" s="97">
        <v>79.531764776477075</v>
      </c>
      <c r="AB39" s="98">
        <v>9.1851074752231554</v>
      </c>
      <c r="AC39" s="99">
        <v>730.50780716610927</v>
      </c>
    </row>
    <row r="40" spans="2:29" x14ac:dyDescent="0.2">
      <c r="B40" s="4" t="s">
        <v>95</v>
      </c>
      <c r="C40" s="4">
        <v>0.92397381828911795</v>
      </c>
      <c r="D40" s="4" t="s">
        <v>31</v>
      </c>
      <c r="E40" s="4" t="s">
        <v>27</v>
      </c>
      <c r="P40" s="4" t="str">
        <f ca="1"/>
        <v>F</v>
      </c>
      <c r="Q40" s="79" cm="1">
        <f t="array" aca="1" ref="Q40:V40" ca="1">INDIRECT(P40)</f>
        <v>0</v>
      </c>
      <c r="R40" s="79">
        <f ca="1"/>
        <v>0</v>
      </c>
      <c r="S40" s="79">
        <f ca="1"/>
        <v>0</v>
      </c>
      <c r="T40" s="79">
        <f ca="1"/>
        <v>0</v>
      </c>
      <c r="U40" s="79">
        <f ca="1"/>
        <v>0</v>
      </c>
      <c r="V40" s="79">
        <f ca="1"/>
        <v>0</v>
      </c>
      <c r="W40" s="78">
        <f t="shared" ca="1" si="8"/>
        <v>6.2408113679166544E-3</v>
      </c>
      <c r="X40" s="4" cm="1">
        <f t="array" aca="1" ref="X40" ca="1">MIN(SUM((Q40:V40&lt;W40)+0)+1,6)</f>
        <v>6</v>
      </c>
      <c r="Y40" s="4" t="str">
        <f t="shared" ca="1" si="3"/>
        <v>F</v>
      </c>
      <c r="AA40" s="97">
        <v>48.107876050329644</v>
      </c>
      <c r="AB40" s="98">
        <v>0.84851868925850327</v>
      </c>
      <c r="AC40" s="99">
        <v>40.82043192923625</v>
      </c>
    </row>
    <row r="41" spans="2:29" x14ac:dyDescent="0.2">
      <c r="B41" s="4" t="s">
        <v>94</v>
      </c>
      <c r="C41" s="4">
        <v>7.7896725092658436E-2</v>
      </c>
      <c r="D41" s="4" t="s">
        <v>23</v>
      </c>
      <c r="E41" s="4" t="s">
        <v>36</v>
      </c>
      <c r="P41" s="4" t="str">
        <f ca="1"/>
        <v>B</v>
      </c>
      <c r="Q41" s="79" cm="1">
        <f t="array" aca="1" ref="Q41:V41" ca="1">INDIRECT(P41)</f>
        <v>9.5238095238095233E-2</v>
      </c>
      <c r="R41" s="79">
        <f ca="1"/>
        <v>0.61904761904761907</v>
      </c>
      <c r="S41" s="79">
        <f ca="1"/>
        <v>0.90476190476190477</v>
      </c>
      <c r="T41" s="79">
        <f ca="1"/>
        <v>1</v>
      </c>
      <c r="U41" s="79">
        <f ca="1"/>
        <v>1</v>
      </c>
      <c r="V41" s="79">
        <f ca="1"/>
        <v>1</v>
      </c>
      <c r="W41" s="78">
        <f t="shared" ca="1" si="8"/>
        <v>0.14512182224049597</v>
      </c>
      <c r="X41" s="4" cm="1">
        <f t="array" aca="1" ref="X41" ca="1">MIN(SUM((Q41:V41&lt;W41)+0)+1,6)</f>
        <v>2</v>
      </c>
      <c r="Y41" s="4" t="str">
        <f t="shared" ca="1" si="3"/>
        <v>B</v>
      </c>
      <c r="AA41" s="97">
        <v>2.2467468190886297</v>
      </c>
      <c r="AB41" s="98">
        <v>8.9158168755440457</v>
      </c>
      <c r="AC41" s="99">
        <v>20.03158320470531</v>
      </c>
    </row>
    <row r="42" spans="2:29" x14ac:dyDescent="0.2">
      <c r="B42" s="4" t="s">
        <v>93</v>
      </c>
      <c r="C42" s="4">
        <v>0.65542830970793808</v>
      </c>
      <c r="D42" s="4" t="s">
        <v>20</v>
      </c>
      <c r="E42" s="4" t="s">
        <v>27</v>
      </c>
      <c r="P42" s="4" t="str">
        <f ca="1"/>
        <v>F</v>
      </c>
      <c r="Q42" s="79" cm="1">
        <f t="array" aca="1" ref="Q42:V42" ca="1">INDIRECT(P42)</f>
        <v>0</v>
      </c>
      <c r="R42" s="79">
        <f ca="1"/>
        <v>0</v>
      </c>
      <c r="S42" s="79">
        <f ca="1"/>
        <v>0</v>
      </c>
      <c r="T42" s="79">
        <f ca="1"/>
        <v>0</v>
      </c>
      <c r="U42" s="79">
        <f ca="1"/>
        <v>0</v>
      </c>
      <c r="V42" s="79">
        <f ca="1"/>
        <v>0</v>
      </c>
      <c r="W42" s="78">
        <f t="shared" ca="1" si="8"/>
        <v>0.83486739014411182</v>
      </c>
      <c r="X42" s="4" cm="1">
        <f t="array" aca="1" ref="X42" ca="1">MIN(SUM((Q42:V42&lt;W42)+0)+1,6)</f>
        <v>6</v>
      </c>
      <c r="Y42" s="4" t="str">
        <f t="shared" ca="1" si="3"/>
        <v>F</v>
      </c>
      <c r="AA42" s="97">
        <v>31.342457566370989</v>
      </c>
      <c r="AB42" s="98">
        <v>1.0770348505322942</v>
      </c>
      <c r="AC42" s="99">
        <v>33.756919100311151</v>
      </c>
    </row>
    <row r="43" spans="2:29" x14ac:dyDescent="0.2">
      <c r="B43" s="4" t="s">
        <v>92</v>
      </c>
      <c r="C43" s="4">
        <v>0.25203125416123051</v>
      </c>
      <c r="D43" s="4" t="s">
        <v>36</v>
      </c>
      <c r="E43" s="4" t="s">
        <v>36</v>
      </c>
      <c r="P43" s="4" t="str">
        <f ca="1"/>
        <v>B</v>
      </c>
      <c r="Q43" s="79" cm="1">
        <f t="array" aca="1" ref="Q43:V43" ca="1">INDIRECT(P43)</f>
        <v>9.5238095238095233E-2</v>
      </c>
      <c r="R43" s="79">
        <f ca="1"/>
        <v>0.61904761904761907</v>
      </c>
      <c r="S43" s="79">
        <f ca="1"/>
        <v>0.90476190476190477</v>
      </c>
      <c r="T43" s="79">
        <f ca="1"/>
        <v>1</v>
      </c>
      <c r="U43" s="79">
        <f ca="1"/>
        <v>1</v>
      </c>
      <c r="V43" s="79">
        <f ca="1"/>
        <v>1</v>
      </c>
      <c r="W43" s="78">
        <f t="shared" ca="1" si="8"/>
        <v>0.3273820230077612</v>
      </c>
      <c r="X43" s="4" cm="1">
        <f t="array" aca="1" ref="X43" ca="1">MIN(SUM((Q43:V43&lt;W43)+0)+1,6)</f>
        <v>2</v>
      </c>
      <c r="Y43" s="4" t="str">
        <f t="shared" ca="1" si="3"/>
        <v>B</v>
      </c>
      <c r="AA43" s="97">
        <v>7.9718097117669533</v>
      </c>
      <c r="AB43" s="98">
        <v>8.2397599453990953</v>
      </c>
      <c r="AC43" s="99">
        <v>65.685798355360845</v>
      </c>
    </row>
    <row r="44" spans="2:29" x14ac:dyDescent="0.2">
      <c r="B44" s="4" t="s">
        <v>91</v>
      </c>
      <c r="C44" s="4">
        <v>0.7342850127525723</v>
      </c>
      <c r="D44" s="4" t="s">
        <v>20</v>
      </c>
      <c r="E44" s="4" t="s">
        <v>31</v>
      </c>
      <c r="P44" s="4" t="str">
        <f ca="1"/>
        <v>E</v>
      </c>
      <c r="Q44" s="79" cm="1">
        <f t="array" aca="1" ref="Q44:V44" ca="1">INDIRECT(P44)</f>
        <v>0</v>
      </c>
      <c r="R44" s="79">
        <f ca="1"/>
        <v>0</v>
      </c>
      <c r="S44" s="79">
        <f ca="1"/>
        <v>0</v>
      </c>
      <c r="T44" s="79">
        <f ca="1"/>
        <v>0.12</v>
      </c>
      <c r="U44" s="79">
        <f ca="1"/>
        <v>0.36</v>
      </c>
      <c r="V44" s="79">
        <f ca="1"/>
        <v>1</v>
      </c>
      <c r="W44" s="78">
        <f t="shared" ca="1" si="8"/>
        <v>7.4284776123844098E-2</v>
      </c>
      <c r="X44" s="4" cm="1">
        <f t="array" aca="1" ref="X44" ca="1">MIN(SUM((Q44:V44&lt;W44)+0)+1,6)</f>
        <v>4</v>
      </c>
      <c r="Y44" s="4" t="str">
        <f t="shared" ca="1" si="3"/>
        <v>D</v>
      </c>
      <c r="AA44" s="97">
        <v>26.135955656809497</v>
      </c>
      <c r="AB44" s="98">
        <v>3.2675530419423335</v>
      </c>
      <c r="AC44" s="99">
        <v>85.400621410477811</v>
      </c>
    </row>
    <row r="45" spans="2:29" x14ac:dyDescent="0.2">
      <c r="B45" s="4" t="s">
        <v>90</v>
      </c>
      <c r="C45" s="4">
        <v>0.45807898016892368</v>
      </c>
      <c r="D45" s="4" t="s">
        <v>21</v>
      </c>
      <c r="E45" s="4" t="s">
        <v>36</v>
      </c>
      <c r="P45" s="4" t="str">
        <f ca="1"/>
        <v>B</v>
      </c>
      <c r="Q45" s="79" cm="1">
        <f t="array" aca="1" ref="Q45:V45" ca="1">INDIRECT(P45)</f>
        <v>9.5238095238095233E-2</v>
      </c>
      <c r="R45" s="79">
        <f ca="1"/>
        <v>0.61904761904761907</v>
      </c>
      <c r="S45" s="79">
        <f ca="1"/>
        <v>0.90476190476190477</v>
      </c>
      <c r="T45" s="79">
        <f ca="1"/>
        <v>1</v>
      </c>
      <c r="U45" s="79">
        <f ca="1"/>
        <v>1</v>
      </c>
      <c r="V45" s="79">
        <f ca="1"/>
        <v>1</v>
      </c>
      <c r="W45" s="78">
        <f t="shared" ca="1" si="8"/>
        <v>0.24378944412919645</v>
      </c>
      <c r="X45" s="4" cm="1">
        <f t="array" aca="1" ref="X45" ca="1">MIN(SUM((Q45:V45&lt;W45)+0)+1,6)</f>
        <v>2</v>
      </c>
      <c r="Y45" s="4" t="str">
        <f t="shared" ca="1" si="3"/>
        <v>B</v>
      </c>
      <c r="AA45" s="97">
        <v>9.6442588257074746</v>
      </c>
      <c r="AB45" s="98">
        <v>9.5628427305637889</v>
      </c>
      <c r="AC45" s="99">
        <v>92.226530403092383</v>
      </c>
    </row>
    <row r="46" spans="2:29" x14ac:dyDescent="0.2">
      <c r="B46" s="4" t="s">
        <v>89</v>
      </c>
      <c r="C46" s="4">
        <v>0.84594615337373491</v>
      </c>
      <c r="D46" s="4" t="s">
        <v>31</v>
      </c>
      <c r="E46" s="4" t="s">
        <v>31</v>
      </c>
      <c r="P46" s="4" t="str">
        <f ca="1"/>
        <v>E</v>
      </c>
      <c r="Q46" s="79" cm="1">
        <f t="array" aca="1" ref="Q46:V46" ca="1">INDIRECT(P46)</f>
        <v>0</v>
      </c>
      <c r="R46" s="79">
        <f ca="1"/>
        <v>0</v>
      </c>
      <c r="S46" s="79">
        <f ca="1"/>
        <v>0</v>
      </c>
      <c r="T46" s="79">
        <f ca="1"/>
        <v>0.12</v>
      </c>
      <c r="U46" s="79">
        <f ca="1"/>
        <v>0.36</v>
      </c>
      <c r="V46" s="79">
        <f ca="1"/>
        <v>1</v>
      </c>
      <c r="W46" s="78">
        <f t="shared" ca="1" si="8"/>
        <v>0.20714920427822581</v>
      </c>
      <c r="X46" s="4" cm="1">
        <f t="array" aca="1" ref="X46" ca="1">MIN(SUM((Q46:V46&lt;W46)+0)+1,6)</f>
        <v>5</v>
      </c>
      <c r="Y46" s="4" t="str">
        <f t="shared" ca="1" si="3"/>
        <v>E</v>
      </c>
      <c r="AA46" s="97">
        <v>14.543691075171283</v>
      </c>
      <c r="AB46" s="98">
        <v>3.5512028209207998</v>
      </c>
      <c r="AC46" s="99">
        <v>51.647596772748919</v>
      </c>
    </row>
    <row r="47" spans="2:29" x14ac:dyDescent="0.2">
      <c r="B47" s="4" t="s">
        <v>88</v>
      </c>
      <c r="C47" s="4">
        <v>0.86957152007842897</v>
      </c>
      <c r="D47" s="4" t="s">
        <v>31</v>
      </c>
      <c r="E47" s="4" t="s">
        <v>27</v>
      </c>
      <c r="P47" s="4" t="str">
        <f ca="1"/>
        <v>F</v>
      </c>
      <c r="Q47" s="79" cm="1">
        <f t="array" aca="1" ref="Q47:V47" ca="1">INDIRECT(P47)</f>
        <v>0</v>
      </c>
      <c r="R47" s="79">
        <f ca="1"/>
        <v>0</v>
      </c>
      <c r="S47" s="79">
        <f ca="1"/>
        <v>0</v>
      </c>
      <c r="T47" s="79">
        <f ca="1"/>
        <v>0</v>
      </c>
      <c r="U47" s="79">
        <f ca="1"/>
        <v>0</v>
      </c>
      <c r="V47" s="79">
        <f ca="1"/>
        <v>0</v>
      </c>
      <c r="W47" s="78">
        <f t="shared" ca="1" si="8"/>
        <v>0.13780909292390175</v>
      </c>
      <c r="X47" s="4" cm="1">
        <f t="array" aca="1" ref="X47" ca="1">MIN(SUM((Q47:V47&lt;W47)+0)+1,6)</f>
        <v>6</v>
      </c>
      <c r="Y47" s="4" t="str">
        <f t="shared" ca="1" si="3"/>
        <v>F</v>
      </c>
      <c r="AA47" s="97">
        <v>23.899388938944831</v>
      </c>
      <c r="AB47" s="98">
        <v>2.9720115944967027</v>
      </c>
      <c r="AC47" s="99">
        <v>71.029261027930289</v>
      </c>
    </row>
    <row r="48" spans="2:29" x14ac:dyDescent="0.2">
      <c r="B48" s="4" t="s">
        <v>87</v>
      </c>
      <c r="C48" s="4">
        <v>0.24226555051074961</v>
      </c>
      <c r="D48" s="4" t="s">
        <v>36</v>
      </c>
      <c r="E48" s="4" t="s">
        <v>36</v>
      </c>
      <c r="P48" s="4" t="str">
        <f ca="1"/>
        <v>B</v>
      </c>
      <c r="Q48" s="79" cm="1">
        <f t="array" aca="1" ref="Q48:V48" ca="1">INDIRECT(P48)</f>
        <v>9.5238095238095233E-2</v>
      </c>
      <c r="R48" s="79">
        <f ca="1"/>
        <v>0.61904761904761907</v>
      </c>
      <c r="S48" s="79">
        <f ca="1"/>
        <v>0.90476190476190477</v>
      </c>
      <c r="T48" s="79">
        <f ca="1"/>
        <v>1</v>
      </c>
      <c r="U48" s="79">
        <f ca="1"/>
        <v>1</v>
      </c>
      <c r="V48" s="79">
        <f ca="1"/>
        <v>1</v>
      </c>
      <c r="W48" s="78">
        <f t="shared" ca="1" si="8"/>
        <v>0.5496959939675421</v>
      </c>
      <c r="X48" s="4" cm="1">
        <f t="array" aca="1" ref="X48" ca="1">MIN(SUM((Q48:V48&lt;W48)+0)+1,6)</f>
        <v>2</v>
      </c>
      <c r="Y48" s="4" t="str">
        <f t="shared" ca="1" si="3"/>
        <v>B</v>
      </c>
      <c r="AA48" s="97">
        <v>71.394255931414179</v>
      </c>
      <c r="AB48" s="98">
        <v>8.8153401585859292</v>
      </c>
      <c r="AC48" s="99">
        <v>629.36465140455709</v>
      </c>
    </row>
    <row r="49" spans="2:29" x14ac:dyDescent="0.2">
      <c r="B49" s="4" t="s">
        <v>86</v>
      </c>
      <c r="C49" s="4">
        <v>0.73988308548461668</v>
      </c>
      <c r="D49" s="4" t="s">
        <v>20</v>
      </c>
      <c r="E49" s="4" t="s">
        <v>31</v>
      </c>
      <c r="P49" s="4" t="str">
        <f ca="1"/>
        <v>E</v>
      </c>
      <c r="Q49" s="79" cm="1">
        <f t="array" aca="1" ref="Q49:V49" ca="1">INDIRECT(P49)</f>
        <v>0</v>
      </c>
      <c r="R49" s="79">
        <f ca="1"/>
        <v>0</v>
      </c>
      <c r="S49" s="79">
        <f ca="1"/>
        <v>0</v>
      </c>
      <c r="T49" s="79">
        <f ca="1"/>
        <v>0.12</v>
      </c>
      <c r="U49" s="79">
        <f ca="1"/>
        <v>0.36</v>
      </c>
      <c r="V49" s="79">
        <f ca="1"/>
        <v>1</v>
      </c>
      <c r="W49" s="78">
        <f t="shared" ca="1" si="8"/>
        <v>1.1888491049339645E-2</v>
      </c>
      <c r="X49" s="4" cm="1">
        <f t="array" aca="1" ref="X49" ca="1">MIN(SUM((Q49:V49&lt;W49)+0)+1,6)</f>
        <v>4</v>
      </c>
      <c r="Y49" s="4" t="str">
        <f t="shared" ca="1" si="3"/>
        <v>D</v>
      </c>
      <c r="AA49" s="97">
        <v>61.495453505551026</v>
      </c>
      <c r="AB49" s="98">
        <v>3.8049899036922326</v>
      </c>
      <c r="AC49" s="99">
        <v>233.98957971159678</v>
      </c>
    </row>
    <row r="50" spans="2:29" x14ac:dyDescent="0.2">
      <c r="B50" s="4" t="s">
        <v>85</v>
      </c>
      <c r="C50" s="4">
        <v>0.27086535835866432</v>
      </c>
      <c r="D50" s="4" t="s">
        <v>36</v>
      </c>
      <c r="E50" s="4" t="s">
        <v>36</v>
      </c>
      <c r="P50" s="4" t="str">
        <f ca="1"/>
        <v>B</v>
      </c>
      <c r="Q50" s="79" cm="1">
        <f t="array" aca="1" ref="Q50:V50" ca="1">INDIRECT(P50)</f>
        <v>9.5238095238095233E-2</v>
      </c>
      <c r="R50" s="79">
        <f ca="1"/>
        <v>0.61904761904761907</v>
      </c>
      <c r="S50" s="79">
        <f ca="1"/>
        <v>0.90476190476190477</v>
      </c>
      <c r="T50" s="79">
        <f ca="1"/>
        <v>1</v>
      </c>
      <c r="U50" s="79">
        <f ca="1"/>
        <v>1</v>
      </c>
      <c r="V50" s="79">
        <f ca="1"/>
        <v>1</v>
      </c>
      <c r="W50" s="78">
        <f t="shared" ca="1" si="8"/>
        <v>0.27474030858582243</v>
      </c>
      <c r="X50" s="4" cm="1">
        <f t="array" aca="1" ref="X50" ca="1">MIN(SUM((Q50:V50&lt;W50)+0)+1,6)</f>
        <v>2</v>
      </c>
      <c r="Y50" s="4" t="str">
        <f t="shared" ca="1" si="3"/>
        <v>B</v>
      </c>
      <c r="AA50" s="97">
        <v>44.889833123723179</v>
      </c>
      <c r="AB50" s="98">
        <v>9.5582436040277514</v>
      </c>
      <c r="AC50" s="99">
        <v>429.06796034070015</v>
      </c>
    </row>
    <row r="51" spans="2:29" x14ac:dyDescent="0.2">
      <c r="B51" s="4" t="s">
        <v>84</v>
      </c>
      <c r="C51" s="4">
        <v>0.52463050106771492</v>
      </c>
      <c r="D51" s="4" t="s">
        <v>21</v>
      </c>
      <c r="E51" s="4" t="s">
        <v>20</v>
      </c>
      <c r="P51" s="4" t="str">
        <f ca="1"/>
        <v>D</v>
      </c>
      <c r="Q51" s="79" cm="1">
        <f t="array" aca="1" ref="Q51:V51" ca="1">INDIRECT(P51)</f>
        <v>0</v>
      </c>
      <c r="R51" s="79">
        <f ca="1"/>
        <v>0</v>
      </c>
      <c r="S51" s="79">
        <f ca="1"/>
        <v>0.1</v>
      </c>
      <c r="T51" s="79">
        <f ca="1"/>
        <v>0.5</v>
      </c>
      <c r="U51" s="79">
        <f ca="1"/>
        <v>0.85</v>
      </c>
      <c r="V51" s="79">
        <f ca="1"/>
        <v>1</v>
      </c>
      <c r="W51" s="78">
        <f t="shared" ca="1" si="8"/>
        <v>0.30750434637094093</v>
      </c>
      <c r="X51" s="4" cm="1">
        <f t="array" aca="1" ref="X51" ca="1">MIN(SUM((Q51:V51&lt;W51)+0)+1,6)</f>
        <v>4</v>
      </c>
      <c r="Y51" s="4" t="str">
        <f t="shared" ca="1" si="3"/>
        <v>D</v>
      </c>
      <c r="AA51" s="97">
        <v>50.470138481801882</v>
      </c>
      <c r="AB51" s="98">
        <v>6.0564739366749079</v>
      </c>
      <c r="AC51" s="99">
        <v>305.6710782954064</v>
      </c>
    </row>
    <row r="52" spans="2:29" x14ac:dyDescent="0.2">
      <c r="B52" s="4" t="s">
        <v>83</v>
      </c>
      <c r="C52" s="4">
        <v>0.32596892448905102</v>
      </c>
      <c r="D52" s="4" t="s">
        <v>36</v>
      </c>
      <c r="E52" s="4" t="s">
        <v>36</v>
      </c>
      <c r="P52" s="4" t="str">
        <f ca="1"/>
        <v>B</v>
      </c>
      <c r="Q52" s="79" cm="1">
        <f t="array" aca="1" ref="Q52:V52" ca="1">INDIRECT(P52)</f>
        <v>9.5238095238095233E-2</v>
      </c>
      <c r="R52" s="79">
        <f ca="1"/>
        <v>0.61904761904761907</v>
      </c>
      <c r="S52" s="79">
        <f ca="1"/>
        <v>0.90476190476190477</v>
      </c>
      <c r="T52" s="79">
        <f ca="1"/>
        <v>1</v>
      </c>
      <c r="U52" s="79">
        <f ca="1"/>
        <v>1</v>
      </c>
      <c r="V52" s="79">
        <f ca="1"/>
        <v>1</v>
      </c>
      <c r="W52" s="78">
        <f t="shared" ca="1" si="8"/>
        <v>0.58238399457510748</v>
      </c>
      <c r="X52" s="4" cm="1">
        <f t="array" aca="1" ref="X52" ca="1">MIN(SUM((Q52:V52&lt;W52)+0)+1,6)</f>
        <v>2</v>
      </c>
      <c r="Y52" s="4" t="str">
        <f t="shared" ca="1" si="3"/>
        <v>B</v>
      </c>
      <c r="AA52" s="97">
        <v>93.672740630001144</v>
      </c>
      <c r="AB52" s="98">
        <v>8.6096086213825274</v>
      </c>
      <c r="AC52" s="99">
        <v>806.48563531658715</v>
      </c>
    </row>
    <row r="53" spans="2:29" x14ac:dyDescent="0.2">
      <c r="B53" s="4" t="s">
        <v>82</v>
      </c>
      <c r="C53" s="4">
        <v>9.9770131781005578E-2</v>
      </c>
      <c r="D53" s="4" t="s">
        <v>23</v>
      </c>
      <c r="E53" s="4" t="s">
        <v>23</v>
      </c>
      <c r="P53" s="4" t="str">
        <f ca="1"/>
        <v>A</v>
      </c>
      <c r="Q53" s="79" cm="1">
        <f t="array" aca="1" ref="Q53:V53" ca="1">INDIRECT(P53)</f>
        <v>0.53846153846153844</v>
      </c>
      <c r="R53" s="79">
        <f ca="1"/>
        <v>0.84615384615384615</v>
      </c>
      <c r="S53" s="79">
        <f ca="1"/>
        <v>1</v>
      </c>
      <c r="T53" s="79">
        <f ca="1"/>
        <v>1</v>
      </c>
      <c r="U53" s="79">
        <f ca="1"/>
        <v>1</v>
      </c>
      <c r="V53" s="79">
        <f ca="1"/>
        <v>1</v>
      </c>
      <c r="W53" s="78">
        <f t="shared" ca="1" si="8"/>
        <v>0.37659980290087347</v>
      </c>
      <c r="X53" s="4" cm="1">
        <f t="array" aca="1" ref="X53" ca="1">MIN(SUM((Q53:V53&lt;W53)+0)+1,6)</f>
        <v>1</v>
      </c>
      <c r="Y53" s="4" t="str">
        <f t="shared" ca="1" si="3"/>
        <v>A</v>
      </c>
      <c r="AA53" s="97">
        <v>36.368657808978199</v>
      </c>
      <c r="AB53" s="98">
        <v>12.3989274863437</v>
      </c>
      <c r="AC53" s="99">
        <v>450.93235094916821</v>
      </c>
    </row>
    <row r="54" spans="2:29" x14ac:dyDescent="0.2">
      <c r="B54" s="4" t="s">
        <v>81</v>
      </c>
      <c r="C54" s="4">
        <v>0.93095117946155259</v>
      </c>
      <c r="D54" s="4" t="s">
        <v>31</v>
      </c>
      <c r="E54" s="4" t="s">
        <v>31</v>
      </c>
      <c r="P54" s="4" t="str">
        <f ca="1"/>
        <v>E</v>
      </c>
      <c r="Q54" s="79" cm="1">
        <f t="array" aca="1" ref="Q54:V54" ca="1">INDIRECT(P54)</f>
        <v>0</v>
      </c>
      <c r="R54" s="79">
        <f ca="1"/>
        <v>0</v>
      </c>
      <c r="S54" s="79">
        <f ca="1"/>
        <v>0</v>
      </c>
      <c r="T54" s="79">
        <f ca="1"/>
        <v>0.12</v>
      </c>
      <c r="U54" s="79">
        <f ca="1"/>
        <v>0.36</v>
      </c>
      <c r="V54" s="79">
        <f ca="1"/>
        <v>1</v>
      </c>
      <c r="W54" s="78">
        <f t="shared" ca="1" si="8"/>
        <v>0.95272500839217378</v>
      </c>
      <c r="X54" s="4" cm="1">
        <f t="array" aca="1" ref="X54" ca="1">MIN(SUM((Q54:V54&lt;W54)+0)+1,6)</f>
        <v>6</v>
      </c>
      <c r="Y54" s="4" t="str">
        <f t="shared" ca="1" si="3"/>
        <v>F</v>
      </c>
      <c r="AA54" s="97">
        <v>9.9536617596477246</v>
      </c>
      <c r="AB54" s="98">
        <v>1.9161232820866372</v>
      </c>
      <c r="AC54" s="99">
        <v>19.07244303967645</v>
      </c>
    </row>
    <row r="55" spans="2:29" x14ac:dyDescent="0.2">
      <c r="B55" s="4" t="s">
        <v>80</v>
      </c>
      <c r="C55" s="4">
        <v>0.90830874893691682</v>
      </c>
      <c r="D55" s="4" t="s">
        <v>31</v>
      </c>
      <c r="E55" s="4" t="s">
        <v>31</v>
      </c>
      <c r="P55" s="4" t="str">
        <f ca="1"/>
        <v>E</v>
      </c>
      <c r="Q55" s="79" cm="1">
        <f t="array" aca="1" ref="Q55:V55" ca="1">INDIRECT(P55)</f>
        <v>0</v>
      </c>
      <c r="R55" s="79">
        <f ca="1"/>
        <v>0</v>
      </c>
      <c r="S55" s="79">
        <f ca="1"/>
        <v>0</v>
      </c>
      <c r="T55" s="79">
        <f ca="1"/>
        <v>0.12</v>
      </c>
      <c r="U55" s="79">
        <f ca="1"/>
        <v>0.36</v>
      </c>
      <c r="V55" s="79">
        <f ca="1"/>
        <v>1</v>
      </c>
      <c r="W55" s="78">
        <f t="shared" ca="1" si="8"/>
        <v>0.5220486547153933</v>
      </c>
      <c r="X55" s="4" cm="1">
        <f t="array" aca="1" ref="X55" ca="1">MIN(SUM((Q55:V55&lt;W55)+0)+1,6)</f>
        <v>6</v>
      </c>
      <c r="Y55" s="4" t="str">
        <f t="shared" ca="1" si="3"/>
        <v>F</v>
      </c>
      <c r="AA55" s="97">
        <v>43.509889242414786</v>
      </c>
      <c r="AB55" s="98">
        <v>2.0485582183711153</v>
      </c>
      <c r="AC55" s="99">
        <v>89.132541187965785</v>
      </c>
    </row>
    <row r="56" spans="2:29" x14ac:dyDescent="0.2">
      <c r="B56" s="4" t="s">
        <v>79</v>
      </c>
      <c r="C56" s="4">
        <v>0.73348855941533408</v>
      </c>
      <c r="D56" s="4" t="s">
        <v>20</v>
      </c>
      <c r="E56" s="4" t="s">
        <v>20</v>
      </c>
      <c r="P56" s="4" t="str">
        <f ca="1"/>
        <v>D</v>
      </c>
      <c r="Q56" s="79" cm="1">
        <f t="array" aca="1" ref="Q56:V56" ca="1">INDIRECT(P56)</f>
        <v>0</v>
      </c>
      <c r="R56" s="79">
        <f ca="1"/>
        <v>0</v>
      </c>
      <c r="S56" s="79">
        <f ca="1"/>
        <v>0.1</v>
      </c>
      <c r="T56" s="79">
        <f ca="1"/>
        <v>0.5</v>
      </c>
      <c r="U56" s="79">
        <f ca="1"/>
        <v>0.85</v>
      </c>
      <c r="V56" s="79">
        <f ca="1"/>
        <v>1</v>
      </c>
      <c r="W56" s="78">
        <f t="shared" ca="1" si="8"/>
        <v>0.34138598358535632</v>
      </c>
      <c r="X56" s="4" cm="1">
        <f t="array" aca="1" ref="X56" ca="1">MIN(SUM((Q56:V56&lt;W56)+0)+1,6)</f>
        <v>4</v>
      </c>
      <c r="Y56" s="4" t="str">
        <f t="shared" ca="1" si="3"/>
        <v>D</v>
      </c>
      <c r="AA56" s="97">
        <v>36.493712381663144</v>
      </c>
      <c r="AB56" s="98">
        <v>7.7824519823070579</v>
      </c>
      <c r="AC56" s="99">
        <v>284.01056426641799</v>
      </c>
    </row>
    <row r="57" spans="2:29" x14ac:dyDescent="0.2">
      <c r="B57" s="4" t="s">
        <v>78</v>
      </c>
      <c r="C57" s="4">
        <v>0.89357778535202403</v>
      </c>
      <c r="D57" s="4" t="s">
        <v>31</v>
      </c>
      <c r="E57" s="4" t="s">
        <v>27</v>
      </c>
      <c r="P57" s="4" t="str">
        <f ca="1"/>
        <v>F</v>
      </c>
      <c r="Q57" s="79" cm="1">
        <f t="array" aca="1" ref="Q57:V57" ca="1">INDIRECT(P57)</f>
        <v>0</v>
      </c>
      <c r="R57" s="79">
        <f ca="1"/>
        <v>0</v>
      </c>
      <c r="S57" s="79">
        <f ca="1"/>
        <v>0</v>
      </c>
      <c r="T57" s="79">
        <f ca="1"/>
        <v>0</v>
      </c>
      <c r="U57" s="79">
        <f ca="1"/>
        <v>0</v>
      </c>
      <c r="V57" s="79">
        <f ca="1"/>
        <v>0</v>
      </c>
      <c r="W57" s="78">
        <f t="shared" ca="1" si="8"/>
        <v>0.47064458910658225</v>
      </c>
      <c r="X57" s="4" cm="1">
        <f t="array" aca="1" ref="X57" ca="1">MIN(SUM((Q57:V57&lt;W57)+0)+1,6)</f>
        <v>6</v>
      </c>
      <c r="Y57" s="4" t="str">
        <f t="shared" ca="1" si="3"/>
        <v>F</v>
      </c>
      <c r="AA57" s="97">
        <v>39.272391384318439</v>
      </c>
      <c r="AB57" s="98">
        <v>0.39515078209381382</v>
      </c>
      <c r="AC57" s="99">
        <v>15.518516170207787</v>
      </c>
    </row>
    <row r="58" spans="2:29" x14ac:dyDescent="0.2">
      <c r="B58" s="4" t="s">
        <v>77</v>
      </c>
      <c r="C58" s="4">
        <v>0.52346847344780068</v>
      </c>
      <c r="D58" s="4" t="s">
        <v>21</v>
      </c>
      <c r="E58" s="4" t="s">
        <v>31</v>
      </c>
      <c r="P58" s="4" t="str">
        <f ca="1"/>
        <v>E</v>
      </c>
      <c r="Q58" s="79" cm="1">
        <f t="array" aca="1" ref="Q58:V58" ca="1">INDIRECT(P58)</f>
        <v>0</v>
      </c>
      <c r="R58" s="79">
        <f ca="1"/>
        <v>0</v>
      </c>
      <c r="S58" s="79">
        <f ca="1"/>
        <v>0</v>
      </c>
      <c r="T58" s="79">
        <f ca="1"/>
        <v>0.12</v>
      </c>
      <c r="U58" s="79">
        <f ca="1"/>
        <v>0.36</v>
      </c>
      <c r="V58" s="79">
        <f ca="1"/>
        <v>1</v>
      </c>
      <c r="W58" s="78">
        <f t="shared" ca="1" si="8"/>
        <v>0.48849827547855029</v>
      </c>
      <c r="X58" s="4" cm="1">
        <f t="array" aca="1" ref="X58" ca="1">MIN(SUM((Q58:V58&lt;W58)+0)+1,6)</f>
        <v>6</v>
      </c>
      <c r="Y58" s="4" t="str">
        <f t="shared" ca="1" si="3"/>
        <v>F</v>
      </c>
      <c r="AA58" s="97">
        <v>81.916094566727949</v>
      </c>
      <c r="AB58" s="98">
        <v>1.8901120390004595</v>
      </c>
      <c r="AC58" s="99">
        <v>154.83059652847263</v>
      </c>
    </row>
    <row r="59" spans="2:29" x14ac:dyDescent="0.2">
      <c r="B59" s="4" t="s">
        <v>76</v>
      </c>
      <c r="C59" s="4">
        <v>0.76656607302887836</v>
      </c>
      <c r="D59" s="4" t="s">
        <v>20</v>
      </c>
      <c r="E59" s="4" t="s">
        <v>20</v>
      </c>
      <c r="P59" s="4" t="str">
        <f ca="1"/>
        <v>D</v>
      </c>
      <c r="Q59" s="79" cm="1">
        <f t="array" aca="1" ref="Q59:V59" ca="1">INDIRECT(P59)</f>
        <v>0</v>
      </c>
      <c r="R59" s="79">
        <f ca="1"/>
        <v>0</v>
      </c>
      <c r="S59" s="79">
        <f ca="1"/>
        <v>0.1</v>
      </c>
      <c r="T59" s="79">
        <f ca="1"/>
        <v>0.5</v>
      </c>
      <c r="U59" s="79">
        <f ca="1"/>
        <v>0.85</v>
      </c>
      <c r="V59" s="79">
        <f ca="1"/>
        <v>1</v>
      </c>
      <c r="W59" s="78">
        <f t="shared" ca="1" si="8"/>
        <v>0.71006196327531879</v>
      </c>
      <c r="X59" s="4" cm="1">
        <f t="array" aca="1" ref="X59" ca="1">MIN(SUM((Q59:V59&lt;W59)+0)+1,6)</f>
        <v>5</v>
      </c>
      <c r="Y59" s="4" t="str">
        <f t="shared" ca="1" si="3"/>
        <v>E</v>
      </c>
      <c r="AA59" s="97">
        <v>17.547757976448196</v>
      </c>
      <c r="AB59" s="98">
        <v>5.3362822973589097</v>
      </c>
      <c r="AC59" s="99">
        <v>93.639790248059114</v>
      </c>
    </row>
    <row r="60" spans="2:29" x14ac:dyDescent="0.2">
      <c r="B60" s="4" t="s">
        <v>75</v>
      </c>
      <c r="C60" s="4">
        <v>0.80003286318070632</v>
      </c>
      <c r="D60" s="4" t="s">
        <v>31</v>
      </c>
      <c r="E60" s="4" t="s">
        <v>27</v>
      </c>
      <c r="P60" s="4" t="str">
        <f ca="1"/>
        <v>F</v>
      </c>
      <c r="Q60" s="79" cm="1">
        <f t="array" aca="1" ref="Q60:V60" ca="1">INDIRECT(P60)</f>
        <v>0</v>
      </c>
      <c r="R60" s="79">
        <f ca="1"/>
        <v>0</v>
      </c>
      <c r="S60" s="79">
        <f ca="1"/>
        <v>0</v>
      </c>
      <c r="T60" s="79">
        <f ca="1"/>
        <v>0</v>
      </c>
      <c r="U60" s="79">
        <f ca="1"/>
        <v>0</v>
      </c>
      <c r="V60" s="79">
        <f ca="1"/>
        <v>0</v>
      </c>
      <c r="W60" s="78">
        <f t="shared" ca="1" si="8"/>
        <v>0.3123663774437988</v>
      </c>
      <c r="X60" s="4" cm="1">
        <f t="array" aca="1" ref="X60" ca="1">MIN(SUM((Q60:V60&lt;W60)+0)+1,6)</f>
        <v>6</v>
      </c>
      <c r="Y60" s="4" t="str">
        <f t="shared" ca="1" si="3"/>
        <v>F</v>
      </c>
      <c r="AA60" s="97">
        <v>27.00156976124531</v>
      </c>
      <c r="AB60" s="98">
        <v>2.0118084551317819</v>
      </c>
      <c r="AC60" s="99">
        <v>54.321986347503966</v>
      </c>
    </row>
    <row r="61" spans="2:29" x14ac:dyDescent="0.2">
      <c r="B61" s="4" t="s">
        <v>74</v>
      </c>
      <c r="C61" s="4">
        <v>0.3892708311063463</v>
      </c>
      <c r="D61" s="4" t="s">
        <v>36</v>
      </c>
      <c r="E61" s="4" t="s">
        <v>20</v>
      </c>
      <c r="P61" s="4" t="str">
        <f ca="1"/>
        <v>D</v>
      </c>
      <c r="Q61" s="79" cm="1">
        <f t="array" aca="1" ref="Q61:V61" ca="1">INDIRECT(P61)</f>
        <v>0</v>
      </c>
      <c r="R61" s="79">
        <f ca="1"/>
        <v>0</v>
      </c>
      <c r="S61" s="79">
        <f ca="1"/>
        <v>0.1</v>
      </c>
      <c r="T61" s="79">
        <f ca="1"/>
        <v>0.5</v>
      </c>
      <c r="U61" s="79">
        <f ca="1"/>
        <v>0.85</v>
      </c>
      <c r="V61" s="79">
        <f ca="1"/>
        <v>1</v>
      </c>
      <c r="W61" s="78">
        <f t="shared" ca="1" si="8"/>
        <v>0.76365866871648391</v>
      </c>
      <c r="X61" s="4" cm="1">
        <f t="array" aca="1" ref="X61" ca="1">MIN(SUM((Q61:V61&lt;W61)+0)+1,6)</f>
        <v>5</v>
      </c>
      <c r="Y61" s="4" t="str">
        <f t="shared" ca="1" si="3"/>
        <v>E</v>
      </c>
      <c r="AA61" s="97">
        <v>86.088366895490026</v>
      </c>
      <c r="AB61" s="98">
        <v>6.9113168477631826</v>
      </c>
      <c r="AC61" s="99">
        <v>594.98398052121843</v>
      </c>
    </row>
    <row r="62" spans="2:29" x14ac:dyDescent="0.2">
      <c r="B62" s="4" t="s">
        <v>73</v>
      </c>
      <c r="C62" s="4">
        <v>0.87159427427051139</v>
      </c>
      <c r="D62" s="4" t="s">
        <v>31</v>
      </c>
      <c r="E62" s="4" t="s">
        <v>27</v>
      </c>
      <c r="P62" s="4" t="str">
        <f ca="1"/>
        <v>F</v>
      </c>
      <c r="Q62" s="79" cm="1">
        <f t="array" aca="1" ref="Q62:V62" ca="1">INDIRECT(P62)</f>
        <v>0</v>
      </c>
      <c r="R62" s="79">
        <f ca="1"/>
        <v>0</v>
      </c>
      <c r="S62" s="79">
        <f ca="1"/>
        <v>0</v>
      </c>
      <c r="T62" s="79">
        <f ca="1"/>
        <v>0</v>
      </c>
      <c r="U62" s="79">
        <f ca="1"/>
        <v>0</v>
      </c>
      <c r="V62" s="79">
        <f ca="1"/>
        <v>0</v>
      </c>
      <c r="W62" s="78">
        <f t="shared" ca="1" si="8"/>
        <v>0.45904478692495398</v>
      </c>
      <c r="X62" s="4" cm="1">
        <f t="array" aca="1" ref="X62" ca="1">MIN(SUM((Q62:V62&lt;W62)+0)+1,6)</f>
        <v>6</v>
      </c>
      <c r="Y62" s="4" t="str">
        <f t="shared" ca="1" si="3"/>
        <v>F</v>
      </c>
      <c r="AA62" s="97">
        <v>2.3364521983521791</v>
      </c>
      <c r="AB62" s="98">
        <v>1.707253877523514</v>
      </c>
      <c r="AC62" s="99">
        <v>3.9889170752850962</v>
      </c>
    </row>
    <row r="63" spans="2:29" x14ac:dyDescent="0.2">
      <c r="B63" s="4" t="s">
        <v>72</v>
      </c>
      <c r="C63" s="4">
        <v>0.76945535483045513</v>
      </c>
      <c r="D63" s="4" t="s">
        <v>20</v>
      </c>
      <c r="E63" s="4" t="s">
        <v>31</v>
      </c>
      <c r="P63" s="4" t="str">
        <f ca="1"/>
        <v>E</v>
      </c>
      <c r="Q63" s="79" cm="1">
        <f t="array" aca="1" ref="Q63:V63" ca="1">INDIRECT(P63)</f>
        <v>0</v>
      </c>
      <c r="R63" s="79">
        <f ca="1"/>
        <v>0</v>
      </c>
      <c r="S63" s="79">
        <f ca="1"/>
        <v>0</v>
      </c>
      <c r="T63" s="79">
        <f ca="1"/>
        <v>0.12</v>
      </c>
      <c r="U63" s="79">
        <f ca="1"/>
        <v>0.36</v>
      </c>
      <c r="V63" s="79">
        <f ca="1"/>
        <v>1</v>
      </c>
      <c r="W63" s="78">
        <f t="shared" ca="1" si="8"/>
        <v>0.20670283881948559</v>
      </c>
      <c r="X63" s="4" cm="1">
        <f t="array" aca="1" ref="X63" ca="1">MIN(SUM((Q63:V63&lt;W63)+0)+1,6)</f>
        <v>5</v>
      </c>
      <c r="Y63" s="4" t="str">
        <f t="shared" ca="1" si="3"/>
        <v>E</v>
      </c>
      <c r="AA63" s="97">
        <v>36.894824773996859</v>
      </c>
      <c r="AB63" s="98">
        <v>3.1701762274239376</v>
      </c>
      <c r="AC63" s="99">
        <v>116.96309641349659</v>
      </c>
    </row>
    <row r="64" spans="2:29" x14ac:dyDescent="0.2">
      <c r="B64" s="4" t="s">
        <v>71</v>
      </c>
      <c r="C64" s="4">
        <v>0.26480621363728485</v>
      </c>
      <c r="D64" s="4" t="s">
        <v>36</v>
      </c>
      <c r="E64" s="4" t="s">
        <v>261</v>
      </c>
      <c r="P64" s="4" t="str">
        <f ca="1"/>
        <v>C_</v>
      </c>
      <c r="Q64" s="79" cm="1">
        <f t="array" aca="1" ref="Q64:V64" ca="1">INDIRECT(P64)</f>
        <v>0</v>
      </c>
      <c r="R64" s="79">
        <f ca="1"/>
        <v>9.5238095238095233E-2</v>
      </c>
      <c r="S64" s="79">
        <f ca="1"/>
        <v>0.2857142857142857</v>
      </c>
      <c r="T64" s="79">
        <f ca="1"/>
        <v>0.71428571428571419</v>
      </c>
      <c r="U64" s="79">
        <f ca="1"/>
        <v>0.99999999999999989</v>
      </c>
      <c r="V64" s="79">
        <f ca="1"/>
        <v>0.99999999999999989</v>
      </c>
      <c r="W64" s="78">
        <f t="shared" ca="1" si="8"/>
        <v>2.269477139785836E-2</v>
      </c>
      <c r="X64" s="4" cm="1">
        <f t="array" aca="1" ref="X64" ca="1">MIN(SUM((Q64:V64&lt;W64)+0)+1,6)</f>
        <v>2</v>
      </c>
      <c r="Y64" s="4" t="str">
        <f t="shared" ca="1" si="3"/>
        <v>B</v>
      </c>
      <c r="AA64" s="97">
        <v>18.505649799476064</v>
      </c>
      <c r="AB64" s="98">
        <v>8.240817803401864</v>
      </c>
      <c r="AC64" s="99">
        <v>152.50168833104249</v>
      </c>
    </row>
    <row r="65" spans="2:29" x14ac:dyDescent="0.2">
      <c r="B65" s="4" t="s">
        <v>70</v>
      </c>
      <c r="C65" s="4">
        <v>0.32324350412310388</v>
      </c>
      <c r="D65" s="4" t="s">
        <v>36</v>
      </c>
      <c r="E65" s="4" t="s">
        <v>20</v>
      </c>
      <c r="P65" s="4" t="str">
        <f ca="1"/>
        <v>D</v>
      </c>
      <c r="Q65" s="79" cm="1">
        <f t="array" aca="1" ref="Q65:V65" ca="1">INDIRECT(P65)</f>
        <v>0</v>
      </c>
      <c r="R65" s="79">
        <f ca="1"/>
        <v>0</v>
      </c>
      <c r="S65" s="79">
        <f ca="1"/>
        <v>0.1</v>
      </c>
      <c r="T65" s="79">
        <f ca="1"/>
        <v>0.5</v>
      </c>
      <c r="U65" s="79">
        <f ca="1"/>
        <v>0.85</v>
      </c>
      <c r="V65" s="79">
        <f ca="1"/>
        <v>1</v>
      </c>
      <c r="W65" s="78">
        <f t="shared" ca="1" si="8"/>
        <v>0.30815836652427608</v>
      </c>
      <c r="X65" s="4" cm="1">
        <f t="array" aca="1" ref="X65" ca="1">MIN(SUM((Q65:V65&lt;W65)+0)+1,6)</f>
        <v>4</v>
      </c>
      <c r="Y65" s="4" t="str">
        <f t="shared" ca="1" si="3"/>
        <v>D</v>
      </c>
      <c r="AA65" s="97">
        <v>14.172183158684494</v>
      </c>
      <c r="AB65" s="98">
        <v>7.1352513619731521</v>
      </c>
      <c r="AC65" s="99">
        <v>101.1220891851365</v>
      </c>
    </row>
    <row r="66" spans="2:29" x14ac:dyDescent="0.2">
      <c r="B66" s="4" t="s">
        <v>69</v>
      </c>
      <c r="C66" s="4">
        <v>0.15627153384850234</v>
      </c>
      <c r="D66" s="4" t="s">
        <v>23</v>
      </c>
      <c r="E66" s="4" t="s">
        <v>261</v>
      </c>
      <c r="P66" s="4" t="str">
        <f ca="1"/>
        <v>C_</v>
      </c>
      <c r="Q66" s="79" cm="1">
        <f t="array" aca="1" ref="Q66:V66" ca="1">INDIRECT(P66)</f>
        <v>0</v>
      </c>
      <c r="R66" s="79">
        <f ca="1"/>
        <v>9.5238095238095233E-2</v>
      </c>
      <c r="S66" s="79">
        <f ca="1"/>
        <v>0.2857142857142857</v>
      </c>
      <c r="T66" s="79">
        <f ca="1"/>
        <v>0.71428571428571419</v>
      </c>
      <c r="U66" s="79">
        <f ca="1"/>
        <v>0.99999999999999989</v>
      </c>
      <c r="V66" s="79">
        <f ca="1"/>
        <v>0.99999999999999989</v>
      </c>
      <c r="W66" s="78">
        <f t="shared" ca="1" si="8"/>
        <v>0.47949623155541898</v>
      </c>
      <c r="X66" s="4" cm="1">
        <f t="array" aca="1" ref="X66" ca="1">MIN(SUM((Q66:V66&lt;W66)+0)+1,6)</f>
        <v>4</v>
      </c>
      <c r="Y66" s="4" t="str">
        <f t="shared" ca="1" si="3"/>
        <v>D</v>
      </c>
      <c r="AA66" s="97">
        <v>50.532425086567159</v>
      </c>
      <c r="AB66" s="98">
        <v>8.7924706736250382</v>
      </c>
      <c r="AC66" s="99">
        <v>444.30486564079592</v>
      </c>
    </row>
    <row r="67" spans="2:29" x14ac:dyDescent="0.2">
      <c r="B67" s="4" t="s">
        <v>68</v>
      </c>
      <c r="C67" s="4">
        <v>0.89680710594891</v>
      </c>
      <c r="D67" s="4" t="s">
        <v>31</v>
      </c>
      <c r="E67" s="4" t="s">
        <v>27</v>
      </c>
      <c r="P67" s="4" t="str">
        <f ca="1"/>
        <v>F</v>
      </c>
      <c r="Q67" s="79" cm="1">
        <f t="array" aca="1" ref="Q67:V67" ca="1">INDIRECT(P67)</f>
        <v>0</v>
      </c>
      <c r="R67" s="79">
        <f ca="1"/>
        <v>0</v>
      </c>
      <c r="S67" s="79">
        <f ca="1"/>
        <v>0</v>
      </c>
      <c r="T67" s="79">
        <f ca="1"/>
        <v>0</v>
      </c>
      <c r="U67" s="79">
        <f ca="1"/>
        <v>0</v>
      </c>
      <c r="V67" s="79">
        <f ca="1"/>
        <v>0</v>
      </c>
      <c r="W67" s="78">
        <f t="shared" ca="1" si="8"/>
        <v>0.48036252174205651</v>
      </c>
      <c r="X67" s="4" cm="1">
        <f t="array" aca="1" ref="X67" ca="1">MIN(SUM((Q67:V67&lt;W67)+0)+1,6)</f>
        <v>6</v>
      </c>
      <c r="Y67" s="4" t="str">
        <f t="shared" ca="1" si="3"/>
        <v>F</v>
      </c>
      <c r="AA67" s="97">
        <v>28.982449633517319</v>
      </c>
      <c r="AB67" s="98">
        <v>1.2393435701789142</v>
      </c>
      <c r="AC67" s="99">
        <v>35.919212601333918</v>
      </c>
    </row>
    <row r="68" spans="2:29" x14ac:dyDescent="0.2">
      <c r="B68" s="4" t="s">
        <v>67</v>
      </c>
      <c r="C68" s="4">
        <v>0.54385095261031646</v>
      </c>
      <c r="D68" s="4" t="s">
        <v>21</v>
      </c>
      <c r="E68" s="4" t="s">
        <v>20</v>
      </c>
      <c r="P68" s="4" t="str">
        <f ca="1"/>
        <v>D</v>
      </c>
      <c r="Q68" s="79" cm="1">
        <f t="array" aca="1" ref="Q68:V68" ca="1">INDIRECT(P68)</f>
        <v>0</v>
      </c>
      <c r="R68" s="79">
        <f ca="1"/>
        <v>0</v>
      </c>
      <c r="S68" s="79">
        <f ca="1"/>
        <v>0.1</v>
      </c>
      <c r="T68" s="79">
        <f ca="1"/>
        <v>0.5</v>
      </c>
      <c r="U68" s="79">
        <f ca="1"/>
        <v>0.85</v>
      </c>
      <c r="V68" s="79">
        <f ca="1"/>
        <v>1</v>
      </c>
      <c r="W68" s="78">
        <f t="shared" ca="1" si="8"/>
        <v>0.40177462531603336</v>
      </c>
      <c r="X68" s="4" cm="1">
        <f t="array" aca="1" ref="X68" ca="1">MIN(SUM((Q68:V68&lt;W68)+0)+1,6)</f>
        <v>4</v>
      </c>
      <c r="Y68" s="4" t="str">
        <f t="shared" ca="1" si="3"/>
        <v>D</v>
      </c>
      <c r="AA68" s="97">
        <v>84.415957534522121</v>
      </c>
      <c r="AB68" s="98">
        <v>6.1952629474234886</v>
      </c>
      <c r="AC68" s="99">
        <v>522.9790538848996</v>
      </c>
    </row>
    <row r="69" spans="2:29" x14ac:dyDescent="0.2">
      <c r="B69" s="4" t="s">
        <v>66</v>
      </c>
      <c r="C69" s="4">
        <v>0.28179185236382631</v>
      </c>
      <c r="D69" s="4" t="s">
        <v>36</v>
      </c>
      <c r="E69" s="4" t="s">
        <v>36</v>
      </c>
      <c r="P69" s="4" t="str">
        <f ca="1"/>
        <v>B</v>
      </c>
      <c r="Q69" s="79" cm="1">
        <f t="array" aca="1" ref="Q69:V69" ca="1">INDIRECT(P69)</f>
        <v>9.5238095238095233E-2</v>
      </c>
      <c r="R69" s="79">
        <f ca="1"/>
        <v>0.61904761904761907</v>
      </c>
      <c r="S69" s="79">
        <f ca="1"/>
        <v>0.90476190476190477</v>
      </c>
      <c r="T69" s="79">
        <f ca="1"/>
        <v>1</v>
      </c>
      <c r="U69" s="79">
        <f ca="1"/>
        <v>1</v>
      </c>
      <c r="V69" s="79">
        <f ca="1"/>
        <v>1</v>
      </c>
      <c r="W69" s="78">
        <f t="shared" ca="1" si="8"/>
        <v>0.14751473845349694</v>
      </c>
      <c r="X69" s="4" cm="1">
        <f t="array" aca="1" ref="X69" ca="1">MIN(SUM((Q69:V69&lt;W69)+0)+1,6)</f>
        <v>2</v>
      </c>
      <c r="Y69" s="4" t="str">
        <f t="shared" ca="1" si="3"/>
        <v>B</v>
      </c>
      <c r="AA69" s="97">
        <v>48.550727106120881</v>
      </c>
      <c r="AB69" s="98">
        <v>8.838558619220283</v>
      </c>
      <c r="AC69" s="99">
        <v>429.11844753321657</v>
      </c>
    </row>
    <row r="70" spans="2:29" x14ac:dyDescent="0.2">
      <c r="B70" s="4" t="s">
        <v>65</v>
      </c>
      <c r="C70" s="4">
        <v>0.8451739188641425</v>
      </c>
      <c r="D70" s="4" t="s">
        <v>31</v>
      </c>
      <c r="E70" s="4" t="s">
        <v>27</v>
      </c>
      <c r="P70" s="4" t="str">
        <f ca="1"/>
        <v>F</v>
      </c>
      <c r="Q70" s="79" cm="1">
        <f t="array" aca="1" ref="Q70:V70" ca="1">INDIRECT(P70)</f>
        <v>0</v>
      </c>
      <c r="R70" s="79">
        <f ca="1"/>
        <v>0</v>
      </c>
      <c r="S70" s="79">
        <f ca="1"/>
        <v>0</v>
      </c>
      <c r="T70" s="79">
        <f ca="1"/>
        <v>0</v>
      </c>
      <c r="U70" s="79">
        <f ca="1"/>
        <v>0</v>
      </c>
      <c r="V70" s="79">
        <f ca="1"/>
        <v>0</v>
      </c>
      <c r="W70" s="78">
        <f t="shared" ca="1" si="8"/>
        <v>0.62920436571774863</v>
      </c>
      <c r="X70" s="4" cm="1">
        <f t="array" aca="1" ref="X70" ca="1">MIN(SUM((Q70:V70&lt;W70)+0)+1,6)</f>
        <v>6</v>
      </c>
      <c r="Y70" s="4" t="str">
        <f t="shared" ca="1" si="3"/>
        <v>F</v>
      </c>
      <c r="AA70" s="97">
        <v>0.19262168374306055</v>
      </c>
      <c r="AB70" s="98">
        <v>1.4452769504095961</v>
      </c>
      <c r="AC70" s="99">
        <v>0.27839167966293221</v>
      </c>
    </row>
    <row r="71" spans="2:29" x14ac:dyDescent="0.2">
      <c r="B71" s="4" t="s">
        <v>64</v>
      </c>
      <c r="C71" s="4">
        <v>0.27090936711256719</v>
      </c>
      <c r="D71" s="4" t="s">
        <v>36</v>
      </c>
      <c r="E71" s="4" t="s">
        <v>261</v>
      </c>
      <c r="P71" s="4" t="str">
        <f ca="1"/>
        <v>C_</v>
      </c>
      <c r="Q71" s="79" cm="1">
        <f t="array" aca="1" ref="Q71:V71" ca="1">INDIRECT(P71)</f>
        <v>0</v>
      </c>
      <c r="R71" s="79">
        <f ca="1"/>
        <v>9.5238095238095233E-2</v>
      </c>
      <c r="S71" s="79">
        <f ca="1"/>
        <v>0.2857142857142857</v>
      </c>
      <c r="T71" s="79">
        <f ca="1"/>
        <v>0.71428571428571419</v>
      </c>
      <c r="U71" s="79">
        <f ca="1"/>
        <v>0.99999999999999989</v>
      </c>
      <c r="V71" s="79">
        <f ca="1"/>
        <v>0.99999999999999989</v>
      </c>
      <c r="W71" s="78">
        <f t="shared" ca="1" si="8"/>
        <v>0.3700397603972625</v>
      </c>
      <c r="X71" s="4" cm="1">
        <f t="array" aca="1" ref="X71" ca="1">MIN(SUM((Q71:V71&lt;W71)+0)+1,6)</f>
        <v>4</v>
      </c>
      <c r="Y71" s="4" t="str">
        <f t="shared" ca="1" si="3"/>
        <v>D</v>
      </c>
      <c r="AA71" s="97">
        <v>94.790243600197627</v>
      </c>
      <c r="AB71" s="98">
        <v>7.1622244148841983</v>
      </c>
      <c r="AC71" s="99">
        <v>678.90899700615603</v>
      </c>
    </row>
    <row r="72" spans="2:29" x14ac:dyDescent="0.2">
      <c r="B72" s="4" t="s">
        <v>63</v>
      </c>
      <c r="C72" s="4">
        <v>0.49441714721295671</v>
      </c>
      <c r="D72" s="4" t="s">
        <v>21</v>
      </c>
      <c r="E72" s="4" t="s">
        <v>261</v>
      </c>
      <c r="P72" s="4" t="str">
        <f ca="1"/>
        <v>C_</v>
      </c>
      <c r="Q72" s="79" cm="1">
        <f t="array" aca="1" ref="Q72:V72" ca="1">INDIRECT(P72)</f>
        <v>0</v>
      </c>
      <c r="R72" s="79">
        <f ca="1"/>
        <v>9.5238095238095233E-2</v>
      </c>
      <c r="S72" s="79">
        <f ca="1"/>
        <v>0.2857142857142857</v>
      </c>
      <c r="T72" s="79">
        <f ca="1"/>
        <v>0.71428571428571419</v>
      </c>
      <c r="U72" s="79">
        <f ca="1"/>
        <v>0.99999999999999989</v>
      </c>
      <c r="V72" s="79">
        <f ca="1"/>
        <v>0.99999999999999989</v>
      </c>
      <c r="W72" s="78">
        <f t="shared" ca="1" si="8"/>
        <v>0.43524168324198043</v>
      </c>
      <c r="X72" s="4" cm="1">
        <f t="array" aca="1" ref="X72" ca="1">MIN(SUM((Q72:V72&lt;W72)+0)+1,6)</f>
        <v>4</v>
      </c>
      <c r="Y72" s="4" t="str">
        <f t="shared" ca="1" si="3"/>
        <v>D</v>
      </c>
      <c r="AA72" s="97">
        <v>16.584570714019019</v>
      </c>
      <c r="AB72" s="98">
        <v>8.6023854462746083</v>
      </c>
      <c r="AC72" s="99">
        <v>142.66686974298929</v>
      </c>
    </row>
    <row r="73" spans="2:29" x14ac:dyDescent="0.2">
      <c r="B73" s="4" t="s">
        <v>62</v>
      </c>
      <c r="C73" s="4">
        <v>0.26694834177577897</v>
      </c>
      <c r="D73" s="4" t="s">
        <v>36</v>
      </c>
      <c r="E73" s="4" t="s">
        <v>36</v>
      </c>
      <c r="P73" s="4" t="str">
        <f ca="1"/>
        <v>B</v>
      </c>
      <c r="Q73" s="79" cm="1">
        <f t="array" aca="1" ref="Q73:V73" ca="1">INDIRECT(P73)</f>
        <v>9.5238095238095233E-2</v>
      </c>
      <c r="R73" s="79">
        <f ca="1"/>
        <v>0.61904761904761907</v>
      </c>
      <c r="S73" s="79">
        <f ca="1"/>
        <v>0.90476190476190477</v>
      </c>
      <c r="T73" s="79">
        <f ca="1"/>
        <v>1</v>
      </c>
      <c r="U73" s="79">
        <f ca="1"/>
        <v>1</v>
      </c>
      <c r="V73" s="79">
        <f ca="1"/>
        <v>1</v>
      </c>
      <c r="W73" s="78">
        <f t="shared" ca="1" si="8"/>
        <v>0.65970466457480148</v>
      </c>
      <c r="X73" s="4" cm="1">
        <f t="array" aca="1" ref="X73" ca="1">MIN(SUM((Q73:V73&lt;W73)+0)+1,6)</f>
        <v>3</v>
      </c>
      <c r="Y73" s="4" t="str">
        <f t="shared" ca="1" si="3"/>
        <v>C_</v>
      </c>
      <c r="AA73" s="97">
        <v>17.065403004306113</v>
      </c>
      <c r="AB73" s="98">
        <v>10.513662490475356</v>
      </c>
      <c r="AC73" s="99">
        <v>179.41988745121864</v>
      </c>
    </row>
    <row r="74" spans="2:29" x14ac:dyDescent="0.2">
      <c r="B74" s="4" t="s">
        <v>61</v>
      </c>
      <c r="C74" s="4">
        <v>0.18641457449884424</v>
      </c>
      <c r="D74" s="4" t="s">
        <v>23</v>
      </c>
      <c r="E74" s="4" t="s">
        <v>36</v>
      </c>
      <c r="P74" s="4" t="str">
        <f ca="1"/>
        <v>B</v>
      </c>
      <c r="Q74" s="79" cm="1">
        <f t="array" aca="1" ref="Q74:V74" ca="1">INDIRECT(P74)</f>
        <v>9.5238095238095233E-2</v>
      </c>
      <c r="R74" s="79">
        <f ca="1"/>
        <v>0.61904761904761907</v>
      </c>
      <c r="S74" s="79">
        <f ca="1"/>
        <v>0.90476190476190477</v>
      </c>
      <c r="T74" s="79">
        <f ca="1"/>
        <v>1</v>
      </c>
      <c r="U74" s="79">
        <f ca="1"/>
        <v>1</v>
      </c>
      <c r="V74" s="79">
        <f ca="1"/>
        <v>1</v>
      </c>
      <c r="W74" s="78">
        <f t="shared" ca="1" si="8"/>
        <v>0.88278836999294019</v>
      </c>
      <c r="X74" s="4" cm="1">
        <f t="array" aca="1" ref="X74" ca="1">MIN(SUM((Q74:V74&lt;W74)+0)+1,6)</f>
        <v>3</v>
      </c>
      <c r="Y74" s="4" t="str">
        <f t="shared" ca="1" si="3"/>
        <v>C_</v>
      </c>
      <c r="AA74" s="97">
        <v>97.996324402972434</v>
      </c>
      <c r="AB74" s="98">
        <v>10.499013271951931</v>
      </c>
      <c r="AC74" s="99">
        <v>1028.8647105093144</v>
      </c>
    </row>
    <row r="75" spans="2:29" x14ac:dyDescent="0.2">
      <c r="B75" s="4" t="s">
        <v>60</v>
      </c>
      <c r="C75" s="4">
        <v>0.63893952539851484</v>
      </c>
      <c r="D75" s="4" t="s">
        <v>20</v>
      </c>
      <c r="E75" s="4" t="s">
        <v>261</v>
      </c>
      <c r="P75" s="4" t="str">
        <f ca="1"/>
        <v>C_</v>
      </c>
      <c r="Q75" s="79" cm="1">
        <f t="array" aca="1" ref="Q75:V75" ca="1">INDIRECT(P75)</f>
        <v>0</v>
      </c>
      <c r="R75" s="79">
        <f ca="1"/>
        <v>9.5238095238095233E-2</v>
      </c>
      <c r="S75" s="79">
        <f ca="1"/>
        <v>0.2857142857142857</v>
      </c>
      <c r="T75" s="79">
        <f ca="1"/>
        <v>0.71428571428571419</v>
      </c>
      <c r="U75" s="79">
        <f ca="1"/>
        <v>0.99999999999999989</v>
      </c>
      <c r="V75" s="79">
        <f ca="1"/>
        <v>0.99999999999999989</v>
      </c>
      <c r="W75" s="78">
        <f t="shared" ca="1" si="8"/>
        <v>0.99311832016895851</v>
      </c>
      <c r="X75" s="4" cm="1">
        <f t="array" aca="1" ref="X75" ca="1">MIN(SUM((Q75:V75&lt;W75)+0)+1,6)</f>
        <v>5</v>
      </c>
      <c r="Y75" s="4" t="str">
        <f t="shared" ref="Y75:Y109" ca="1" si="11">OFFSET($H$9,0,X75)</f>
        <v>E</v>
      </c>
      <c r="AA75" s="97">
        <v>99.416309784681957</v>
      </c>
      <c r="AB75" s="98">
        <v>7.197808013391974</v>
      </c>
      <c r="AC75" s="99">
        <v>715.57951123004273</v>
      </c>
    </row>
    <row r="76" spans="2:29" x14ac:dyDescent="0.2">
      <c r="B76" s="4" t="s">
        <v>59</v>
      </c>
      <c r="C76" s="4">
        <v>0.71676697075327966</v>
      </c>
      <c r="D76" s="4" t="s">
        <v>20</v>
      </c>
      <c r="E76" s="4" t="s">
        <v>20</v>
      </c>
      <c r="P76" s="4" t="str">
        <f ca="1"/>
        <v>D</v>
      </c>
      <c r="Q76" s="79" cm="1">
        <f t="array" aca="1" ref="Q76:V76" ca="1">INDIRECT(P76)</f>
        <v>0</v>
      </c>
      <c r="R76" s="79">
        <f ca="1"/>
        <v>0</v>
      </c>
      <c r="S76" s="79">
        <f ca="1"/>
        <v>0.1</v>
      </c>
      <c r="T76" s="79">
        <f ca="1"/>
        <v>0.5</v>
      </c>
      <c r="U76" s="79">
        <f ca="1"/>
        <v>0.85</v>
      </c>
      <c r="V76" s="79">
        <f ca="1"/>
        <v>1</v>
      </c>
      <c r="W76" s="78">
        <f t="shared" ca="1" si="8"/>
        <v>0.21906006138369372</v>
      </c>
      <c r="X76" s="4" cm="1">
        <f t="array" aca="1" ref="X76" ca="1">MIN(SUM((Q76:V76&lt;W76)+0)+1,6)</f>
        <v>4</v>
      </c>
      <c r="Y76" s="4" t="str">
        <f t="shared" ca="1" si="11"/>
        <v>D</v>
      </c>
      <c r="AA76" s="97">
        <v>14.969320801855568</v>
      </c>
      <c r="AB76" s="98">
        <v>7.8538548430685129</v>
      </c>
      <c r="AC76" s="99">
        <v>117.5668726770996</v>
      </c>
    </row>
    <row r="77" spans="2:29" x14ac:dyDescent="0.2">
      <c r="B77" s="4" t="s">
        <v>58</v>
      </c>
      <c r="C77" s="4">
        <v>0.44150564930995051</v>
      </c>
      <c r="D77" s="4" t="s">
        <v>21</v>
      </c>
      <c r="E77" s="4" t="s">
        <v>20</v>
      </c>
      <c r="P77" s="4" t="str">
        <f ca="1"/>
        <v>D</v>
      </c>
      <c r="Q77" s="79" cm="1">
        <f t="array" aca="1" ref="Q77:V77" ca="1">INDIRECT(P77)</f>
        <v>0</v>
      </c>
      <c r="R77" s="79">
        <f ca="1"/>
        <v>0</v>
      </c>
      <c r="S77" s="79">
        <f ca="1"/>
        <v>0.1</v>
      </c>
      <c r="T77" s="79">
        <f ca="1"/>
        <v>0.5</v>
      </c>
      <c r="U77" s="79">
        <f ca="1"/>
        <v>0.85</v>
      </c>
      <c r="V77" s="79">
        <f ca="1"/>
        <v>1</v>
      </c>
      <c r="W77" s="78">
        <f t="shared" ca="1" si="8"/>
        <v>0.90916310280324097</v>
      </c>
      <c r="X77" s="4" cm="1">
        <f t="array" aca="1" ref="X77" ca="1">MIN(SUM((Q77:V77&lt;W77)+0)+1,6)</f>
        <v>6</v>
      </c>
      <c r="Y77" s="4" t="str">
        <f t="shared" ca="1" si="11"/>
        <v>F</v>
      </c>
      <c r="AA77" s="97">
        <v>14.792749254190618</v>
      </c>
      <c r="AB77" s="98">
        <v>7.3677925752447608</v>
      </c>
      <c r="AC77" s="99">
        <v>108.9899081224831</v>
      </c>
    </row>
    <row r="78" spans="2:29" x14ac:dyDescent="0.2">
      <c r="B78" s="4" t="s">
        <v>57</v>
      </c>
      <c r="C78" s="4">
        <v>0.20931085094305968</v>
      </c>
      <c r="D78" s="4" t="s">
        <v>36</v>
      </c>
      <c r="E78" s="4" t="s">
        <v>23</v>
      </c>
      <c r="P78" s="4" t="str">
        <f ca="1"/>
        <v>A</v>
      </c>
      <c r="Q78" s="79" cm="1">
        <f t="array" aca="1" ref="Q78:V78" ca="1">INDIRECT(P78)</f>
        <v>0.53846153846153844</v>
      </c>
      <c r="R78" s="79">
        <f ca="1"/>
        <v>0.84615384615384615</v>
      </c>
      <c r="S78" s="79">
        <f ca="1"/>
        <v>1</v>
      </c>
      <c r="T78" s="79">
        <f ca="1"/>
        <v>1</v>
      </c>
      <c r="U78" s="79">
        <f ca="1"/>
        <v>1</v>
      </c>
      <c r="V78" s="79">
        <f ca="1"/>
        <v>1</v>
      </c>
      <c r="W78" s="78">
        <f t="shared" ca="1" si="8"/>
        <v>0.46740728225536465</v>
      </c>
      <c r="X78" s="4" cm="1">
        <f t="array" aca="1" ref="X78" ca="1">MIN(SUM((Q78:V78&lt;W78)+0)+1,6)</f>
        <v>1</v>
      </c>
      <c r="Y78" s="4" t="str">
        <f t="shared" ca="1" si="11"/>
        <v>A</v>
      </c>
      <c r="AA78" s="97">
        <v>19.110465115345264</v>
      </c>
      <c r="AB78" s="98">
        <v>9.7965619907102646</v>
      </c>
      <c r="AC78" s="99">
        <v>187.21685617378586</v>
      </c>
    </row>
    <row r="79" spans="2:29" x14ac:dyDescent="0.2">
      <c r="B79" s="4" t="s">
        <v>56</v>
      </c>
      <c r="C79" s="4">
        <v>0.33312080808404332</v>
      </c>
      <c r="D79" s="4" t="s">
        <v>36</v>
      </c>
      <c r="E79" s="4" t="s">
        <v>261</v>
      </c>
      <c r="P79" s="4" t="str">
        <f ca="1"/>
        <v>C_</v>
      </c>
      <c r="Q79" s="79" cm="1">
        <f t="array" aca="1" ref="Q79:V79" ca="1">INDIRECT(P79)</f>
        <v>0</v>
      </c>
      <c r="R79" s="79">
        <f ca="1"/>
        <v>9.5238095238095233E-2</v>
      </c>
      <c r="S79" s="79">
        <f ca="1"/>
        <v>0.2857142857142857</v>
      </c>
      <c r="T79" s="79">
        <f ca="1"/>
        <v>0.71428571428571419</v>
      </c>
      <c r="U79" s="79">
        <f ca="1"/>
        <v>0.99999999999999989</v>
      </c>
      <c r="V79" s="79">
        <f ca="1"/>
        <v>0.99999999999999989</v>
      </c>
      <c r="W79" s="78">
        <f t="shared" ca="1" si="8"/>
        <v>0.84080248760126852</v>
      </c>
      <c r="X79" s="4" cm="1">
        <f t="array" aca="1" ref="X79" ca="1">MIN(SUM((Q79:V79&lt;W79)+0)+1,6)</f>
        <v>5</v>
      </c>
      <c r="Y79" s="4" t="str">
        <f t="shared" ca="1" si="11"/>
        <v>E</v>
      </c>
      <c r="AA79" s="97">
        <v>85.908216451236967</v>
      </c>
      <c r="AB79" s="98">
        <v>9.8371193831294672</v>
      </c>
      <c r="AC79" s="99">
        <v>845.08938122254494</v>
      </c>
    </row>
    <row r="80" spans="2:29" x14ac:dyDescent="0.2">
      <c r="B80" s="4" t="s">
        <v>55</v>
      </c>
      <c r="C80" s="4">
        <v>0.4576175646538907</v>
      </c>
      <c r="D80" s="4" t="s">
        <v>21</v>
      </c>
      <c r="E80" s="4" t="s">
        <v>20</v>
      </c>
      <c r="P80" s="4" t="str">
        <f ca="1"/>
        <v>D</v>
      </c>
      <c r="Q80" s="79" cm="1">
        <f t="array" aca="1" ref="Q80:V80" ca="1">INDIRECT(P80)</f>
        <v>0</v>
      </c>
      <c r="R80" s="79">
        <f ca="1"/>
        <v>0</v>
      </c>
      <c r="S80" s="79">
        <f ca="1"/>
        <v>0.1</v>
      </c>
      <c r="T80" s="79">
        <f ca="1"/>
        <v>0.5</v>
      </c>
      <c r="U80" s="79">
        <f ca="1"/>
        <v>0.85</v>
      </c>
      <c r="V80" s="79">
        <f ca="1"/>
        <v>1</v>
      </c>
      <c r="W80" s="78">
        <f t="shared" ca="1" si="8"/>
        <v>0.26711978778653567</v>
      </c>
      <c r="X80" s="4" cm="1">
        <f t="array" aca="1" ref="X80" ca="1">MIN(SUM((Q80:V80&lt;W80)+0)+1,6)</f>
        <v>4</v>
      </c>
      <c r="Y80" s="4" t="str">
        <f t="shared" ca="1" si="11"/>
        <v>D</v>
      </c>
      <c r="AA80" s="97">
        <v>68.68157858891864</v>
      </c>
      <c r="AB80" s="98">
        <v>6.4155090821084286</v>
      </c>
      <c r="AC80" s="99">
        <v>440.62729121075131</v>
      </c>
    </row>
    <row r="81" spans="2:29" x14ac:dyDescent="0.2">
      <c r="B81" s="4" t="s">
        <v>54</v>
      </c>
      <c r="C81" s="4">
        <v>0.98714157385309476</v>
      </c>
      <c r="D81" s="4" t="s">
        <v>31</v>
      </c>
      <c r="E81" s="4" t="s">
        <v>27</v>
      </c>
      <c r="P81" s="4" t="str">
        <f ca="1"/>
        <v>F</v>
      </c>
      <c r="Q81" s="79" cm="1">
        <f t="array" aca="1" ref="Q81:V81" ca="1">INDIRECT(P81)</f>
        <v>0</v>
      </c>
      <c r="R81" s="79">
        <f ca="1"/>
        <v>0</v>
      </c>
      <c r="S81" s="79">
        <f ca="1"/>
        <v>0</v>
      </c>
      <c r="T81" s="79">
        <f ca="1"/>
        <v>0</v>
      </c>
      <c r="U81" s="79">
        <f ca="1"/>
        <v>0</v>
      </c>
      <c r="V81" s="79">
        <f ca="1"/>
        <v>0</v>
      </c>
      <c r="W81" s="78">
        <f t="shared" ca="1" si="8"/>
        <v>0.67052668342162991</v>
      </c>
      <c r="X81" s="4" cm="1">
        <f t="array" aca="1" ref="X81" ca="1">MIN(SUM((Q81:V81&lt;W81)+0)+1,6)</f>
        <v>6</v>
      </c>
      <c r="Y81" s="4" t="str">
        <f t="shared" ca="1" si="11"/>
        <v>F</v>
      </c>
      <c r="AA81" s="97">
        <v>42.387915278252429</v>
      </c>
      <c r="AB81" s="98">
        <v>2.1207756298389895</v>
      </c>
      <c r="AC81" s="99">
        <v>89.89525772179752</v>
      </c>
    </row>
    <row r="82" spans="2:29" x14ac:dyDescent="0.2">
      <c r="B82" s="4" t="s">
        <v>53</v>
      </c>
      <c r="C82" s="4">
        <v>0.10380078292225448</v>
      </c>
      <c r="D82" s="4" t="s">
        <v>23</v>
      </c>
      <c r="E82" s="4" t="s">
        <v>36</v>
      </c>
      <c r="P82" s="4" t="str">
        <f ca="1"/>
        <v>B</v>
      </c>
      <c r="Q82" s="79" cm="1">
        <f t="array" aca="1" ref="Q82:V82" ca="1">INDIRECT(P82)</f>
        <v>9.5238095238095233E-2</v>
      </c>
      <c r="R82" s="79">
        <f ca="1"/>
        <v>0.61904761904761907</v>
      </c>
      <c r="S82" s="79">
        <f ca="1"/>
        <v>0.90476190476190477</v>
      </c>
      <c r="T82" s="79">
        <f ca="1"/>
        <v>1</v>
      </c>
      <c r="U82" s="79">
        <f ca="1"/>
        <v>1</v>
      </c>
      <c r="V82" s="79">
        <f ca="1"/>
        <v>1</v>
      </c>
      <c r="W82" s="78">
        <f t="shared" ca="1" si="8"/>
        <v>0.80403444421259851</v>
      </c>
      <c r="X82" s="4" cm="1">
        <f t="array" aca="1" ref="X82" ca="1">MIN(SUM((Q82:V82&lt;W82)+0)+1,6)</f>
        <v>3</v>
      </c>
      <c r="Y82" s="4" t="str">
        <f t="shared" ca="1" si="11"/>
        <v>C_</v>
      </c>
      <c r="AA82" s="97">
        <v>51.804975968572073</v>
      </c>
      <c r="AB82" s="98">
        <v>10.738439564341935</v>
      </c>
      <c r="AC82" s="99">
        <v>556.30460357069751</v>
      </c>
    </row>
    <row r="83" spans="2:29" x14ac:dyDescent="0.2">
      <c r="B83" s="4" t="s">
        <v>52</v>
      </c>
      <c r="C83" s="4">
        <v>6.2017494817444563E-2</v>
      </c>
      <c r="D83" s="4" t="s">
        <v>23</v>
      </c>
      <c r="E83" s="4" t="s">
        <v>23</v>
      </c>
      <c r="P83" s="4" t="str">
        <f ca="1"/>
        <v>A</v>
      </c>
      <c r="Q83" s="79" cm="1">
        <f t="array" aca="1" ref="Q83:V83" ca="1">INDIRECT(P83)</f>
        <v>0.53846153846153844</v>
      </c>
      <c r="R83" s="79">
        <f ca="1"/>
        <v>0.84615384615384615</v>
      </c>
      <c r="S83" s="79">
        <f ca="1"/>
        <v>1</v>
      </c>
      <c r="T83" s="79">
        <f ca="1"/>
        <v>1</v>
      </c>
      <c r="U83" s="79">
        <f ca="1"/>
        <v>1</v>
      </c>
      <c r="V83" s="79">
        <f ca="1"/>
        <v>1</v>
      </c>
      <c r="W83" s="78">
        <f t="shared" ca="1" si="8"/>
        <v>0.27590434147008303</v>
      </c>
      <c r="X83" s="4" cm="1">
        <f t="array" aca="1" ref="X83" ca="1">MIN(SUM((Q83:V83&lt;W83)+0)+1,6)</f>
        <v>1</v>
      </c>
      <c r="Y83" s="4" t="str">
        <f t="shared" ca="1" si="11"/>
        <v>A</v>
      </c>
      <c r="AA83" s="97">
        <v>8.2783903108533679</v>
      </c>
      <c r="AB83" s="98">
        <v>8.7050140143292065</v>
      </c>
      <c r="AC83" s="99">
        <v>72.063503672065679</v>
      </c>
    </row>
    <row r="84" spans="2:29" x14ac:dyDescent="0.2">
      <c r="B84" s="4" t="s">
        <v>51</v>
      </c>
      <c r="C84" s="4">
        <v>0.78450070831783014</v>
      </c>
      <c r="D84" s="4" t="s">
        <v>20</v>
      </c>
      <c r="E84" s="4" t="s">
        <v>20</v>
      </c>
      <c r="P84" s="4" t="str">
        <f ca="1"/>
        <v>D</v>
      </c>
      <c r="Q84" s="79" cm="1">
        <f t="array" aca="1" ref="Q84:V84" ca="1">INDIRECT(P84)</f>
        <v>0</v>
      </c>
      <c r="R84" s="79">
        <f ca="1"/>
        <v>0</v>
      </c>
      <c r="S84" s="79">
        <f ca="1"/>
        <v>0.1</v>
      </c>
      <c r="T84" s="79">
        <f ca="1"/>
        <v>0.5</v>
      </c>
      <c r="U84" s="79">
        <f ca="1"/>
        <v>0.85</v>
      </c>
      <c r="V84" s="79">
        <f ca="1"/>
        <v>1</v>
      </c>
      <c r="W84" s="78">
        <f t="shared" ref="W84:W109" ca="1" si="12">RAND()</f>
        <v>0.12192601125859159</v>
      </c>
      <c r="X84" s="4" cm="1">
        <f t="array" aca="1" ref="X84" ca="1">MIN(SUM((Q84:V84&lt;W84)+0)+1,6)</f>
        <v>4</v>
      </c>
      <c r="Y84" s="4" t="str">
        <f t="shared" ca="1" si="11"/>
        <v>D</v>
      </c>
      <c r="AA84" s="97">
        <v>90.243705402323087</v>
      </c>
      <c r="AB84" s="98">
        <v>5.7083338289998258</v>
      </c>
      <c r="AC84" s="99">
        <v>515.14119640237516</v>
      </c>
    </row>
    <row r="85" spans="2:29" x14ac:dyDescent="0.2">
      <c r="B85" s="4" t="s">
        <v>50</v>
      </c>
      <c r="C85" s="4">
        <v>0.22724111322015161</v>
      </c>
      <c r="D85" s="4" t="s">
        <v>36</v>
      </c>
      <c r="E85" s="4" t="s">
        <v>36</v>
      </c>
      <c r="P85" s="4" t="str">
        <f ca="1"/>
        <v>B</v>
      </c>
      <c r="Q85" s="79" cm="1">
        <f t="array" aca="1" ref="Q85:V85" ca="1">INDIRECT(P85)</f>
        <v>9.5238095238095233E-2</v>
      </c>
      <c r="R85" s="79">
        <f ca="1"/>
        <v>0.61904761904761907</v>
      </c>
      <c r="S85" s="79">
        <f ca="1"/>
        <v>0.90476190476190477</v>
      </c>
      <c r="T85" s="79">
        <f ca="1"/>
        <v>1</v>
      </c>
      <c r="U85" s="79">
        <f ca="1"/>
        <v>1</v>
      </c>
      <c r="V85" s="79">
        <f ca="1"/>
        <v>1</v>
      </c>
      <c r="W85" s="78">
        <f t="shared" ca="1" si="12"/>
        <v>0.72821797971883251</v>
      </c>
      <c r="X85" s="4" cm="1">
        <f t="array" aca="1" ref="X85" ca="1">MIN(SUM((Q85:V85&lt;W85)+0)+1,6)</f>
        <v>3</v>
      </c>
      <c r="Y85" s="4" t="str">
        <f t="shared" ca="1" si="11"/>
        <v>C_</v>
      </c>
      <c r="AA85" s="97">
        <v>78.506579465083945</v>
      </c>
      <c r="AB85" s="98">
        <v>9.2567581635757588</v>
      </c>
      <c r="AC85" s="99">
        <v>726.71642035782486</v>
      </c>
    </row>
    <row r="86" spans="2:29" x14ac:dyDescent="0.2">
      <c r="B86" s="4" t="s">
        <v>49</v>
      </c>
      <c r="C86" s="4">
        <v>0.98565679401413675</v>
      </c>
      <c r="D86" s="4" t="s">
        <v>31</v>
      </c>
      <c r="E86" s="4" t="s">
        <v>27</v>
      </c>
      <c r="P86" s="4" t="str">
        <f ca="1"/>
        <v>F</v>
      </c>
      <c r="Q86" s="79" cm="1">
        <f t="array" aca="1" ref="Q86:V86" ca="1">INDIRECT(P86)</f>
        <v>0</v>
      </c>
      <c r="R86" s="79">
        <f ca="1"/>
        <v>0</v>
      </c>
      <c r="S86" s="79">
        <f ca="1"/>
        <v>0</v>
      </c>
      <c r="T86" s="79">
        <f ca="1"/>
        <v>0</v>
      </c>
      <c r="U86" s="79">
        <f ca="1"/>
        <v>0</v>
      </c>
      <c r="V86" s="79">
        <f ca="1"/>
        <v>0</v>
      </c>
      <c r="W86" s="78">
        <f t="shared" ca="1" si="12"/>
        <v>0.8189959842851775</v>
      </c>
      <c r="X86" s="4" cm="1">
        <f t="array" aca="1" ref="X86" ca="1">MIN(SUM((Q86:V86&lt;W86)+0)+1,6)</f>
        <v>6</v>
      </c>
      <c r="Y86" s="4" t="str">
        <f t="shared" ca="1" si="11"/>
        <v>F</v>
      </c>
      <c r="AA86" s="97">
        <v>19.031860118986621</v>
      </c>
      <c r="AB86" s="98">
        <v>2.8787209093899961</v>
      </c>
      <c r="AC86" s="99">
        <v>54.787413669112368</v>
      </c>
    </row>
    <row r="87" spans="2:29" x14ac:dyDescent="0.2">
      <c r="B87" s="4" t="s">
        <v>48</v>
      </c>
      <c r="C87" s="4">
        <v>0.56165831800490862</v>
      </c>
      <c r="D87" s="4" t="s">
        <v>21</v>
      </c>
      <c r="E87" s="4" t="s">
        <v>31</v>
      </c>
      <c r="P87" s="4" t="str">
        <f ca="1"/>
        <v>E</v>
      </c>
      <c r="Q87" s="79" cm="1">
        <f t="array" aca="1" ref="Q87:V87" ca="1">INDIRECT(P87)</f>
        <v>0</v>
      </c>
      <c r="R87" s="79">
        <f ca="1"/>
        <v>0</v>
      </c>
      <c r="S87" s="79">
        <f ca="1"/>
        <v>0</v>
      </c>
      <c r="T87" s="79">
        <f ca="1"/>
        <v>0.12</v>
      </c>
      <c r="U87" s="79">
        <f ca="1"/>
        <v>0.36</v>
      </c>
      <c r="V87" s="79">
        <f ca="1"/>
        <v>1</v>
      </c>
      <c r="W87" s="78">
        <f t="shared" ca="1" si="12"/>
        <v>0.94491895803465742</v>
      </c>
      <c r="X87" s="4" cm="1">
        <f t="array" aca="1" ref="X87" ca="1">MIN(SUM((Q87:V87&lt;W87)+0)+1,6)</f>
        <v>6</v>
      </c>
      <c r="Y87" s="4" t="str">
        <f t="shared" ca="1" si="11"/>
        <v>F</v>
      </c>
      <c r="AA87" s="97">
        <v>16.766483343881809</v>
      </c>
      <c r="AB87" s="98">
        <v>2.3133062556866202</v>
      </c>
      <c r="AC87" s="99">
        <v>38.78601080526731</v>
      </c>
    </row>
    <row r="88" spans="2:29" x14ac:dyDescent="0.2">
      <c r="B88" s="4" t="s">
        <v>47</v>
      </c>
      <c r="C88" s="4">
        <v>0.78028204907125442</v>
      </c>
      <c r="D88" s="4" t="s">
        <v>20</v>
      </c>
      <c r="E88" s="4" t="s">
        <v>31</v>
      </c>
      <c r="P88" s="4" t="str">
        <f ca="1"/>
        <v>E</v>
      </c>
      <c r="Q88" s="79" cm="1">
        <f t="array" aca="1" ref="Q88:V88" ca="1">INDIRECT(P88)</f>
        <v>0</v>
      </c>
      <c r="R88" s="79">
        <f ca="1"/>
        <v>0</v>
      </c>
      <c r="S88" s="79">
        <f ca="1"/>
        <v>0</v>
      </c>
      <c r="T88" s="79">
        <f ca="1"/>
        <v>0.12</v>
      </c>
      <c r="U88" s="79">
        <f ca="1"/>
        <v>0.36</v>
      </c>
      <c r="V88" s="79">
        <f ca="1"/>
        <v>1</v>
      </c>
      <c r="W88" s="78">
        <f t="shared" ca="1" si="12"/>
        <v>0.53734409080557766</v>
      </c>
      <c r="X88" s="4" cm="1">
        <f t="array" aca="1" ref="X88" ca="1">MIN(SUM((Q88:V88&lt;W88)+0)+1,6)</f>
        <v>6</v>
      </c>
      <c r="Y88" s="4" t="str">
        <f t="shared" ca="1" si="11"/>
        <v>F</v>
      </c>
      <c r="AA88" s="97">
        <v>42.295637722709913</v>
      </c>
      <c r="AB88" s="98">
        <v>3.5445228141367422</v>
      </c>
      <c r="AC88" s="99">
        <v>149.9178528466079</v>
      </c>
    </row>
    <row r="89" spans="2:29" x14ac:dyDescent="0.2">
      <c r="B89" s="4" t="s">
        <v>46</v>
      </c>
      <c r="C89" s="4">
        <v>0.434984899765402</v>
      </c>
      <c r="D89" s="4" t="s">
        <v>21</v>
      </c>
      <c r="E89" s="4" t="s">
        <v>36</v>
      </c>
      <c r="P89" s="4" t="str">
        <f ca="1"/>
        <v>B</v>
      </c>
      <c r="Q89" s="79" cm="1">
        <f t="array" aca="1" ref="Q89:V89" ca="1">INDIRECT(P89)</f>
        <v>9.5238095238095233E-2</v>
      </c>
      <c r="R89" s="79">
        <f ca="1"/>
        <v>0.61904761904761907</v>
      </c>
      <c r="S89" s="79">
        <f ca="1"/>
        <v>0.90476190476190477</v>
      </c>
      <c r="T89" s="79">
        <f ca="1"/>
        <v>1</v>
      </c>
      <c r="U89" s="79">
        <f ca="1"/>
        <v>1</v>
      </c>
      <c r="V89" s="79">
        <f ca="1"/>
        <v>1</v>
      </c>
      <c r="W89" s="78">
        <f t="shared" ca="1" si="12"/>
        <v>4.4030336829738448E-2</v>
      </c>
      <c r="X89" s="4" cm="1">
        <f t="array" aca="1" ref="X89" ca="1">MIN(SUM((Q89:V89&lt;W89)+0)+1,6)</f>
        <v>1</v>
      </c>
      <c r="Y89" s="4" t="str">
        <f t="shared" ca="1" si="11"/>
        <v>A</v>
      </c>
      <c r="AA89" s="97">
        <v>0.47752840883801273</v>
      </c>
      <c r="AB89" s="98">
        <v>9.3846887639024654</v>
      </c>
      <c r="AC89" s="99">
        <v>4.4814554928663206</v>
      </c>
    </row>
    <row r="90" spans="2:29" x14ac:dyDescent="0.2">
      <c r="B90" s="4" t="s">
        <v>45</v>
      </c>
      <c r="C90" s="4">
        <v>0.83827533834394208</v>
      </c>
      <c r="D90" s="4" t="s">
        <v>31</v>
      </c>
      <c r="E90" s="4" t="s">
        <v>31</v>
      </c>
      <c r="P90" s="4" t="str">
        <f ca="1"/>
        <v>E</v>
      </c>
      <c r="Q90" s="79" cm="1">
        <f t="array" aca="1" ref="Q90:V90" ca="1">INDIRECT(P90)</f>
        <v>0</v>
      </c>
      <c r="R90" s="79">
        <f ca="1"/>
        <v>0</v>
      </c>
      <c r="S90" s="79">
        <f ca="1"/>
        <v>0</v>
      </c>
      <c r="T90" s="79">
        <f ca="1"/>
        <v>0.12</v>
      </c>
      <c r="U90" s="79">
        <f ca="1"/>
        <v>0.36</v>
      </c>
      <c r="V90" s="79">
        <f ca="1"/>
        <v>1</v>
      </c>
      <c r="W90" s="78">
        <f t="shared" ca="1" si="12"/>
        <v>0.5233530978919152</v>
      </c>
      <c r="X90" s="4" cm="1">
        <f t="array" aca="1" ref="X90" ca="1">MIN(SUM((Q90:V90&lt;W90)+0)+1,6)</f>
        <v>6</v>
      </c>
      <c r="Y90" s="4" t="str">
        <f t="shared" ca="1" si="11"/>
        <v>F</v>
      </c>
      <c r="AA90" s="97">
        <v>63.85261731434678</v>
      </c>
      <c r="AB90" s="98">
        <v>2.6562703793921041</v>
      </c>
      <c r="AC90" s="99">
        <v>169.60981601875875</v>
      </c>
    </row>
    <row r="91" spans="2:29" x14ac:dyDescent="0.2">
      <c r="B91" s="4" t="s">
        <v>44</v>
      </c>
      <c r="C91" s="4">
        <v>0.53822666933083452</v>
      </c>
      <c r="D91" s="4" t="s">
        <v>21</v>
      </c>
      <c r="E91" s="4" t="s">
        <v>31</v>
      </c>
      <c r="P91" s="4" t="str">
        <f ca="1"/>
        <v>E</v>
      </c>
      <c r="Q91" s="79" cm="1">
        <f t="array" aca="1" ref="Q91:V91" ca="1">INDIRECT(P91)</f>
        <v>0</v>
      </c>
      <c r="R91" s="79">
        <f ca="1"/>
        <v>0</v>
      </c>
      <c r="S91" s="79">
        <f ca="1"/>
        <v>0</v>
      </c>
      <c r="T91" s="79">
        <f ca="1"/>
        <v>0.12</v>
      </c>
      <c r="U91" s="79">
        <f ca="1"/>
        <v>0.36</v>
      </c>
      <c r="V91" s="79">
        <f ca="1"/>
        <v>1</v>
      </c>
      <c r="W91" s="78">
        <f t="shared" ca="1" si="12"/>
        <v>0.43630380794408552</v>
      </c>
      <c r="X91" s="4" cm="1">
        <f t="array" aca="1" ref="X91" ca="1">MIN(SUM((Q91:V91&lt;W91)+0)+1,6)</f>
        <v>6</v>
      </c>
      <c r="Y91" s="4" t="str">
        <f t="shared" ca="1" si="11"/>
        <v>F</v>
      </c>
      <c r="AA91" s="97">
        <v>74.484454613584461</v>
      </c>
      <c r="AB91" s="98">
        <v>3.5853906193890581</v>
      </c>
      <c r="AC91" s="99">
        <v>267.05586486185575</v>
      </c>
    </row>
    <row r="92" spans="2:29" x14ac:dyDescent="0.2">
      <c r="B92" s="4" t="s">
        <v>43</v>
      </c>
      <c r="C92" s="4">
        <v>0.78100542885218072</v>
      </c>
      <c r="D92" s="4" t="s">
        <v>20</v>
      </c>
      <c r="E92" s="4" t="s">
        <v>31</v>
      </c>
      <c r="P92" s="4" t="str">
        <f ca="1"/>
        <v>E</v>
      </c>
      <c r="Q92" s="79" cm="1">
        <f t="array" aca="1" ref="Q92:V92" ca="1">INDIRECT(P92)</f>
        <v>0</v>
      </c>
      <c r="R92" s="79">
        <f ca="1"/>
        <v>0</v>
      </c>
      <c r="S92" s="79">
        <f ca="1"/>
        <v>0</v>
      </c>
      <c r="T92" s="79">
        <f ca="1"/>
        <v>0.12</v>
      </c>
      <c r="U92" s="79">
        <f ca="1"/>
        <v>0.36</v>
      </c>
      <c r="V92" s="79">
        <f ca="1"/>
        <v>1</v>
      </c>
      <c r="W92" s="78">
        <f t="shared" ca="1" si="12"/>
        <v>0.37270869961652353</v>
      </c>
      <c r="X92" s="4" cm="1">
        <f t="array" aca="1" ref="X92" ca="1">MIN(SUM((Q92:V92&lt;W92)+0)+1,6)</f>
        <v>6</v>
      </c>
      <c r="Y92" s="4" t="str">
        <f t="shared" ca="1" si="11"/>
        <v>F</v>
      </c>
      <c r="AA92" s="97">
        <v>96.724609382262159</v>
      </c>
      <c r="AB92" s="98">
        <v>2.6262341414169561</v>
      </c>
      <c r="AC92" s="99">
        <v>254.02147147491573</v>
      </c>
    </row>
    <row r="93" spans="2:29" x14ac:dyDescent="0.2">
      <c r="B93" s="4" t="s">
        <v>42</v>
      </c>
      <c r="C93" s="4">
        <v>0.36391068529626602</v>
      </c>
      <c r="D93" s="4" t="s">
        <v>36</v>
      </c>
      <c r="E93" s="4" t="s">
        <v>36</v>
      </c>
      <c r="P93" s="4" t="str">
        <f ca="1"/>
        <v>B</v>
      </c>
      <c r="Q93" s="79" cm="1">
        <f t="array" aca="1" ref="Q93:V93" ca="1">INDIRECT(P93)</f>
        <v>9.5238095238095233E-2</v>
      </c>
      <c r="R93" s="79">
        <f ca="1"/>
        <v>0.61904761904761907</v>
      </c>
      <c r="S93" s="79">
        <f ca="1"/>
        <v>0.90476190476190477</v>
      </c>
      <c r="T93" s="79">
        <f ca="1"/>
        <v>1</v>
      </c>
      <c r="U93" s="79">
        <f ca="1"/>
        <v>1</v>
      </c>
      <c r="V93" s="79">
        <f ca="1"/>
        <v>1</v>
      </c>
      <c r="W93" s="78">
        <f t="shared" ca="1" si="12"/>
        <v>0.32082620594112921</v>
      </c>
      <c r="X93" s="4" cm="1">
        <f t="array" aca="1" ref="X93" ca="1">MIN(SUM((Q93:V93&lt;W93)+0)+1,6)</f>
        <v>2</v>
      </c>
      <c r="Y93" s="4" t="str">
        <f t="shared" ca="1" si="11"/>
        <v>B</v>
      </c>
      <c r="AA93" s="97">
        <v>80.864704132654879</v>
      </c>
      <c r="AB93" s="98">
        <v>8.1598692452692294</v>
      </c>
      <c r="AC93" s="99">
        <v>659.84541227984607</v>
      </c>
    </row>
    <row r="94" spans="2:29" x14ac:dyDescent="0.2">
      <c r="B94" s="4" t="s">
        <v>41</v>
      </c>
      <c r="C94" s="4">
        <v>0.87143062788127279</v>
      </c>
      <c r="D94" s="4" t="s">
        <v>31</v>
      </c>
      <c r="E94" s="4" t="s">
        <v>27</v>
      </c>
      <c r="P94" s="4" t="str">
        <f ca="1"/>
        <v>F</v>
      </c>
      <c r="Q94" s="79" cm="1">
        <f t="array" aca="1" ref="Q94:V94" ca="1">INDIRECT(P94)</f>
        <v>0</v>
      </c>
      <c r="R94" s="79">
        <f ca="1"/>
        <v>0</v>
      </c>
      <c r="S94" s="79">
        <f ca="1"/>
        <v>0</v>
      </c>
      <c r="T94" s="79">
        <f ca="1"/>
        <v>0</v>
      </c>
      <c r="U94" s="79">
        <f ca="1"/>
        <v>0</v>
      </c>
      <c r="V94" s="79">
        <f ca="1"/>
        <v>0</v>
      </c>
      <c r="W94" s="78">
        <f t="shared" ca="1" si="12"/>
        <v>0.31705704805556678</v>
      </c>
      <c r="X94" s="4" cm="1">
        <f t="array" aca="1" ref="X94" ca="1">MIN(SUM((Q94:V94&lt;W94)+0)+1,6)</f>
        <v>6</v>
      </c>
      <c r="Y94" s="4" t="str">
        <f t="shared" ca="1" si="11"/>
        <v>F</v>
      </c>
      <c r="AA94" s="97">
        <v>47.641729430050354</v>
      </c>
      <c r="AB94" s="98">
        <v>1.2026504189420528E-2</v>
      </c>
      <c r="AC94" s="99">
        <v>0.57296345858173992</v>
      </c>
    </row>
    <row r="95" spans="2:29" x14ac:dyDescent="0.2">
      <c r="B95" s="4" t="s">
        <v>40</v>
      </c>
      <c r="C95" s="4">
        <v>0.67461747316541898</v>
      </c>
      <c r="D95" s="4" t="s">
        <v>20</v>
      </c>
      <c r="E95" s="4" t="s">
        <v>31</v>
      </c>
      <c r="P95" s="4" t="str">
        <f ca="1"/>
        <v>E</v>
      </c>
      <c r="Q95" s="79" cm="1">
        <f t="array" aca="1" ref="Q95:V95" ca="1">INDIRECT(P95)</f>
        <v>0</v>
      </c>
      <c r="R95" s="79">
        <f ca="1"/>
        <v>0</v>
      </c>
      <c r="S95" s="79">
        <f ca="1"/>
        <v>0</v>
      </c>
      <c r="T95" s="79">
        <f ca="1"/>
        <v>0.12</v>
      </c>
      <c r="U95" s="79">
        <f ca="1"/>
        <v>0.36</v>
      </c>
      <c r="V95" s="79">
        <f ca="1"/>
        <v>1</v>
      </c>
      <c r="W95" s="78">
        <f t="shared" ca="1" si="12"/>
        <v>0.11542215038279546</v>
      </c>
      <c r="X95" s="4" cm="1">
        <f t="array" aca="1" ref="X95" ca="1">MIN(SUM((Q95:V95&lt;W95)+0)+1,6)</f>
        <v>4</v>
      </c>
      <c r="Y95" s="4" t="str">
        <f t="shared" ca="1" si="11"/>
        <v>D</v>
      </c>
      <c r="AA95" s="97">
        <v>27.892599466123869</v>
      </c>
      <c r="AB95" s="98">
        <v>2.5937053053895949</v>
      </c>
      <c r="AC95" s="99">
        <v>72.345183216392456</v>
      </c>
    </row>
    <row r="96" spans="2:29" x14ac:dyDescent="0.2">
      <c r="B96" s="4" t="s">
        <v>39</v>
      </c>
      <c r="C96" s="4">
        <v>0.190127743072105</v>
      </c>
      <c r="D96" s="4" t="s">
        <v>23</v>
      </c>
      <c r="E96" s="4" t="s">
        <v>23</v>
      </c>
      <c r="P96" s="4" t="str">
        <f ca="1"/>
        <v>A</v>
      </c>
      <c r="Q96" s="79" cm="1">
        <f t="array" aca="1" ref="Q96:V96" ca="1">INDIRECT(P96)</f>
        <v>0.53846153846153844</v>
      </c>
      <c r="R96" s="79">
        <f ca="1"/>
        <v>0.84615384615384615</v>
      </c>
      <c r="S96" s="79">
        <f ca="1"/>
        <v>1</v>
      </c>
      <c r="T96" s="79">
        <f ca="1"/>
        <v>1</v>
      </c>
      <c r="U96" s="79">
        <f ca="1"/>
        <v>1</v>
      </c>
      <c r="V96" s="79">
        <f ca="1"/>
        <v>1</v>
      </c>
      <c r="W96" s="78">
        <f t="shared" ca="1" si="12"/>
        <v>0.37923662560804328</v>
      </c>
      <c r="X96" s="4" cm="1">
        <f t="array" aca="1" ref="X96" ca="1">MIN(SUM((Q96:V96&lt;W96)+0)+1,6)</f>
        <v>1</v>
      </c>
      <c r="Y96" s="4" t="str">
        <f t="shared" ca="1" si="11"/>
        <v>A</v>
      </c>
      <c r="AA96" s="97">
        <v>67.106419204318897</v>
      </c>
      <c r="AB96" s="98">
        <v>9.6544124807289879</v>
      </c>
      <c r="AC96" s="99">
        <v>647.87305110320779</v>
      </c>
    </row>
    <row r="97" spans="2:29" x14ac:dyDescent="0.2">
      <c r="B97" s="4" t="s">
        <v>38</v>
      </c>
      <c r="C97" s="4">
        <v>0.3015815400587385</v>
      </c>
      <c r="D97" s="4" t="s">
        <v>36</v>
      </c>
      <c r="E97" s="4" t="s">
        <v>36</v>
      </c>
      <c r="P97" s="4" t="str">
        <f ca="1"/>
        <v>B</v>
      </c>
      <c r="Q97" s="79" cm="1">
        <f t="array" aca="1" ref="Q97:V97" ca="1">INDIRECT(P97)</f>
        <v>9.5238095238095233E-2</v>
      </c>
      <c r="R97" s="79">
        <f ca="1"/>
        <v>0.61904761904761907</v>
      </c>
      <c r="S97" s="79">
        <f ca="1"/>
        <v>0.90476190476190477</v>
      </c>
      <c r="T97" s="79">
        <f ca="1"/>
        <v>1</v>
      </c>
      <c r="U97" s="79">
        <f ca="1"/>
        <v>1</v>
      </c>
      <c r="V97" s="79">
        <f ca="1"/>
        <v>1</v>
      </c>
      <c r="W97" s="78">
        <f t="shared" ca="1" si="12"/>
        <v>0.2101981966359866</v>
      </c>
      <c r="X97" s="4" cm="1">
        <f t="array" aca="1" ref="X97" ca="1">MIN(SUM((Q97:V97&lt;W97)+0)+1,6)</f>
        <v>2</v>
      </c>
      <c r="Y97" s="4" t="str">
        <f t="shared" ca="1" si="11"/>
        <v>B</v>
      </c>
      <c r="AA97" s="97">
        <v>88.907176996272412</v>
      </c>
      <c r="AB97" s="98">
        <v>8.5336396769490115</v>
      </c>
      <c r="AC97" s="99">
        <v>758.70181318091863</v>
      </c>
    </row>
    <row r="98" spans="2:29" x14ac:dyDescent="0.2">
      <c r="B98" s="4" t="s">
        <v>37</v>
      </c>
      <c r="C98" s="4">
        <v>0.33749567042133943</v>
      </c>
      <c r="D98" s="4" t="s">
        <v>36</v>
      </c>
      <c r="E98" s="4" t="s">
        <v>261</v>
      </c>
      <c r="P98" s="4" t="str">
        <f ca="1"/>
        <v>C_</v>
      </c>
      <c r="Q98" s="79" cm="1">
        <f t="array" aca="1" ref="Q98:V98" ca="1">INDIRECT(P98)</f>
        <v>0</v>
      </c>
      <c r="R98" s="79">
        <f ca="1"/>
        <v>9.5238095238095233E-2</v>
      </c>
      <c r="S98" s="79">
        <f ca="1"/>
        <v>0.2857142857142857</v>
      </c>
      <c r="T98" s="79">
        <f ca="1"/>
        <v>0.71428571428571419</v>
      </c>
      <c r="U98" s="79">
        <f ca="1"/>
        <v>0.99999999999999989</v>
      </c>
      <c r="V98" s="79">
        <f ca="1"/>
        <v>0.99999999999999989</v>
      </c>
      <c r="W98" s="78">
        <f t="shared" ca="1" si="12"/>
        <v>0.19478164527185893</v>
      </c>
      <c r="X98" s="4" cm="1">
        <f t="array" aca="1" ref="X98" ca="1">MIN(SUM((Q98:V98&lt;W98)+0)+1,6)</f>
        <v>3</v>
      </c>
      <c r="Y98" s="4" t="str">
        <f t="shared" ca="1" si="11"/>
        <v>C_</v>
      </c>
      <c r="AA98" s="97">
        <v>47.654324325615626</v>
      </c>
      <c r="AB98" s="98">
        <v>8.4951872297418731</v>
      </c>
      <c r="AC98" s="99">
        <v>404.83240745294739</v>
      </c>
    </row>
    <row r="99" spans="2:29" x14ac:dyDescent="0.2">
      <c r="B99" s="4" t="s">
        <v>35</v>
      </c>
      <c r="C99" s="4">
        <v>0.41743570679011921</v>
      </c>
      <c r="D99" s="4" t="s">
        <v>21</v>
      </c>
      <c r="E99" s="4" t="s">
        <v>261</v>
      </c>
      <c r="P99" s="4" t="str">
        <f ca="1"/>
        <v>C_</v>
      </c>
      <c r="Q99" s="79" cm="1">
        <f t="array" aca="1" ref="Q99:V99" ca="1">INDIRECT(P99)</f>
        <v>0</v>
      </c>
      <c r="R99" s="79">
        <f ca="1"/>
        <v>9.5238095238095233E-2</v>
      </c>
      <c r="S99" s="79">
        <f ca="1"/>
        <v>0.2857142857142857</v>
      </c>
      <c r="T99" s="79">
        <f ca="1"/>
        <v>0.71428571428571419</v>
      </c>
      <c r="U99" s="79">
        <f ca="1"/>
        <v>0.99999999999999989</v>
      </c>
      <c r="V99" s="79">
        <f ca="1"/>
        <v>0.99999999999999989</v>
      </c>
      <c r="W99" s="78">
        <f t="shared" ca="1" si="12"/>
        <v>0.85524054455917597</v>
      </c>
      <c r="X99" s="4" cm="1">
        <f t="array" aca="1" ref="X99" ca="1">MIN(SUM((Q99:V99&lt;W99)+0)+1,6)</f>
        <v>5</v>
      </c>
      <c r="Y99" s="4" t="str">
        <f t="shared" ca="1" si="11"/>
        <v>E</v>
      </c>
      <c r="AA99" s="97">
        <v>47.441377081877768</v>
      </c>
      <c r="AB99" s="98">
        <v>7.4091104969574344</v>
      </c>
      <c r="AC99" s="99">
        <v>351.49840492745642</v>
      </c>
    </row>
    <row r="100" spans="2:29" x14ac:dyDescent="0.2">
      <c r="B100" s="4" t="s">
        <v>34</v>
      </c>
      <c r="C100" s="4">
        <v>0.87620699852378636</v>
      </c>
      <c r="D100" s="4" t="s">
        <v>31</v>
      </c>
      <c r="E100" s="4" t="s">
        <v>20</v>
      </c>
      <c r="P100" s="4" t="str">
        <f ca="1"/>
        <v>D</v>
      </c>
      <c r="Q100" s="79" cm="1">
        <f t="array" aca="1" ref="Q100:V100" ca="1">INDIRECT(P100)</f>
        <v>0</v>
      </c>
      <c r="R100" s="79">
        <f ca="1"/>
        <v>0</v>
      </c>
      <c r="S100" s="79">
        <f ca="1"/>
        <v>0.1</v>
      </c>
      <c r="T100" s="79">
        <f ca="1"/>
        <v>0.5</v>
      </c>
      <c r="U100" s="79">
        <f ca="1"/>
        <v>0.85</v>
      </c>
      <c r="V100" s="79">
        <f ca="1"/>
        <v>1</v>
      </c>
      <c r="W100" s="78">
        <f t="shared" ca="1" si="12"/>
        <v>0.66377877471766655</v>
      </c>
      <c r="X100" s="4" cm="1">
        <f t="array" aca="1" ref="X100" ca="1">MIN(SUM((Q100:V100&lt;W100)+0)+1,6)</f>
        <v>5</v>
      </c>
      <c r="Y100" s="4" t="str">
        <f t="shared" ca="1" si="11"/>
        <v>E</v>
      </c>
      <c r="AA100" s="97">
        <v>58.929210125533857</v>
      </c>
      <c r="AB100" s="98">
        <v>5.3269695800033627</v>
      </c>
      <c r="AC100" s="99">
        <v>313.91410971234501</v>
      </c>
    </row>
    <row r="101" spans="2:29" x14ac:dyDescent="0.2">
      <c r="B101" s="4" t="s">
        <v>33</v>
      </c>
      <c r="C101" s="4">
        <v>0.93159355039564817</v>
      </c>
      <c r="D101" s="4" t="s">
        <v>31</v>
      </c>
      <c r="E101" s="4" t="s">
        <v>27</v>
      </c>
      <c r="P101" s="4" t="str">
        <f ca="1"/>
        <v>F</v>
      </c>
      <c r="Q101" s="79" cm="1">
        <f t="array" aca="1" ref="Q101:V101" ca="1">INDIRECT(P101)</f>
        <v>0</v>
      </c>
      <c r="R101" s="79">
        <f ca="1"/>
        <v>0</v>
      </c>
      <c r="S101" s="79">
        <f ca="1"/>
        <v>0</v>
      </c>
      <c r="T101" s="79">
        <f ca="1"/>
        <v>0</v>
      </c>
      <c r="U101" s="79">
        <f ca="1"/>
        <v>0</v>
      </c>
      <c r="V101" s="79">
        <f ca="1"/>
        <v>0</v>
      </c>
      <c r="W101" s="78">
        <f t="shared" ca="1" si="12"/>
        <v>0.43364016364584557</v>
      </c>
      <c r="X101" s="4" cm="1">
        <f t="array" aca="1" ref="X101" ca="1">MIN(SUM((Q101:V101&lt;W101)+0)+1,6)</f>
        <v>6</v>
      </c>
      <c r="Y101" s="4" t="str">
        <f t="shared" ca="1" si="11"/>
        <v>F</v>
      </c>
      <c r="AA101" s="97">
        <v>11.092231390635309</v>
      </c>
      <c r="AB101" s="98">
        <v>2.0084027892347884</v>
      </c>
      <c r="AC101" s="99">
        <v>22.277668463789631</v>
      </c>
    </row>
    <row r="102" spans="2:29" x14ac:dyDescent="0.2">
      <c r="B102" s="4" t="s">
        <v>32</v>
      </c>
      <c r="C102" s="4">
        <v>0.5974665198857787</v>
      </c>
      <c r="D102" s="4" t="s">
        <v>21</v>
      </c>
      <c r="E102" s="4" t="s">
        <v>31</v>
      </c>
      <c r="P102" s="4" t="str">
        <f ca="1"/>
        <v>E</v>
      </c>
      <c r="Q102" s="79" cm="1">
        <f t="array" aca="1" ref="Q102:V102" ca="1">INDIRECT(P102)</f>
        <v>0</v>
      </c>
      <c r="R102" s="79">
        <f ca="1"/>
        <v>0</v>
      </c>
      <c r="S102" s="79">
        <f ca="1"/>
        <v>0</v>
      </c>
      <c r="T102" s="79">
        <f ca="1"/>
        <v>0.12</v>
      </c>
      <c r="U102" s="79">
        <f ca="1"/>
        <v>0.36</v>
      </c>
      <c r="V102" s="79">
        <f ca="1"/>
        <v>1</v>
      </c>
      <c r="W102" s="78">
        <f t="shared" ca="1" si="12"/>
        <v>3.9947671883330815E-2</v>
      </c>
      <c r="X102" s="4" cm="1">
        <f t="array" aca="1" ref="X102" ca="1">MIN(SUM((Q102:V102&lt;W102)+0)+1,6)</f>
        <v>4</v>
      </c>
      <c r="Y102" s="4" t="str">
        <f t="shared" ca="1" si="11"/>
        <v>D</v>
      </c>
      <c r="AA102" s="97">
        <v>76.097769585438584</v>
      </c>
      <c r="AB102" s="98">
        <v>3.3711337325898234</v>
      </c>
      <c r="AC102" s="99">
        <v>256.53575802431993</v>
      </c>
    </row>
    <row r="103" spans="2:29" x14ac:dyDescent="0.2">
      <c r="B103" s="4" t="s">
        <v>30</v>
      </c>
      <c r="C103" s="4">
        <v>0.47410685578653822</v>
      </c>
      <c r="D103" s="4" t="s">
        <v>21</v>
      </c>
      <c r="E103" s="4" t="s">
        <v>20</v>
      </c>
      <c r="P103" s="4" t="str">
        <f ca="1"/>
        <v>D</v>
      </c>
      <c r="Q103" s="79" cm="1">
        <f t="array" aca="1" ref="Q103:V103" ca="1">INDIRECT(P103)</f>
        <v>0</v>
      </c>
      <c r="R103" s="79">
        <f ca="1"/>
        <v>0</v>
      </c>
      <c r="S103" s="79">
        <f ca="1"/>
        <v>0.1</v>
      </c>
      <c r="T103" s="79">
        <f ca="1"/>
        <v>0.5</v>
      </c>
      <c r="U103" s="79">
        <f ca="1"/>
        <v>0.85</v>
      </c>
      <c r="V103" s="79">
        <f ca="1"/>
        <v>1</v>
      </c>
      <c r="W103" s="78">
        <f t="shared" ca="1" si="12"/>
        <v>0.54628422250504316</v>
      </c>
      <c r="X103" s="4" cm="1">
        <f t="array" aca="1" ref="X103" ca="1">MIN(SUM((Q103:V103&lt;W103)+0)+1,6)</f>
        <v>5</v>
      </c>
      <c r="Y103" s="4" t="str">
        <f t="shared" ca="1" si="11"/>
        <v>E</v>
      </c>
      <c r="AA103" s="97">
        <v>81.022779930552375</v>
      </c>
      <c r="AB103" s="98">
        <v>5.1587719180004612</v>
      </c>
      <c r="AC103" s="99">
        <v>417.97804182406497</v>
      </c>
    </row>
    <row r="104" spans="2:29" x14ac:dyDescent="0.2">
      <c r="B104" s="4" t="s">
        <v>29</v>
      </c>
      <c r="C104" s="4">
        <v>0.65559589565764997</v>
      </c>
      <c r="D104" s="4" t="s">
        <v>20</v>
      </c>
      <c r="E104" s="4" t="s">
        <v>27</v>
      </c>
      <c r="P104" s="4" t="str">
        <f ca="1"/>
        <v>F</v>
      </c>
      <c r="Q104" s="79" cm="1">
        <f t="array" aca="1" ref="Q104:V104" ca="1">INDIRECT(P104)</f>
        <v>0</v>
      </c>
      <c r="R104" s="79">
        <f ca="1"/>
        <v>0</v>
      </c>
      <c r="S104" s="79">
        <f ca="1"/>
        <v>0</v>
      </c>
      <c r="T104" s="79">
        <f ca="1"/>
        <v>0</v>
      </c>
      <c r="U104" s="79">
        <f ca="1"/>
        <v>0</v>
      </c>
      <c r="V104" s="79">
        <f ca="1"/>
        <v>0</v>
      </c>
      <c r="W104" s="78">
        <f t="shared" ca="1" si="12"/>
        <v>0.64449324438602584</v>
      </c>
      <c r="X104" s="4" cm="1">
        <f t="array" aca="1" ref="X104" ca="1">MIN(SUM((Q104:V104&lt;W104)+0)+1,6)</f>
        <v>6</v>
      </c>
      <c r="Y104" s="4" t="str">
        <f t="shared" ca="1" si="11"/>
        <v>F</v>
      </c>
      <c r="AA104" s="97">
        <v>42.636145159749503</v>
      </c>
      <c r="AB104" s="98">
        <v>1.1133427327017777</v>
      </c>
      <c r="AC104" s="99">
        <v>47.468642364025186</v>
      </c>
    </row>
    <row r="105" spans="2:29" x14ac:dyDescent="0.2">
      <c r="B105" s="4" t="s">
        <v>28</v>
      </c>
      <c r="C105" s="4">
        <v>0.76356759394203066</v>
      </c>
      <c r="D105" s="4" t="s">
        <v>20</v>
      </c>
      <c r="E105" s="4" t="s">
        <v>27</v>
      </c>
      <c r="P105" s="4" t="str">
        <f ca="1"/>
        <v>F</v>
      </c>
      <c r="Q105" s="79" cm="1">
        <f t="array" aca="1" ref="Q105:V105" ca="1">INDIRECT(P105)</f>
        <v>0</v>
      </c>
      <c r="R105" s="79">
        <f ca="1"/>
        <v>0</v>
      </c>
      <c r="S105" s="79">
        <f ca="1"/>
        <v>0</v>
      </c>
      <c r="T105" s="79">
        <f ca="1"/>
        <v>0</v>
      </c>
      <c r="U105" s="79">
        <f ca="1"/>
        <v>0</v>
      </c>
      <c r="V105" s="79">
        <f ca="1"/>
        <v>0</v>
      </c>
      <c r="W105" s="78">
        <f t="shared" ca="1" si="12"/>
        <v>0.15440006839379739</v>
      </c>
      <c r="X105" s="4" cm="1">
        <f t="array" aca="1" ref="X105" ca="1">MIN(SUM((Q105:V105&lt;W105)+0)+1,6)</f>
        <v>6</v>
      </c>
      <c r="Y105" s="4" t="str">
        <f t="shared" ca="1" si="11"/>
        <v>F</v>
      </c>
      <c r="AA105" s="97">
        <v>17.533405807868935</v>
      </c>
      <c r="AB105" s="98">
        <v>2.5759835494768506</v>
      </c>
      <c r="AC105" s="99">
        <v>45.165764927372244</v>
      </c>
    </row>
    <row r="106" spans="2:29" x14ac:dyDescent="0.2">
      <c r="B106" s="4" t="s">
        <v>26</v>
      </c>
      <c r="C106" s="4">
        <v>0.42212135662889816</v>
      </c>
      <c r="D106" s="4" t="s">
        <v>21</v>
      </c>
      <c r="E106" s="4" t="s">
        <v>261</v>
      </c>
      <c r="P106" s="4" t="str">
        <f ca="1"/>
        <v>C_</v>
      </c>
      <c r="Q106" s="79" cm="1">
        <f t="array" aca="1" ref="Q106:V106" ca="1">INDIRECT(P106)</f>
        <v>0</v>
      </c>
      <c r="R106" s="79">
        <f ca="1"/>
        <v>9.5238095238095233E-2</v>
      </c>
      <c r="S106" s="79">
        <f ca="1"/>
        <v>0.2857142857142857</v>
      </c>
      <c r="T106" s="79">
        <f ca="1"/>
        <v>0.71428571428571419</v>
      </c>
      <c r="U106" s="79">
        <f ca="1"/>
        <v>0.99999999999999989</v>
      </c>
      <c r="V106" s="79">
        <f ca="1"/>
        <v>0.99999999999999989</v>
      </c>
      <c r="W106" s="78">
        <f t="shared" ca="1" si="12"/>
        <v>0.6815332853638435</v>
      </c>
      <c r="X106" s="4" cm="1">
        <f t="array" aca="1" ref="X106" ca="1">MIN(SUM((Q106:V106&lt;W106)+0)+1,6)</f>
        <v>4</v>
      </c>
      <c r="Y106" s="4" t="str">
        <f t="shared" ca="1" si="11"/>
        <v>D</v>
      </c>
      <c r="AA106" s="97">
        <v>41.515905431460766</v>
      </c>
      <c r="AB106" s="98">
        <v>7.8158847513967515</v>
      </c>
      <c r="AC106" s="99">
        <v>324.48353220218377</v>
      </c>
    </row>
    <row r="107" spans="2:29" x14ac:dyDescent="0.2">
      <c r="B107" s="4" t="s">
        <v>25</v>
      </c>
      <c r="C107" s="4">
        <v>0.607187631368174</v>
      </c>
      <c r="D107" s="4" t="s">
        <v>20</v>
      </c>
      <c r="E107" s="4" t="s">
        <v>20</v>
      </c>
      <c r="P107" s="4" t="str">
        <f ca="1"/>
        <v>D</v>
      </c>
      <c r="Q107" s="79" cm="1">
        <f t="array" aca="1" ref="Q107:V107" ca="1">INDIRECT(P107)</f>
        <v>0</v>
      </c>
      <c r="R107" s="79">
        <f ca="1"/>
        <v>0</v>
      </c>
      <c r="S107" s="79">
        <f ca="1"/>
        <v>0.1</v>
      </c>
      <c r="T107" s="79">
        <f ca="1"/>
        <v>0.5</v>
      </c>
      <c r="U107" s="79">
        <f ca="1"/>
        <v>0.85</v>
      </c>
      <c r="V107" s="79">
        <f ca="1"/>
        <v>1</v>
      </c>
      <c r="W107" s="78">
        <f t="shared" ca="1" si="12"/>
        <v>0.5008111537381893</v>
      </c>
      <c r="X107" s="4" cm="1">
        <f t="array" aca="1" ref="X107" ca="1">MIN(SUM((Q107:V107&lt;W107)+0)+1,6)</f>
        <v>5</v>
      </c>
      <c r="Y107" s="4" t="str">
        <f t="shared" ca="1" si="11"/>
        <v>E</v>
      </c>
      <c r="AA107" s="97">
        <v>83.136272627126687</v>
      </c>
      <c r="AB107" s="98">
        <v>6.6269269721391648</v>
      </c>
      <c r="AC107" s="99">
        <v>550.93800743582074</v>
      </c>
    </row>
    <row r="108" spans="2:29" x14ac:dyDescent="0.2">
      <c r="B108" s="4" t="s">
        <v>24</v>
      </c>
      <c r="C108" s="4">
        <v>0.19009590420046663</v>
      </c>
      <c r="D108" s="4" t="s">
        <v>23</v>
      </c>
      <c r="E108" s="4" t="s">
        <v>23</v>
      </c>
      <c r="P108" s="4" t="str">
        <f ca="1"/>
        <v>A</v>
      </c>
      <c r="Q108" s="79" cm="1">
        <f t="array" aca="1" ref="Q108:V108" ca="1">INDIRECT(P108)</f>
        <v>0.53846153846153844</v>
      </c>
      <c r="R108" s="79">
        <f ca="1"/>
        <v>0.84615384615384615</v>
      </c>
      <c r="S108" s="79">
        <f ca="1"/>
        <v>1</v>
      </c>
      <c r="T108" s="79">
        <f ca="1"/>
        <v>1</v>
      </c>
      <c r="U108" s="79">
        <f ca="1"/>
        <v>1</v>
      </c>
      <c r="V108" s="79">
        <f ca="1"/>
        <v>1</v>
      </c>
      <c r="W108" s="78">
        <f t="shared" ca="1" si="12"/>
        <v>0.2714087905435375</v>
      </c>
      <c r="X108" s="4" cm="1">
        <f t="array" aca="1" ref="X108" ca="1">MIN(SUM((Q108:V108&lt;W108)+0)+1,6)</f>
        <v>1</v>
      </c>
      <c r="Y108" s="4" t="str">
        <f t="shared" ca="1" si="11"/>
        <v>A</v>
      </c>
      <c r="AA108" s="97">
        <v>10.212803353244038</v>
      </c>
      <c r="AB108" s="98">
        <v>10.648524912587206</v>
      </c>
      <c r="AC108" s="99">
        <v>108.75129093437329</v>
      </c>
    </row>
    <row r="109" spans="2:29" x14ac:dyDescent="0.2">
      <c r="B109" s="4" t="s">
        <v>22</v>
      </c>
      <c r="C109" s="4">
        <v>0.54256136479850625</v>
      </c>
      <c r="D109" s="4" t="s">
        <v>21</v>
      </c>
      <c r="E109" s="4" t="s">
        <v>20</v>
      </c>
      <c r="P109" s="4" t="str">
        <f ca="1"/>
        <v>D</v>
      </c>
      <c r="Q109" s="79" cm="1">
        <f t="array" aca="1" ref="Q109:V109" ca="1">INDIRECT(P109)</f>
        <v>0</v>
      </c>
      <c r="R109" s="79">
        <f ca="1"/>
        <v>0</v>
      </c>
      <c r="S109" s="79">
        <f ca="1"/>
        <v>0.1</v>
      </c>
      <c r="T109" s="79">
        <f ca="1"/>
        <v>0.5</v>
      </c>
      <c r="U109" s="79">
        <f ca="1"/>
        <v>0.85</v>
      </c>
      <c r="V109" s="79">
        <f ca="1"/>
        <v>1</v>
      </c>
      <c r="W109" s="78">
        <f t="shared" ca="1" si="12"/>
        <v>0.40016122982485047</v>
      </c>
      <c r="X109" s="4" cm="1">
        <f t="array" aca="1" ref="X109" ca="1">MIN(SUM((Q109:V109&lt;W109)+0)+1,6)</f>
        <v>4</v>
      </c>
      <c r="Y109" s="4" t="str">
        <f t="shared" ca="1" si="11"/>
        <v>D</v>
      </c>
      <c r="AA109" s="97">
        <v>41.373074335162165</v>
      </c>
      <c r="AB109" s="98">
        <v>7.3745421523699548</v>
      </c>
      <c r="AC109" s="99">
        <v>305.10748065778893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EE1FA-5024-C445-9DA4-1F5B2DD08503}">
  <sheetPr codeName="Sheet10">
    <tabColor rgb="FFFF0000"/>
  </sheetPr>
  <dimension ref="B1:AM109"/>
  <sheetViews>
    <sheetView topLeftCell="T1" workbookViewId="0">
      <selection activeCell="AM11" sqref="AM11"/>
    </sheetView>
  </sheetViews>
  <sheetFormatPr baseColWidth="10" defaultColWidth="8.83203125" defaultRowHeight="15" x14ac:dyDescent="0.2"/>
  <cols>
    <col min="1" max="1" width="8.83203125" style="4"/>
    <col min="2" max="2" width="11.33203125" style="4" bestFit="1" customWidth="1"/>
    <col min="3" max="3" width="11.33203125" style="4" customWidth="1"/>
    <col min="4" max="4" width="10" style="4" bestFit="1" customWidth="1"/>
    <col min="5" max="5" width="9.1640625" style="4" customWidth="1"/>
    <col min="6" max="6" width="8.1640625" style="4" customWidth="1"/>
    <col min="7" max="7" width="7" style="4" customWidth="1"/>
    <col min="8" max="16" width="8.83203125" style="4"/>
    <col min="17" max="22" width="8.83203125" style="79"/>
    <col min="23" max="26" width="8.83203125" style="4"/>
    <col min="27" max="27" width="5" style="4" bestFit="1" customWidth="1"/>
    <col min="28" max="28" width="8" style="4" bestFit="1" customWidth="1"/>
    <col min="29" max="30" width="8.83203125" style="4"/>
    <col min="31" max="31" width="3" style="4" bestFit="1" customWidth="1"/>
    <col min="32" max="34" width="8.83203125" style="4"/>
    <col min="35" max="35" width="8.83203125" style="8"/>
    <col min="36" max="16384" width="8.83203125" style="4"/>
  </cols>
  <sheetData>
    <row r="1" spans="2:39" x14ac:dyDescent="0.2">
      <c r="Q1" s="4"/>
      <c r="R1" s="4"/>
      <c r="S1" s="4"/>
      <c r="T1" s="4"/>
      <c r="U1" s="4"/>
      <c r="V1" s="4"/>
    </row>
    <row r="2" spans="2:39" x14ac:dyDescent="0.2">
      <c r="Q2" s="4"/>
      <c r="R2" s="4"/>
      <c r="S2" s="4"/>
      <c r="T2" s="4"/>
      <c r="U2" s="4"/>
      <c r="V2" s="4"/>
    </row>
    <row r="3" spans="2:39" ht="29" x14ac:dyDescent="0.35">
      <c r="B3" s="30" t="s">
        <v>134</v>
      </c>
      <c r="Q3" s="4"/>
      <c r="R3" s="4"/>
      <c r="S3" s="4"/>
      <c r="T3" s="4"/>
      <c r="U3" s="4"/>
      <c r="V3" s="4"/>
    </row>
    <row r="4" spans="2:39" x14ac:dyDescent="0.2">
      <c r="Q4" s="4"/>
      <c r="R4" s="4"/>
      <c r="S4" s="4"/>
      <c r="T4" s="4"/>
      <c r="U4" s="4"/>
      <c r="V4" s="4"/>
    </row>
    <row r="5" spans="2:39" x14ac:dyDescent="0.2">
      <c r="Q5" s="4"/>
      <c r="R5" s="4"/>
      <c r="S5" s="4"/>
      <c r="T5" s="4"/>
      <c r="U5" s="4"/>
      <c r="V5" s="4"/>
    </row>
    <row r="6" spans="2:39" x14ac:dyDescent="0.2">
      <c r="Q6" s="4"/>
      <c r="R6" s="4"/>
      <c r="S6" s="4"/>
      <c r="T6" s="4"/>
      <c r="U6" s="4"/>
      <c r="V6" s="4"/>
    </row>
    <row r="7" spans="2:39" x14ac:dyDescent="0.2">
      <c r="Q7" s="4"/>
      <c r="R7" s="4"/>
      <c r="S7" s="4"/>
      <c r="T7" s="4"/>
      <c r="U7" s="4"/>
      <c r="V7" s="4"/>
    </row>
    <row r="8" spans="2:39" x14ac:dyDescent="0.2">
      <c r="H8" s="23" t="s">
        <v>133</v>
      </c>
      <c r="I8" s="23"/>
      <c r="J8" s="23"/>
      <c r="K8" s="23"/>
      <c r="L8" s="23"/>
      <c r="M8" s="23"/>
      <c r="N8" s="23"/>
      <c r="O8" s="7"/>
      <c r="Q8" s="4"/>
      <c r="R8" s="4"/>
      <c r="S8" s="4"/>
      <c r="T8" s="4"/>
      <c r="U8" s="4"/>
      <c r="V8" s="4"/>
    </row>
    <row r="9" spans="2:39" x14ac:dyDescent="0.2">
      <c r="B9" s="4" t="s">
        <v>132</v>
      </c>
      <c r="C9" s="4" t="s">
        <v>131</v>
      </c>
      <c r="D9" s="4" t="s">
        <v>130</v>
      </c>
      <c r="E9" s="4" t="s">
        <v>129</v>
      </c>
      <c r="H9" s="23"/>
      <c r="I9" s="29" t="s">
        <v>23</v>
      </c>
      <c r="J9" s="29" t="s">
        <v>36</v>
      </c>
      <c r="K9" s="29" t="s">
        <v>261</v>
      </c>
      <c r="L9" s="29" t="s">
        <v>20</v>
      </c>
      <c r="M9" s="29" t="s">
        <v>31</v>
      </c>
      <c r="N9" s="29" t="s">
        <v>27</v>
      </c>
      <c r="O9" s="7"/>
      <c r="P9" s="4" t="s">
        <v>129</v>
      </c>
      <c r="Q9" s="4" t="s">
        <v>262</v>
      </c>
      <c r="R9" s="4"/>
      <c r="S9" s="4"/>
      <c r="T9" s="4"/>
      <c r="U9" s="4"/>
      <c r="V9" s="4"/>
      <c r="W9" s="4" t="s">
        <v>131</v>
      </c>
      <c r="X9" s="4" t="s">
        <v>264</v>
      </c>
      <c r="Y9" s="4" t="s">
        <v>263</v>
      </c>
      <c r="AA9" s="4" t="s">
        <v>202</v>
      </c>
      <c r="AB9" s="4" t="s">
        <v>203</v>
      </c>
      <c r="AC9" s="4" t="s">
        <v>260</v>
      </c>
      <c r="AF9" s="31" t="s">
        <v>143</v>
      </c>
      <c r="AH9" s="4" t="s">
        <v>265</v>
      </c>
      <c r="AI9" s="8" t="s">
        <v>266</v>
      </c>
      <c r="AJ9" s="4" t="s">
        <v>267</v>
      </c>
      <c r="AK9" s="4" t="s">
        <v>268</v>
      </c>
      <c r="AM9" s="4" t="s">
        <v>269</v>
      </c>
    </row>
    <row r="10" spans="2:39" x14ac:dyDescent="0.2">
      <c r="B10" s="4" t="s">
        <v>128</v>
      </c>
      <c r="C10" s="4">
        <v>0.87837986396496903</v>
      </c>
      <c r="D10" s="4" t="s">
        <v>31</v>
      </c>
      <c r="E10" s="4" t="s">
        <v>27</v>
      </c>
      <c r="H10" s="23" t="s">
        <v>23</v>
      </c>
      <c r="I10" s="28">
        <f t="shared" ref="I10:N10" si="0">COUNTIFS(RatingLast,$H10,RatingNow,I$9)</f>
        <v>7</v>
      </c>
      <c r="J10" s="27">
        <f t="shared" si="0"/>
        <v>4</v>
      </c>
      <c r="K10" s="27">
        <f t="shared" si="0"/>
        <v>2</v>
      </c>
      <c r="L10" s="27">
        <f t="shared" si="0"/>
        <v>0</v>
      </c>
      <c r="M10" s="27">
        <f t="shared" si="0"/>
        <v>0</v>
      </c>
      <c r="N10" s="26">
        <f t="shared" si="0"/>
        <v>0</v>
      </c>
      <c r="O10" s="7"/>
      <c r="P10" s="4" t="str" cm="1">
        <f t="array" aca="1" ref="P10:P109" ca="1">INDIRECT(P9)</f>
        <v>F</v>
      </c>
      <c r="Q10" s="79" cm="1">
        <f t="array" aca="1" ref="Q10:V10" ca="1">INDIRECT(P10)</f>
        <v>0</v>
      </c>
      <c r="R10" s="79">
        <f ca="1"/>
        <v>0</v>
      </c>
      <c r="S10" s="79">
        <f ca="1"/>
        <v>0</v>
      </c>
      <c r="T10" s="79">
        <f ca="1"/>
        <v>0</v>
      </c>
      <c r="U10" s="79">
        <f ca="1"/>
        <v>0</v>
      </c>
      <c r="V10" s="79">
        <f ca="1"/>
        <v>0</v>
      </c>
      <c r="W10" s="78">
        <f t="shared" ref="W10:W17" ca="1" si="1">RAND()</f>
        <v>0.50028601767986325</v>
      </c>
      <c r="X10" s="4" cm="1">
        <f t="array" aca="1" ref="X10" ca="1">MIN(SUM((Q10:V10&lt;W10)+0)+1,6)</f>
        <v>6</v>
      </c>
      <c r="Y10" s="4" t="str">
        <f ca="1">OFFSET($H$9,0,X10)</f>
        <v>F</v>
      </c>
      <c r="AA10" s="97">
        <v>8.2116889611948682</v>
      </c>
      <c r="AB10" s="98">
        <v>1.39787817085794</v>
      </c>
      <c r="AC10" s="99" cm="1">
        <f t="array" ref="AC10:AC109">Price_*Duration_</f>
        <v>11.478940744729419</v>
      </c>
      <c r="AE10" s="23" t="s">
        <v>23</v>
      </c>
      <c r="AF10" s="100">
        <v>5.0000000000000001E-3</v>
      </c>
      <c r="AG10" s="78"/>
      <c r="AH10" s="4">
        <f t="shared" ref="AH10:AH41" si="2">VLOOKUP(RatingLast,$AE$10:$AF$16,2,0)</f>
        <v>0.08</v>
      </c>
      <c r="AI10" s="8" t="str">
        <f t="shared" ref="AI10:AI41" ca="1" si="3">VLOOKUP(RatingSim,$AE$10:$AF$16,2,0)</f>
        <v>N/A</v>
      </c>
      <c r="AJ10" s="4">
        <f ca="1">IF(AI10&lt;&gt;"N/A",AI10-AH10,0)</f>
        <v>0</v>
      </c>
      <c r="AK10" s="4">
        <f t="shared" ref="AK10:AK41" ca="1" si="4">SpreadCh*-p_d</f>
        <v>0</v>
      </c>
      <c r="AM10" s="4">
        <f ca="1">SUM(ValueCh)</f>
        <v>-392.39384568877517</v>
      </c>
    </row>
    <row r="11" spans="2:39" x14ac:dyDescent="0.2">
      <c r="B11" s="4" t="s">
        <v>127</v>
      </c>
      <c r="C11" s="4">
        <v>0.86778592575709479</v>
      </c>
      <c r="D11" s="4" t="s">
        <v>31</v>
      </c>
      <c r="E11" s="4" t="s">
        <v>31</v>
      </c>
      <c r="H11" s="23" t="s">
        <v>36</v>
      </c>
      <c r="I11" s="25">
        <f t="shared" ref="I11:N11" si="5">COUNTIFS(RatingLast,$H11,RatingNow,I$9)</f>
        <v>2</v>
      </c>
      <c r="J11" s="23">
        <f t="shared" si="5"/>
        <v>11</v>
      </c>
      <c r="K11" s="23">
        <f t="shared" si="5"/>
        <v>6</v>
      </c>
      <c r="L11" s="23">
        <f t="shared" si="5"/>
        <v>2</v>
      </c>
      <c r="M11" s="23">
        <f t="shared" si="5"/>
        <v>0</v>
      </c>
      <c r="N11" s="24">
        <f t="shared" si="5"/>
        <v>0</v>
      </c>
      <c r="O11" s="7"/>
      <c r="P11" s="4" t="str">
        <f ca="1"/>
        <v>E</v>
      </c>
      <c r="Q11" s="79" cm="1">
        <f t="array" aca="1" ref="Q11:V11" ca="1">INDIRECT(P11)</f>
        <v>0</v>
      </c>
      <c r="R11" s="79">
        <f ca="1"/>
        <v>0</v>
      </c>
      <c r="S11" s="79">
        <f ca="1"/>
        <v>0</v>
      </c>
      <c r="T11" s="79">
        <f ca="1"/>
        <v>0.12</v>
      </c>
      <c r="U11" s="79">
        <f ca="1"/>
        <v>0.36</v>
      </c>
      <c r="V11" s="79">
        <f ca="1"/>
        <v>1</v>
      </c>
      <c r="W11" s="78">
        <f t="shared" ca="1" si="1"/>
        <v>0.9475025749576963</v>
      </c>
      <c r="X11" s="4" cm="1">
        <f t="array" aca="1" ref="X11" ca="1">MIN(SUM((Q11:V11&lt;W11)+0)+1,6)</f>
        <v>6</v>
      </c>
      <c r="Y11" s="4" t="str">
        <f t="shared" ref="Y11:Y74" ca="1" si="6">OFFSET($H$9,0,X11)</f>
        <v>F</v>
      </c>
      <c r="AA11" s="97">
        <v>2.0821978323688706</v>
      </c>
      <c r="AB11" s="98">
        <v>1.6252926650112602</v>
      </c>
      <c r="AC11" s="99">
        <v>3.384180864051471</v>
      </c>
      <c r="AE11" s="23" t="s">
        <v>36</v>
      </c>
      <c r="AF11" s="101">
        <v>0.01</v>
      </c>
      <c r="AG11" s="78"/>
      <c r="AH11" s="4">
        <f t="shared" si="2"/>
        <v>0.08</v>
      </c>
      <c r="AI11" s="8" t="str">
        <f t="shared" ca="1" si="3"/>
        <v>N/A</v>
      </c>
      <c r="AJ11" s="4">
        <f t="shared" ref="AJ11:AJ74" ca="1" si="7">IF(AI11&lt;&gt;"N/A",AI11-AH11,0)</f>
        <v>0</v>
      </c>
      <c r="AK11" s="4">
        <f t="shared" ca="1" si="4"/>
        <v>0</v>
      </c>
    </row>
    <row r="12" spans="2:39" x14ac:dyDescent="0.2">
      <c r="B12" s="4" t="s">
        <v>126</v>
      </c>
      <c r="C12" s="4">
        <v>0.52119145596927485</v>
      </c>
      <c r="D12" s="4" t="s">
        <v>21</v>
      </c>
      <c r="E12" s="4" t="s">
        <v>20</v>
      </c>
      <c r="H12" s="23" t="s">
        <v>21</v>
      </c>
      <c r="I12" s="25">
        <f t="shared" ref="I12:N12" si="8">COUNTIFS(RatingLast,$H12,RatingNow,I$9)</f>
        <v>0</v>
      </c>
      <c r="J12" s="23">
        <f t="shared" si="8"/>
        <v>2</v>
      </c>
      <c r="K12" s="23">
        <f t="shared" si="8"/>
        <v>4</v>
      </c>
      <c r="L12" s="23">
        <f t="shared" si="8"/>
        <v>9</v>
      </c>
      <c r="M12" s="23">
        <f t="shared" si="8"/>
        <v>6</v>
      </c>
      <c r="N12" s="24">
        <f t="shared" si="8"/>
        <v>0</v>
      </c>
      <c r="O12" s="7"/>
      <c r="P12" s="4" t="str">
        <f ca="1"/>
        <v>D</v>
      </c>
      <c r="Q12" s="79" cm="1">
        <f t="array" aca="1" ref="Q12:V12" ca="1">INDIRECT(P12)</f>
        <v>0</v>
      </c>
      <c r="R12" s="79">
        <f ca="1"/>
        <v>0</v>
      </c>
      <c r="S12" s="79">
        <f ca="1"/>
        <v>0.1</v>
      </c>
      <c r="T12" s="79">
        <f ca="1"/>
        <v>0.5</v>
      </c>
      <c r="U12" s="79">
        <f ca="1"/>
        <v>0.85</v>
      </c>
      <c r="V12" s="79">
        <f ca="1"/>
        <v>1</v>
      </c>
      <c r="W12" s="78">
        <f t="shared" ca="1" si="1"/>
        <v>0.65070561016546424</v>
      </c>
      <c r="X12" s="4" cm="1">
        <f t="array" aca="1" ref="X12" ca="1">MIN(SUM((Q12:V12&lt;W12)+0)+1,6)</f>
        <v>5</v>
      </c>
      <c r="Y12" s="4" t="str">
        <f t="shared" ca="1" si="6"/>
        <v>E</v>
      </c>
      <c r="AA12" s="97">
        <v>67.129219523606139</v>
      </c>
      <c r="AB12" s="98">
        <v>7.4590248775114931</v>
      </c>
      <c r="AC12" s="99">
        <v>500.71851843450844</v>
      </c>
      <c r="AE12" s="23" t="s">
        <v>261</v>
      </c>
      <c r="AF12" s="101">
        <v>0.02</v>
      </c>
      <c r="AG12" s="78"/>
      <c r="AH12" s="4">
        <f t="shared" si="2"/>
        <v>0.02</v>
      </c>
      <c r="AI12" s="8">
        <f t="shared" ca="1" si="3"/>
        <v>0.08</v>
      </c>
      <c r="AJ12" s="4">
        <f t="shared" ca="1" si="7"/>
        <v>0.06</v>
      </c>
      <c r="AK12" s="4">
        <f t="shared" ca="1" si="4"/>
        <v>-30.043111106070505</v>
      </c>
    </row>
    <row r="13" spans="2:39" x14ac:dyDescent="0.2">
      <c r="B13" s="4" t="s">
        <v>125</v>
      </c>
      <c r="C13" s="4">
        <v>0.84786367665154105</v>
      </c>
      <c r="D13" s="4" t="s">
        <v>31</v>
      </c>
      <c r="E13" s="4" t="s">
        <v>27</v>
      </c>
      <c r="H13" s="23" t="s">
        <v>20</v>
      </c>
      <c r="I13" s="25">
        <f t="shared" ref="I13:N13" si="9">COUNTIFS(RatingLast,$H13,RatingNow,I$9)</f>
        <v>0</v>
      </c>
      <c r="J13" s="23">
        <f t="shared" si="9"/>
        <v>0</v>
      </c>
      <c r="K13" s="23">
        <f t="shared" si="9"/>
        <v>2</v>
      </c>
      <c r="L13" s="23">
        <f t="shared" si="9"/>
        <v>8</v>
      </c>
      <c r="M13" s="23">
        <f t="shared" si="9"/>
        <v>7</v>
      </c>
      <c r="N13" s="24">
        <f t="shared" si="9"/>
        <v>3</v>
      </c>
      <c r="O13" s="7"/>
      <c r="P13" s="4" t="str">
        <f ca="1"/>
        <v>F</v>
      </c>
      <c r="Q13" s="79" cm="1">
        <f t="array" aca="1" ref="Q13:V13" ca="1">INDIRECT(P13)</f>
        <v>0</v>
      </c>
      <c r="R13" s="79">
        <f ca="1"/>
        <v>0</v>
      </c>
      <c r="S13" s="79">
        <f ca="1"/>
        <v>0</v>
      </c>
      <c r="T13" s="79">
        <f ca="1"/>
        <v>0</v>
      </c>
      <c r="U13" s="79">
        <f ca="1"/>
        <v>0</v>
      </c>
      <c r="V13" s="79">
        <f ca="1"/>
        <v>0</v>
      </c>
      <c r="W13" s="78">
        <f t="shared" ca="1" si="1"/>
        <v>1.9831681074683694E-2</v>
      </c>
      <c r="X13" s="4" cm="1">
        <f t="array" aca="1" ref="X13" ca="1">MIN(SUM((Q13:V13&lt;W13)+0)+1,6)</f>
        <v>6</v>
      </c>
      <c r="Y13" s="4" t="str">
        <f t="shared" ca="1" si="6"/>
        <v>F</v>
      </c>
      <c r="AA13" s="97">
        <v>23.919401965204763</v>
      </c>
      <c r="AB13" s="98">
        <v>1.0138721046124297</v>
      </c>
      <c r="AC13" s="99">
        <v>24.251214411532839</v>
      </c>
      <c r="AE13" s="23" t="s">
        <v>20</v>
      </c>
      <c r="AF13" s="101">
        <v>0.04</v>
      </c>
      <c r="AG13" s="78"/>
      <c r="AH13" s="4">
        <f t="shared" si="2"/>
        <v>0.08</v>
      </c>
      <c r="AI13" s="8" t="str">
        <f t="shared" ca="1" si="3"/>
        <v>N/A</v>
      </c>
      <c r="AJ13" s="4">
        <f t="shared" ca="1" si="7"/>
        <v>0</v>
      </c>
      <c r="AK13" s="4">
        <f t="shared" ca="1" si="4"/>
        <v>0</v>
      </c>
    </row>
    <row r="14" spans="2:39" x14ac:dyDescent="0.2">
      <c r="B14" s="4" t="s">
        <v>124</v>
      </c>
      <c r="C14" s="4">
        <v>0.74482071432451058</v>
      </c>
      <c r="D14" s="4" t="s">
        <v>20</v>
      </c>
      <c r="E14" s="4" t="s">
        <v>20</v>
      </c>
      <c r="H14" s="23" t="s">
        <v>31</v>
      </c>
      <c r="I14" s="25">
        <f t="shared" ref="I14:N14" si="10">COUNTIFS(RatingLast,$H14,RatingNow,I$9)</f>
        <v>0</v>
      </c>
      <c r="J14" s="23">
        <f t="shared" si="10"/>
        <v>0</v>
      </c>
      <c r="K14" s="23">
        <f t="shared" si="10"/>
        <v>0</v>
      </c>
      <c r="L14" s="23">
        <f t="shared" si="10"/>
        <v>3</v>
      </c>
      <c r="M14" s="23">
        <f t="shared" si="10"/>
        <v>6</v>
      </c>
      <c r="N14" s="24">
        <f t="shared" si="10"/>
        <v>16</v>
      </c>
      <c r="O14" s="7"/>
      <c r="P14" s="4" t="str">
        <f ca="1"/>
        <v>D</v>
      </c>
      <c r="Q14" s="79" cm="1">
        <f t="array" aca="1" ref="Q14:V14" ca="1">INDIRECT(P14)</f>
        <v>0</v>
      </c>
      <c r="R14" s="79">
        <f ca="1"/>
        <v>0</v>
      </c>
      <c r="S14" s="79">
        <f ca="1"/>
        <v>0.1</v>
      </c>
      <c r="T14" s="79">
        <f ca="1"/>
        <v>0.5</v>
      </c>
      <c r="U14" s="79">
        <f ca="1"/>
        <v>0.85</v>
      </c>
      <c r="V14" s="79">
        <f ca="1"/>
        <v>1</v>
      </c>
      <c r="W14" s="78">
        <f t="shared" ca="1" si="1"/>
        <v>0.57297703973105774</v>
      </c>
      <c r="X14" s="4" cm="1">
        <f t="array" aca="1" ref="X14" ca="1">MIN(SUM((Q14:V14&lt;W14)+0)+1,6)</f>
        <v>5</v>
      </c>
      <c r="Y14" s="4" t="str">
        <f t="shared" ca="1" si="6"/>
        <v>E</v>
      </c>
      <c r="AA14" s="97">
        <v>67.226538868279505</v>
      </c>
      <c r="AB14" s="98">
        <v>7.0882993287412512</v>
      </c>
      <c r="AC14" s="99">
        <v>476.52183033362326</v>
      </c>
      <c r="AE14" s="23" t="s">
        <v>31</v>
      </c>
      <c r="AF14" s="101">
        <v>0.08</v>
      </c>
      <c r="AG14" s="78"/>
      <c r="AH14" s="4">
        <f t="shared" si="2"/>
        <v>0.04</v>
      </c>
      <c r="AI14" s="8">
        <f t="shared" ca="1" si="3"/>
        <v>0.08</v>
      </c>
      <c r="AJ14" s="4">
        <f t="shared" ca="1" si="7"/>
        <v>0.04</v>
      </c>
      <c r="AK14" s="4">
        <f t="shared" ca="1" si="4"/>
        <v>-19.06087321334493</v>
      </c>
    </row>
    <row r="15" spans="2:39" x14ac:dyDescent="0.2">
      <c r="B15" s="4" t="s">
        <v>123</v>
      </c>
      <c r="C15" s="4">
        <v>0.85633854254513686</v>
      </c>
      <c r="D15" s="4" t="s">
        <v>31</v>
      </c>
      <c r="E15" s="4" t="s">
        <v>31</v>
      </c>
      <c r="H15" s="23" t="s">
        <v>27</v>
      </c>
      <c r="I15" s="22">
        <f t="shared" ref="I15:N15" si="11">COUNTIFS(RatingLast,$H15,RatingNow,I$9)</f>
        <v>0</v>
      </c>
      <c r="J15" s="21">
        <f t="shared" si="11"/>
        <v>0</v>
      </c>
      <c r="K15" s="21">
        <f t="shared" si="11"/>
        <v>0</v>
      </c>
      <c r="L15" s="21">
        <f t="shared" si="11"/>
        <v>0</v>
      </c>
      <c r="M15" s="21">
        <f t="shared" si="11"/>
        <v>0</v>
      </c>
      <c r="N15" s="20">
        <f t="shared" si="11"/>
        <v>0</v>
      </c>
      <c r="O15" s="7"/>
      <c r="P15" s="4" t="str">
        <f ca="1"/>
        <v>E</v>
      </c>
      <c r="Q15" s="79" cm="1">
        <f t="array" aca="1" ref="Q15:V15" ca="1">INDIRECT(P15)</f>
        <v>0</v>
      </c>
      <c r="R15" s="79">
        <f ca="1"/>
        <v>0</v>
      </c>
      <c r="S15" s="79">
        <f ca="1"/>
        <v>0</v>
      </c>
      <c r="T15" s="79">
        <f ca="1"/>
        <v>0.12</v>
      </c>
      <c r="U15" s="79">
        <f ca="1"/>
        <v>0.36</v>
      </c>
      <c r="V15" s="79">
        <f ca="1"/>
        <v>1</v>
      </c>
      <c r="W15" s="78">
        <f t="shared" ca="1" si="1"/>
        <v>0.2308744515856157</v>
      </c>
      <c r="X15" s="4" cm="1">
        <f t="array" aca="1" ref="X15" ca="1">MIN(SUM((Q15:V15&lt;W15)+0)+1,6)</f>
        <v>5</v>
      </c>
      <c r="Y15" s="4" t="str">
        <f t="shared" ca="1" si="6"/>
        <v>E</v>
      </c>
      <c r="AA15" s="97">
        <v>40.365796255204877</v>
      </c>
      <c r="AB15" s="98">
        <v>3.0220181451316055</v>
      </c>
      <c r="AC15" s="99">
        <v>121.98616872591455</v>
      </c>
      <c r="AE15" s="23" t="s">
        <v>27</v>
      </c>
      <c r="AF15" s="102" t="s">
        <v>204</v>
      </c>
      <c r="AG15" s="78"/>
      <c r="AH15" s="4">
        <f t="shared" si="2"/>
        <v>0.08</v>
      </c>
      <c r="AI15" s="8">
        <f t="shared" ca="1" si="3"/>
        <v>0.08</v>
      </c>
      <c r="AJ15" s="4">
        <f t="shared" ca="1" si="7"/>
        <v>0</v>
      </c>
      <c r="AK15" s="4">
        <f t="shared" ca="1" si="4"/>
        <v>0</v>
      </c>
    </row>
    <row r="16" spans="2:39" x14ac:dyDescent="0.2">
      <c r="B16" s="4" t="s">
        <v>122</v>
      </c>
      <c r="C16" s="4">
        <v>3.1748623600066805E-2</v>
      </c>
      <c r="D16" s="4" t="s">
        <v>23</v>
      </c>
      <c r="E16" s="4" t="s">
        <v>23</v>
      </c>
      <c r="H16" s="7"/>
      <c r="I16" s="7"/>
      <c r="J16" s="7"/>
      <c r="K16" s="7"/>
      <c r="L16" s="7"/>
      <c r="M16" s="7"/>
      <c r="N16" s="7"/>
      <c r="O16" s="7"/>
      <c r="P16" s="4" t="str">
        <f ca="1"/>
        <v>A</v>
      </c>
      <c r="Q16" s="79" cm="1">
        <f t="array" aca="1" ref="Q16:V16" ca="1">INDIRECT(P16)</f>
        <v>0.53846153846153844</v>
      </c>
      <c r="R16" s="79">
        <f ca="1"/>
        <v>0.84615384615384615</v>
      </c>
      <c r="S16" s="79">
        <f ca="1"/>
        <v>1</v>
      </c>
      <c r="T16" s="79">
        <f ca="1"/>
        <v>1</v>
      </c>
      <c r="U16" s="79">
        <f ca="1"/>
        <v>1</v>
      </c>
      <c r="V16" s="79">
        <f ca="1"/>
        <v>1</v>
      </c>
      <c r="W16" s="78">
        <f t="shared" ca="1" si="1"/>
        <v>0.10212430334577582</v>
      </c>
      <c r="X16" s="4" cm="1">
        <f t="array" aca="1" ref="X16" ca="1">MIN(SUM((Q16:V16&lt;W16)+0)+1,6)</f>
        <v>1</v>
      </c>
      <c r="Y16" s="4" t="str">
        <f t="shared" ca="1" si="6"/>
        <v>A</v>
      </c>
      <c r="AA16" s="97">
        <v>80.467834923351319</v>
      </c>
      <c r="AB16" s="98">
        <v>9.5506402260277916</v>
      </c>
      <c r="AC16" s="99">
        <v>768.51934112032302</v>
      </c>
      <c r="AE16" s="4" t="s">
        <v>21</v>
      </c>
      <c r="AF16" s="101">
        <v>0.02</v>
      </c>
      <c r="AG16" s="78"/>
      <c r="AH16" s="4">
        <f t="shared" si="2"/>
        <v>5.0000000000000001E-3</v>
      </c>
      <c r="AI16" s="8">
        <f t="shared" ca="1" si="3"/>
        <v>5.0000000000000001E-3</v>
      </c>
      <c r="AJ16" s="4">
        <f t="shared" ca="1" si="7"/>
        <v>0</v>
      </c>
      <c r="AK16" s="4">
        <f t="shared" ca="1" si="4"/>
        <v>0</v>
      </c>
    </row>
    <row r="17" spans="2:37" x14ac:dyDescent="0.2">
      <c r="B17" s="4" t="s">
        <v>121</v>
      </c>
      <c r="C17" s="4">
        <v>0.13847525438575636</v>
      </c>
      <c r="D17" s="4" t="s">
        <v>23</v>
      </c>
      <c r="E17" s="4" t="s">
        <v>261</v>
      </c>
      <c r="P17" s="4" t="str">
        <f ca="1"/>
        <v>C_</v>
      </c>
      <c r="Q17" s="79" cm="1">
        <f t="array" aca="1" ref="Q17:V17" ca="1">INDIRECT(P17)</f>
        <v>0</v>
      </c>
      <c r="R17" s="79">
        <f ca="1"/>
        <v>9.5238095238095233E-2</v>
      </c>
      <c r="S17" s="79">
        <f ca="1"/>
        <v>0.2857142857142857</v>
      </c>
      <c r="T17" s="79">
        <f ca="1"/>
        <v>0.71428571428571419</v>
      </c>
      <c r="U17" s="79">
        <f ca="1"/>
        <v>0.99999999999999989</v>
      </c>
      <c r="V17" s="79">
        <f ca="1"/>
        <v>0.99999999999999989</v>
      </c>
      <c r="W17" s="78">
        <f t="shared" ca="1" si="1"/>
        <v>0.1579592821445418</v>
      </c>
      <c r="X17" s="4" cm="1">
        <f t="array" aca="1" ref="X17" ca="1">MIN(SUM((Q17:V17&lt;W17)+0)+1,6)</f>
        <v>3</v>
      </c>
      <c r="Y17" s="4" t="str">
        <f t="shared" ca="1" si="6"/>
        <v>C_</v>
      </c>
      <c r="AA17" s="97">
        <v>74.294695771915386</v>
      </c>
      <c r="AB17" s="98">
        <v>9.8434192564738119</v>
      </c>
      <c r="AC17" s="99">
        <v>731.31383901513539</v>
      </c>
      <c r="AG17" s="78"/>
      <c r="AH17" s="4">
        <f t="shared" si="2"/>
        <v>5.0000000000000001E-3</v>
      </c>
      <c r="AI17" s="8">
        <f t="shared" ca="1" si="3"/>
        <v>0.02</v>
      </c>
      <c r="AJ17" s="4">
        <f t="shared" ca="1" si="7"/>
        <v>1.4999999999999999E-2</v>
      </c>
      <c r="AK17" s="4">
        <f t="shared" ca="1" si="4"/>
        <v>-10.969707585227031</v>
      </c>
    </row>
    <row r="18" spans="2:37" x14ac:dyDescent="0.2">
      <c r="B18" s="4" t="s">
        <v>120</v>
      </c>
      <c r="C18" s="4">
        <v>0.35239980324078335</v>
      </c>
      <c r="D18" s="4" t="s">
        <v>36</v>
      </c>
      <c r="E18" s="4" t="s">
        <v>261</v>
      </c>
      <c r="H18" s="4" t="s">
        <v>119</v>
      </c>
      <c r="P18" s="4" t="str">
        <f ca="1"/>
        <v>C_</v>
      </c>
      <c r="Q18" s="79" cm="1">
        <f t="array" aca="1" ref="Q18:V18" ca="1">INDIRECT(P18)</f>
        <v>0</v>
      </c>
      <c r="R18" s="79">
        <f ca="1"/>
        <v>9.5238095238095233E-2</v>
      </c>
      <c r="S18" s="79">
        <f ca="1"/>
        <v>0.2857142857142857</v>
      </c>
      <c r="T18" s="79">
        <f ca="1"/>
        <v>0.71428571428571419</v>
      </c>
      <c r="U18" s="79">
        <f ca="1"/>
        <v>0.99999999999999989</v>
      </c>
      <c r="V18" s="79">
        <f ca="1"/>
        <v>0.99999999999999989</v>
      </c>
      <c r="W18" s="78">
        <v>0.13</v>
      </c>
      <c r="X18" s="4" cm="1">
        <f t="array" aca="1" ref="X18" ca="1">MIN(SUM((Q18:V18&lt;W18)+0)+1,6)</f>
        <v>3</v>
      </c>
      <c r="Y18" s="4" t="str">
        <f t="shared" ca="1" si="6"/>
        <v>C_</v>
      </c>
      <c r="AA18" s="97">
        <v>37.636930947623661</v>
      </c>
      <c r="AB18" s="98">
        <v>8.344474777321544</v>
      </c>
      <c r="AC18" s="99">
        <v>314.06042098823826</v>
      </c>
      <c r="AG18" s="78"/>
      <c r="AH18" s="4">
        <f t="shared" si="2"/>
        <v>0.01</v>
      </c>
      <c r="AI18" s="8">
        <f t="shared" ca="1" si="3"/>
        <v>0.02</v>
      </c>
      <c r="AJ18" s="4">
        <f t="shared" ca="1" si="7"/>
        <v>0.01</v>
      </c>
      <c r="AK18" s="4">
        <f t="shared" ca="1" si="4"/>
        <v>-3.1406042098823828</v>
      </c>
    </row>
    <row r="19" spans="2:37" x14ac:dyDescent="0.2">
      <c r="B19" s="4" t="s">
        <v>118</v>
      </c>
      <c r="C19" s="4">
        <v>0.629727923495492</v>
      </c>
      <c r="D19" s="4" t="s">
        <v>20</v>
      </c>
      <c r="E19" s="4" t="s">
        <v>261</v>
      </c>
      <c r="I19" s="8" t="s">
        <v>23</v>
      </c>
      <c r="J19" s="8" t="s">
        <v>36</v>
      </c>
      <c r="K19" s="8" t="s">
        <v>21</v>
      </c>
      <c r="L19" s="8" t="s">
        <v>20</v>
      </c>
      <c r="M19" s="8" t="s">
        <v>31</v>
      </c>
      <c r="N19" s="8" t="s">
        <v>27</v>
      </c>
      <c r="P19" s="4" t="str">
        <f ca="1"/>
        <v>C_</v>
      </c>
      <c r="Q19" s="79" cm="1">
        <f t="array" aca="1" ref="Q19:V19" ca="1">INDIRECT(P19)</f>
        <v>0</v>
      </c>
      <c r="R19" s="79">
        <f ca="1"/>
        <v>9.5238095238095233E-2</v>
      </c>
      <c r="S19" s="79">
        <f ca="1"/>
        <v>0.2857142857142857</v>
      </c>
      <c r="T19" s="79">
        <f ca="1"/>
        <v>0.71428571428571419</v>
      </c>
      <c r="U19" s="79">
        <f ca="1"/>
        <v>0.99999999999999989</v>
      </c>
      <c r="V19" s="79">
        <f ca="1"/>
        <v>0.99999999999999989</v>
      </c>
      <c r="W19" s="78">
        <f ca="1">RAND()</f>
        <v>0.31316464226940466</v>
      </c>
      <c r="X19" s="4" cm="1">
        <f t="array" aca="1" ref="X19" ca="1">MIN(SUM((Q19:V19&lt;W19)+0)+1,6)</f>
        <v>4</v>
      </c>
      <c r="Y19" s="4" t="str">
        <f t="shared" ca="1" si="6"/>
        <v>D</v>
      </c>
      <c r="AA19" s="97">
        <v>76.753161003324905</v>
      </c>
      <c r="AB19" s="98">
        <v>7.9150148005442347</v>
      </c>
      <c r="AC19" s="99">
        <v>607.50240532987118</v>
      </c>
      <c r="AG19" s="78"/>
      <c r="AH19" s="4">
        <f t="shared" si="2"/>
        <v>0.04</v>
      </c>
      <c r="AI19" s="8">
        <f t="shared" ca="1" si="3"/>
        <v>0.04</v>
      </c>
      <c r="AJ19" s="4">
        <f t="shared" ca="1" si="7"/>
        <v>0</v>
      </c>
      <c r="AK19" s="4">
        <f t="shared" ca="1" si="4"/>
        <v>0</v>
      </c>
    </row>
    <row r="20" spans="2:37" x14ac:dyDescent="0.2">
      <c r="B20" s="4" t="s">
        <v>116</v>
      </c>
      <c r="C20" s="4">
        <v>0.30133037852189781</v>
      </c>
      <c r="D20" s="4" t="s">
        <v>36</v>
      </c>
      <c r="E20" s="4" t="s">
        <v>261</v>
      </c>
      <c r="H20" s="4" t="s">
        <v>23</v>
      </c>
      <c r="I20" s="19">
        <f t="array" ref="I20:N20">I10:N10/SUM(I10:N10)</f>
        <v>0.53846153846153844</v>
      </c>
      <c r="J20" s="18">
        <v>0.30769230769230771</v>
      </c>
      <c r="K20" s="18">
        <v>0.15384615384615385</v>
      </c>
      <c r="L20" s="18">
        <v>0</v>
      </c>
      <c r="M20" s="18">
        <v>0</v>
      </c>
      <c r="N20" s="17">
        <v>0</v>
      </c>
      <c r="P20" s="4" t="str">
        <f ca="1"/>
        <v>C_</v>
      </c>
      <c r="Q20" s="79" cm="1">
        <f t="array" aca="1" ref="Q20:V20" ca="1">INDIRECT(P20)</f>
        <v>0</v>
      </c>
      <c r="R20" s="79">
        <f ca="1"/>
        <v>9.5238095238095233E-2</v>
      </c>
      <c r="S20" s="79">
        <f ca="1"/>
        <v>0.2857142857142857</v>
      </c>
      <c r="T20" s="79">
        <f ca="1"/>
        <v>0.71428571428571419</v>
      </c>
      <c r="U20" s="79">
        <f ca="1"/>
        <v>0.99999999999999989</v>
      </c>
      <c r="V20" s="79">
        <f ca="1"/>
        <v>0.99999999999999989</v>
      </c>
      <c r="W20" s="78">
        <f t="shared" ref="W20:W83" ca="1" si="12">RAND()</f>
        <v>0.52204030139112323</v>
      </c>
      <c r="X20" s="4" cm="1">
        <f t="array" aca="1" ref="X20" ca="1">MIN(SUM((Q20:V20&lt;W20)+0)+1,6)</f>
        <v>4</v>
      </c>
      <c r="Y20" s="4" t="str">
        <f t="shared" ca="1" si="6"/>
        <v>D</v>
      </c>
      <c r="AA20" s="97">
        <v>21.187561451253998</v>
      </c>
      <c r="AB20" s="98">
        <v>7.1277270027175987</v>
      </c>
      <c r="AC20" s="99">
        <v>151.0191538778416</v>
      </c>
      <c r="AG20" s="78"/>
      <c r="AH20" s="4">
        <f t="shared" si="2"/>
        <v>0.01</v>
      </c>
      <c r="AI20" s="8">
        <f t="shared" ca="1" si="3"/>
        <v>0.04</v>
      </c>
      <c r="AJ20" s="4">
        <f t="shared" ca="1" si="7"/>
        <v>0.03</v>
      </c>
      <c r="AK20" s="4">
        <f t="shared" ca="1" si="4"/>
        <v>-4.5305746163352483</v>
      </c>
    </row>
    <row r="21" spans="2:37" x14ac:dyDescent="0.2">
      <c r="B21" s="4" t="s">
        <v>115</v>
      </c>
      <c r="C21" s="4">
        <v>0.55932131678917996</v>
      </c>
      <c r="D21" s="4" t="s">
        <v>21</v>
      </c>
      <c r="E21" s="4" t="s">
        <v>31</v>
      </c>
      <c r="H21" s="4" t="s">
        <v>36</v>
      </c>
      <c r="I21" s="16">
        <f t="array" ref="I21:N21">I11:N11/SUM(I11:N11)</f>
        <v>9.5238095238095233E-2</v>
      </c>
      <c r="J21" s="14">
        <v>0.52380952380952384</v>
      </c>
      <c r="K21" s="15">
        <v>0.2857142857142857</v>
      </c>
      <c r="L21" s="15">
        <v>9.5238095238095233E-2</v>
      </c>
      <c r="M21" s="15">
        <v>0</v>
      </c>
      <c r="N21" s="13">
        <v>0</v>
      </c>
      <c r="P21" s="4" t="str">
        <f ca="1"/>
        <v>E</v>
      </c>
      <c r="Q21" s="79" cm="1">
        <f t="array" aca="1" ref="Q21:V21" ca="1">INDIRECT(P21)</f>
        <v>0</v>
      </c>
      <c r="R21" s="79">
        <f ca="1"/>
        <v>0</v>
      </c>
      <c r="S21" s="79">
        <f ca="1"/>
        <v>0</v>
      </c>
      <c r="T21" s="79">
        <f ca="1"/>
        <v>0.12</v>
      </c>
      <c r="U21" s="79">
        <f ca="1"/>
        <v>0.36</v>
      </c>
      <c r="V21" s="79">
        <f ca="1"/>
        <v>1</v>
      </c>
      <c r="W21" s="78">
        <f t="shared" ca="1" si="12"/>
        <v>0.26074317460729901</v>
      </c>
      <c r="X21" s="4" cm="1">
        <f t="array" aca="1" ref="X21" ca="1">MIN(SUM((Q21:V21&lt;W21)+0)+1,6)</f>
        <v>5</v>
      </c>
      <c r="Y21" s="4" t="str">
        <f t="shared" ca="1" si="6"/>
        <v>E</v>
      </c>
      <c r="AA21" s="97">
        <v>99.017852588544912</v>
      </c>
      <c r="AB21" s="98">
        <v>1.4969246243228673</v>
      </c>
      <c r="AC21" s="99">
        <v>148.22226178736466</v>
      </c>
      <c r="AG21" s="78"/>
      <c r="AH21" s="4">
        <f t="shared" si="2"/>
        <v>0.02</v>
      </c>
      <c r="AI21" s="8">
        <f t="shared" ca="1" si="3"/>
        <v>0.08</v>
      </c>
      <c r="AJ21" s="4">
        <f t="shared" ca="1" si="7"/>
        <v>0.06</v>
      </c>
      <c r="AK21" s="4">
        <f t="shared" ca="1" si="4"/>
        <v>-8.8933357072418797</v>
      </c>
    </row>
    <row r="22" spans="2:37" x14ac:dyDescent="0.2">
      <c r="B22" s="4" t="s">
        <v>114</v>
      </c>
      <c r="C22" s="4">
        <v>0.57897251751359091</v>
      </c>
      <c r="D22" s="4" t="s">
        <v>21</v>
      </c>
      <c r="E22" s="4" t="s">
        <v>261</v>
      </c>
      <c r="H22" s="4" t="s">
        <v>21</v>
      </c>
      <c r="I22" s="16">
        <f t="array" ref="I22:N22">I12:N12/SUM(I12:N12)</f>
        <v>0</v>
      </c>
      <c r="J22" s="15">
        <v>9.5238095238095233E-2</v>
      </c>
      <c r="K22" s="14">
        <v>0.19047619047619047</v>
      </c>
      <c r="L22" s="15">
        <v>0.42857142857142855</v>
      </c>
      <c r="M22" s="15">
        <v>0.2857142857142857</v>
      </c>
      <c r="N22" s="13">
        <v>0</v>
      </c>
      <c r="P22" s="4" t="str">
        <f ca="1"/>
        <v>C_</v>
      </c>
      <c r="Q22" s="79" cm="1">
        <f t="array" aca="1" ref="Q22:V22" ca="1">INDIRECT(P22)</f>
        <v>0</v>
      </c>
      <c r="R22" s="79">
        <f ca="1"/>
        <v>9.5238095238095233E-2</v>
      </c>
      <c r="S22" s="79">
        <f ca="1"/>
        <v>0.2857142857142857</v>
      </c>
      <c r="T22" s="79">
        <f ca="1"/>
        <v>0.71428571428571419</v>
      </c>
      <c r="U22" s="79">
        <f ca="1"/>
        <v>0.99999999999999989</v>
      </c>
      <c r="V22" s="79">
        <f ca="1"/>
        <v>0.99999999999999989</v>
      </c>
      <c r="W22" s="78">
        <f t="shared" ca="1" si="12"/>
        <v>0.24829457558129808</v>
      </c>
      <c r="X22" s="4" cm="1">
        <f t="array" aca="1" ref="X22" ca="1">MIN(SUM((Q22:V22&lt;W22)+0)+1,6)</f>
        <v>3</v>
      </c>
      <c r="Y22" s="4" t="str">
        <f t="shared" ca="1" si="6"/>
        <v>C_</v>
      </c>
      <c r="AA22" s="97">
        <v>89.428696095140779</v>
      </c>
      <c r="AB22" s="98">
        <v>7.6093974701891414</v>
      </c>
      <c r="AC22" s="99">
        <v>680.49849382867774</v>
      </c>
      <c r="AG22" s="78"/>
      <c r="AH22" s="4">
        <f t="shared" si="2"/>
        <v>0.02</v>
      </c>
      <c r="AI22" s="8">
        <f t="shared" ca="1" si="3"/>
        <v>0.02</v>
      </c>
      <c r="AJ22" s="4">
        <f t="shared" ca="1" si="7"/>
        <v>0</v>
      </c>
      <c r="AK22" s="4">
        <f t="shared" ca="1" si="4"/>
        <v>0</v>
      </c>
    </row>
    <row r="23" spans="2:37" x14ac:dyDescent="0.2">
      <c r="B23" s="4" t="s">
        <v>113</v>
      </c>
      <c r="C23" s="4">
        <v>0.57354336706452547</v>
      </c>
      <c r="D23" s="4" t="s">
        <v>21</v>
      </c>
      <c r="E23" s="4" t="s">
        <v>20</v>
      </c>
      <c r="H23" s="4" t="s">
        <v>20</v>
      </c>
      <c r="I23" s="16">
        <f t="array" ref="I23:N23">I13:N13/SUM(I13:N13)</f>
        <v>0</v>
      </c>
      <c r="J23" s="15">
        <v>0</v>
      </c>
      <c r="K23" s="15">
        <v>0.1</v>
      </c>
      <c r="L23" s="14">
        <v>0.4</v>
      </c>
      <c r="M23" s="15">
        <v>0.35</v>
      </c>
      <c r="N23" s="13">
        <v>0.15</v>
      </c>
      <c r="P23" s="4" t="str">
        <f ca="1"/>
        <v>D</v>
      </c>
      <c r="Q23" s="79" cm="1">
        <f t="array" aca="1" ref="Q23:V23" ca="1">INDIRECT(P23)</f>
        <v>0</v>
      </c>
      <c r="R23" s="79">
        <f ca="1"/>
        <v>0</v>
      </c>
      <c r="S23" s="79">
        <f ca="1"/>
        <v>0.1</v>
      </c>
      <c r="T23" s="79">
        <f ca="1"/>
        <v>0.5</v>
      </c>
      <c r="U23" s="79">
        <f ca="1"/>
        <v>0.85</v>
      </c>
      <c r="V23" s="79">
        <f ca="1"/>
        <v>1</v>
      </c>
      <c r="W23" s="78">
        <f t="shared" ca="1" si="12"/>
        <v>0.85168104769699127</v>
      </c>
      <c r="X23" s="4" cm="1">
        <f t="array" aca="1" ref="X23" ca="1">MIN(SUM((Q23:V23&lt;W23)+0)+1,6)</f>
        <v>6</v>
      </c>
      <c r="Y23" s="4" t="str">
        <f t="shared" ca="1" si="6"/>
        <v>F</v>
      </c>
      <c r="AA23" s="97">
        <v>97.490593750922798</v>
      </c>
      <c r="AB23" s="98">
        <v>6.8702237255337684</v>
      </c>
      <c r="AC23" s="99">
        <v>669.78219020396398</v>
      </c>
      <c r="AG23" s="78"/>
      <c r="AH23" s="4">
        <f t="shared" si="2"/>
        <v>0.02</v>
      </c>
      <c r="AI23" s="8" t="str">
        <f t="shared" ca="1" si="3"/>
        <v>N/A</v>
      </c>
      <c r="AJ23" s="4">
        <f t="shared" ca="1" si="7"/>
        <v>0</v>
      </c>
      <c r="AK23" s="4">
        <f t="shared" ca="1" si="4"/>
        <v>0</v>
      </c>
    </row>
    <row r="24" spans="2:37" x14ac:dyDescent="0.2">
      <c r="B24" s="4" t="s">
        <v>112</v>
      </c>
      <c r="C24" s="4">
        <v>0.2220152633174447</v>
      </c>
      <c r="D24" s="4" t="s">
        <v>36</v>
      </c>
      <c r="E24" s="4" t="s">
        <v>23</v>
      </c>
      <c r="H24" s="4" t="s">
        <v>31</v>
      </c>
      <c r="I24" s="16">
        <f t="array" ref="I24:N24">I14:N14/SUM(I14:N14)</f>
        <v>0</v>
      </c>
      <c r="J24" s="15">
        <v>0</v>
      </c>
      <c r="K24" s="15">
        <v>0</v>
      </c>
      <c r="L24" s="15">
        <v>0.12</v>
      </c>
      <c r="M24" s="14">
        <v>0.24</v>
      </c>
      <c r="N24" s="13">
        <v>0.64</v>
      </c>
      <c r="P24" s="4" t="str">
        <f ca="1"/>
        <v>A</v>
      </c>
      <c r="Q24" s="79" cm="1">
        <f t="array" aca="1" ref="Q24:V24" ca="1">INDIRECT(P24)</f>
        <v>0.53846153846153844</v>
      </c>
      <c r="R24" s="79">
        <f ca="1"/>
        <v>0.84615384615384615</v>
      </c>
      <c r="S24" s="79">
        <f ca="1"/>
        <v>1</v>
      </c>
      <c r="T24" s="79">
        <f ca="1"/>
        <v>1</v>
      </c>
      <c r="U24" s="79">
        <f ca="1"/>
        <v>1</v>
      </c>
      <c r="V24" s="79">
        <f ca="1"/>
        <v>1</v>
      </c>
      <c r="W24" s="78">
        <f t="shared" ca="1" si="12"/>
        <v>5.8572633814096942E-2</v>
      </c>
      <c r="X24" s="4" cm="1">
        <f t="array" aca="1" ref="X24" ca="1">MIN(SUM((Q24:V24&lt;W24)+0)+1,6)</f>
        <v>1</v>
      </c>
      <c r="Y24" s="4" t="str">
        <f t="shared" ca="1" si="6"/>
        <v>A</v>
      </c>
      <c r="AA24" s="97">
        <v>11.835634126517435</v>
      </c>
      <c r="AB24" s="98">
        <v>10.932351871754516</v>
      </c>
      <c r="AC24" s="99">
        <v>129.39131689643452</v>
      </c>
      <c r="AG24" s="78"/>
      <c r="AH24" s="4">
        <f t="shared" si="2"/>
        <v>0.01</v>
      </c>
      <c r="AI24" s="8">
        <f t="shared" ca="1" si="3"/>
        <v>5.0000000000000001E-3</v>
      </c>
      <c r="AJ24" s="4">
        <f t="shared" ca="1" si="7"/>
        <v>-5.0000000000000001E-3</v>
      </c>
      <c r="AK24" s="4">
        <f t="shared" ca="1" si="4"/>
        <v>0.64695658448217264</v>
      </c>
    </row>
    <row r="25" spans="2:37" x14ac:dyDescent="0.2">
      <c r="B25" s="4" t="s">
        <v>111</v>
      </c>
      <c r="C25" s="4">
        <v>0.93262582287957241</v>
      </c>
      <c r="D25" s="4" t="s">
        <v>31</v>
      </c>
      <c r="E25" s="4" t="s">
        <v>27</v>
      </c>
      <c r="H25" s="4" t="s">
        <v>27</v>
      </c>
      <c r="I25" s="12">
        <f t="array" ref="I25:N25">IFERROR(I15:N15/SUM(I15:N15),0)</f>
        <v>0</v>
      </c>
      <c r="J25" s="11">
        <v>0</v>
      </c>
      <c r="K25" s="11">
        <v>0</v>
      </c>
      <c r="L25" s="11">
        <v>0</v>
      </c>
      <c r="M25" s="11">
        <v>0</v>
      </c>
      <c r="N25" s="10">
        <v>0</v>
      </c>
      <c r="P25" s="4" t="str">
        <f ca="1"/>
        <v>F</v>
      </c>
      <c r="Q25" s="79" cm="1">
        <f t="array" aca="1" ref="Q25:V25" ca="1">INDIRECT(P25)</f>
        <v>0</v>
      </c>
      <c r="R25" s="79">
        <f ca="1"/>
        <v>0</v>
      </c>
      <c r="S25" s="79">
        <f ca="1"/>
        <v>0</v>
      </c>
      <c r="T25" s="79">
        <f ca="1"/>
        <v>0</v>
      </c>
      <c r="U25" s="79">
        <f ca="1"/>
        <v>0</v>
      </c>
      <c r="V25" s="79">
        <f ca="1"/>
        <v>0</v>
      </c>
      <c r="W25" s="78">
        <f t="shared" ca="1" si="12"/>
        <v>0.34788776995944082</v>
      </c>
      <c r="X25" s="4" cm="1">
        <f t="array" aca="1" ref="X25" ca="1">MIN(SUM((Q25:V25&lt;W25)+0)+1,6)</f>
        <v>6</v>
      </c>
      <c r="Y25" s="4" t="str">
        <f t="shared" ca="1" si="6"/>
        <v>F</v>
      </c>
      <c r="AA25" s="97">
        <v>16.788775597477603</v>
      </c>
      <c r="AB25" s="98">
        <v>1.5244219381878628</v>
      </c>
      <c r="AC25" s="99">
        <v>25.593177836107902</v>
      </c>
      <c r="AG25" s="78"/>
      <c r="AH25" s="4">
        <f t="shared" si="2"/>
        <v>0.08</v>
      </c>
      <c r="AI25" s="8" t="str">
        <f t="shared" ca="1" si="3"/>
        <v>N/A</v>
      </c>
      <c r="AJ25" s="4">
        <f t="shared" ca="1" si="7"/>
        <v>0</v>
      </c>
      <c r="AK25" s="4">
        <f t="shared" ca="1" si="4"/>
        <v>0</v>
      </c>
    </row>
    <row r="26" spans="2:37" x14ac:dyDescent="0.2">
      <c r="B26" s="4" t="s">
        <v>110</v>
      </c>
      <c r="C26" s="4">
        <v>0.62075910543702517</v>
      </c>
      <c r="D26" s="4" t="s">
        <v>20</v>
      </c>
      <c r="E26" s="4" t="s">
        <v>20</v>
      </c>
      <c r="P26" s="4" t="str">
        <f ca="1"/>
        <v>D</v>
      </c>
      <c r="Q26" s="79" cm="1">
        <f t="array" aca="1" ref="Q26:V26" ca="1">INDIRECT(P26)</f>
        <v>0</v>
      </c>
      <c r="R26" s="79">
        <f ca="1"/>
        <v>0</v>
      </c>
      <c r="S26" s="79">
        <f ca="1"/>
        <v>0.1</v>
      </c>
      <c r="T26" s="79">
        <f ca="1"/>
        <v>0.5</v>
      </c>
      <c r="U26" s="79">
        <f ca="1"/>
        <v>0.85</v>
      </c>
      <c r="V26" s="79">
        <f ca="1"/>
        <v>1</v>
      </c>
      <c r="W26" s="78">
        <f t="shared" ca="1" si="12"/>
        <v>0.15817679892506398</v>
      </c>
      <c r="X26" s="4" cm="1">
        <f t="array" aca="1" ref="X26" ca="1">MIN(SUM((Q26:V26&lt;W26)+0)+1,6)</f>
        <v>4</v>
      </c>
      <c r="Y26" s="4" t="str">
        <f t="shared" ca="1" si="6"/>
        <v>D</v>
      </c>
      <c r="AA26" s="97">
        <v>25.594671943319081</v>
      </c>
      <c r="AB26" s="98">
        <v>5.1703871658063152</v>
      </c>
      <c r="AC26" s="99">
        <v>132.33436332875996</v>
      </c>
      <c r="AG26" s="78"/>
      <c r="AH26" s="4">
        <f t="shared" si="2"/>
        <v>0.04</v>
      </c>
      <c r="AI26" s="8">
        <f t="shared" ca="1" si="3"/>
        <v>0.04</v>
      </c>
      <c r="AJ26" s="4">
        <f t="shared" ca="1" si="7"/>
        <v>0</v>
      </c>
      <c r="AK26" s="4">
        <f t="shared" ca="1" si="4"/>
        <v>0</v>
      </c>
    </row>
    <row r="27" spans="2:37" x14ac:dyDescent="0.2">
      <c r="B27" s="4" t="s">
        <v>109</v>
      </c>
      <c r="C27" s="4">
        <v>0.22819056193474963</v>
      </c>
      <c r="D27" s="4" t="s">
        <v>36</v>
      </c>
      <c r="E27" s="4" t="s">
        <v>36</v>
      </c>
      <c r="P27" s="4" t="str">
        <f ca="1"/>
        <v>B</v>
      </c>
      <c r="Q27" s="79" cm="1">
        <f t="array" aca="1" ref="Q27:V27" ca="1">INDIRECT(P27)</f>
        <v>9.5238095238095233E-2</v>
      </c>
      <c r="R27" s="79">
        <f ca="1"/>
        <v>0.61904761904761907</v>
      </c>
      <c r="S27" s="79">
        <f ca="1"/>
        <v>0.90476190476190477</v>
      </c>
      <c r="T27" s="79">
        <f ca="1"/>
        <v>1</v>
      </c>
      <c r="U27" s="79">
        <f ca="1"/>
        <v>1</v>
      </c>
      <c r="V27" s="79">
        <f ca="1"/>
        <v>1</v>
      </c>
      <c r="W27" s="78">
        <f t="shared" ca="1" si="12"/>
        <v>0.39486443531191784</v>
      </c>
      <c r="X27" s="4" cm="1">
        <f t="array" aca="1" ref="X27" ca="1">MIN(SUM((Q27:V27&lt;W27)+0)+1,6)</f>
        <v>2</v>
      </c>
      <c r="Y27" s="4" t="str">
        <f t="shared" ca="1" si="6"/>
        <v>B</v>
      </c>
      <c r="AA27" s="97">
        <v>46.397183218041768</v>
      </c>
      <c r="AB27" s="98">
        <v>8.0711338068908027</v>
      </c>
      <c r="AC27" s="99">
        <v>374.47787401564352</v>
      </c>
      <c r="AG27" s="78"/>
      <c r="AH27" s="4">
        <f t="shared" si="2"/>
        <v>0.01</v>
      </c>
      <c r="AI27" s="8">
        <f t="shared" ca="1" si="3"/>
        <v>0.01</v>
      </c>
      <c r="AJ27" s="4">
        <f t="shared" ca="1" si="7"/>
        <v>0</v>
      </c>
      <c r="AK27" s="4">
        <f t="shared" ca="1" si="4"/>
        <v>0</v>
      </c>
    </row>
    <row r="28" spans="2:37" x14ac:dyDescent="0.2">
      <c r="B28" s="4" t="s">
        <v>108</v>
      </c>
      <c r="C28" s="4">
        <v>0.77132432197816658</v>
      </c>
      <c r="D28" s="4" t="s">
        <v>20</v>
      </c>
      <c r="E28" s="4" t="s">
        <v>20</v>
      </c>
      <c r="P28" s="4" t="str">
        <f ca="1"/>
        <v>D</v>
      </c>
      <c r="Q28" s="79" cm="1">
        <f t="array" aca="1" ref="Q28:V28" ca="1">INDIRECT(P28)</f>
        <v>0</v>
      </c>
      <c r="R28" s="79">
        <f ca="1"/>
        <v>0</v>
      </c>
      <c r="S28" s="79">
        <f ca="1"/>
        <v>0.1</v>
      </c>
      <c r="T28" s="79">
        <f ca="1"/>
        <v>0.5</v>
      </c>
      <c r="U28" s="79">
        <f ca="1"/>
        <v>0.85</v>
      </c>
      <c r="V28" s="79">
        <f ca="1"/>
        <v>1</v>
      </c>
      <c r="W28" s="78">
        <f t="shared" ca="1" si="12"/>
        <v>0.11766354563609971</v>
      </c>
      <c r="X28" s="4" cm="1">
        <f t="array" aca="1" ref="X28" ca="1">MIN(SUM((Q28:V28&lt;W28)+0)+1,6)</f>
        <v>4</v>
      </c>
      <c r="Y28" s="4" t="str">
        <f t="shared" ca="1" si="6"/>
        <v>D</v>
      </c>
      <c r="AA28" s="97">
        <v>22.422308321723992</v>
      </c>
      <c r="AB28" s="98">
        <v>5.0711388322277493</v>
      </c>
      <c r="AC28" s="99">
        <v>113.70663843847795</v>
      </c>
      <c r="AG28" s="78"/>
      <c r="AH28" s="4">
        <f t="shared" si="2"/>
        <v>0.04</v>
      </c>
      <c r="AI28" s="8">
        <f t="shared" ca="1" si="3"/>
        <v>0.04</v>
      </c>
      <c r="AJ28" s="4">
        <f t="shared" ca="1" si="7"/>
        <v>0</v>
      </c>
      <c r="AK28" s="4">
        <f t="shared" ca="1" si="4"/>
        <v>0</v>
      </c>
    </row>
    <row r="29" spans="2:37" x14ac:dyDescent="0.2">
      <c r="B29" s="4" t="s">
        <v>107</v>
      </c>
      <c r="C29" s="4">
        <v>0.57246332435771263</v>
      </c>
      <c r="D29" s="4" t="s">
        <v>21</v>
      </c>
      <c r="E29" s="4" t="s">
        <v>31</v>
      </c>
      <c r="H29" s="9" t="s">
        <v>106</v>
      </c>
      <c r="P29" s="4" t="str">
        <f ca="1"/>
        <v>E</v>
      </c>
      <c r="Q29" s="79" cm="1">
        <f t="array" aca="1" ref="Q29:V29" ca="1">INDIRECT(P29)</f>
        <v>0</v>
      </c>
      <c r="R29" s="79">
        <f ca="1"/>
        <v>0</v>
      </c>
      <c r="S29" s="79">
        <f ca="1"/>
        <v>0</v>
      </c>
      <c r="T29" s="79">
        <f ca="1"/>
        <v>0.12</v>
      </c>
      <c r="U29" s="79">
        <f ca="1"/>
        <v>0.36</v>
      </c>
      <c r="V29" s="79">
        <f ca="1"/>
        <v>1</v>
      </c>
      <c r="W29" s="78">
        <f t="shared" ca="1" si="12"/>
        <v>0.6835912154823961</v>
      </c>
      <c r="X29" s="4" cm="1">
        <f t="array" aca="1" ref="X29" ca="1">MIN(SUM((Q29:V29&lt;W29)+0)+1,6)</f>
        <v>6</v>
      </c>
      <c r="Y29" s="4" t="str">
        <f t="shared" ca="1" si="6"/>
        <v>F</v>
      </c>
      <c r="AA29" s="97">
        <v>49.900240230025631</v>
      </c>
      <c r="AB29" s="98">
        <v>3.5278072841494366</v>
      </c>
      <c r="AC29" s="99">
        <v>176.03843096429117</v>
      </c>
      <c r="AG29" s="78"/>
      <c r="AH29" s="4">
        <f t="shared" si="2"/>
        <v>0.02</v>
      </c>
      <c r="AI29" s="8" t="str">
        <f t="shared" ca="1" si="3"/>
        <v>N/A</v>
      </c>
      <c r="AJ29" s="4">
        <f t="shared" ca="1" si="7"/>
        <v>0</v>
      </c>
      <c r="AK29" s="4">
        <f t="shared" ca="1" si="4"/>
        <v>0</v>
      </c>
    </row>
    <row r="30" spans="2:37" x14ac:dyDescent="0.2">
      <c r="B30" s="4" t="s">
        <v>105</v>
      </c>
      <c r="C30" s="4">
        <v>0.86103184618814521</v>
      </c>
      <c r="D30" s="4" t="s">
        <v>31</v>
      </c>
      <c r="E30" s="4" t="s">
        <v>20</v>
      </c>
      <c r="I30" s="8" t="s">
        <v>23</v>
      </c>
      <c r="J30" s="8" t="s">
        <v>36</v>
      </c>
      <c r="K30" s="8" t="s">
        <v>21</v>
      </c>
      <c r="L30" s="8" t="s">
        <v>20</v>
      </c>
      <c r="M30" s="8" t="s">
        <v>31</v>
      </c>
      <c r="N30" s="8" t="s">
        <v>27</v>
      </c>
      <c r="P30" s="4" t="str">
        <f ca="1"/>
        <v>D</v>
      </c>
      <c r="Q30" s="79" cm="1">
        <f t="array" aca="1" ref="Q30:V30" ca="1">INDIRECT(P30)</f>
        <v>0</v>
      </c>
      <c r="R30" s="79">
        <f ca="1"/>
        <v>0</v>
      </c>
      <c r="S30" s="79">
        <f ca="1"/>
        <v>0.1</v>
      </c>
      <c r="T30" s="79">
        <f ca="1"/>
        <v>0.5</v>
      </c>
      <c r="U30" s="79">
        <f ca="1"/>
        <v>0.85</v>
      </c>
      <c r="V30" s="79">
        <f ca="1"/>
        <v>1</v>
      </c>
      <c r="W30" s="78">
        <f t="shared" ca="1" si="12"/>
        <v>0.55259616844194159</v>
      </c>
      <c r="X30" s="4" cm="1">
        <f t="array" aca="1" ref="X30" ca="1">MIN(SUM((Q30:V30&lt;W30)+0)+1,6)</f>
        <v>5</v>
      </c>
      <c r="Y30" s="4" t="str">
        <f t="shared" ca="1" si="6"/>
        <v>E</v>
      </c>
      <c r="AA30" s="97">
        <v>88.634516281821547</v>
      </c>
      <c r="AB30" s="98">
        <v>5.3101370653186271</v>
      </c>
      <c r="AC30" s="99">
        <v>470.66143017468795</v>
      </c>
      <c r="AG30" s="78"/>
      <c r="AH30" s="4">
        <f t="shared" si="2"/>
        <v>0.08</v>
      </c>
      <c r="AI30" s="8">
        <f t="shared" ca="1" si="3"/>
        <v>0.08</v>
      </c>
      <c r="AJ30" s="4">
        <f t="shared" ca="1" si="7"/>
        <v>0</v>
      </c>
      <c r="AK30" s="4">
        <f t="shared" ca="1" si="4"/>
        <v>0</v>
      </c>
    </row>
    <row r="31" spans="2:37" x14ac:dyDescent="0.2">
      <c r="B31" s="4" t="s">
        <v>104</v>
      </c>
      <c r="C31" s="4">
        <v>0.94709052952496053</v>
      </c>
      <c r="D31" s="4" t="s">
        <v>31</v>
      </c>
      <c r="E31" s="4" t="s">
        <v>27</v>
      </c>
      <c r="H31" s="4" t="s">
        <v>23</v>
      </c>
      <c r="I31" s="88">
        <f>I20</f>
        <v>0.53846153846153844</v>
      </c>
      <c r="J31" s="89">
        <f t="shared" ref="J31:N36" si="13">J20+I31</f>
        <v>0.84615384615384615</v>
      </c>
      <c r="K31" s="89">
        <f t="shared" si="13"/>
        <v>1</v>
      </c>
      <c r="L31" s="89">
        <f t="shared" si="13"/>
        <v>1</v>
      </c>
      <c r="M31" s="89">
        <f t="shared" si="13"/>
        <v>1</v>
      </c>
      <c r="N31" s="90">
        <f t="shared" si="13"/>
        <v>1</v>
      </c>
      <c r="P31" s="4" t="str">
        <f ca="1"/>
        <v>F</v>
      </c>
      <c r="Q31" s="79" cm="1">
        <f t="array" aca="1" ref="Q31:V31" ca="1">INDIRECT(P31)</f>
        <v>0</v>
      </c>
      <c r="R31" s="79">
        <f ca="1"/>
        <v>0</v>
      </c>
      <c r="S31" s="79">
        <f ca="1"/>
        <v>0</v>
      </c>
      <c r="T31" s="79">
        <f ca="1"/>
        <v>0</v>
      </c>
      <c r="U31" s="79">
        <f ca="1"/>
        <v>0</v>
      </c>
      <c r="V31" s="79">
        <f ca="1"/>
        <v>0</v>
      </c>
      <c r="W31" s="78">
        <f t="shared" ca="1" si="12"/>
        <v>0.98670098940896533</v>
      </c>
      <c r="X31" s="4" cm="1">
        <f t="array" aca="1" ref="X31" ca="1">MIN(SUM((Q31:V31&lt;W31)+0)+1,6)</f>
        <v>6</v>
      </c>
      <c r="Y31" s="4" t="str">
        <f t="shared" ca="1" si="6"/>
        <v>F</v>
      </c>
      <c r="AA31" s="97">
        <v>28.880299552292112</v>
      </c>
      <c r="AB31" s="98">
        <v>0.80637700826324499</v>
      </c>
      <c r="AC31" s="99">
        <v>23.288409550723646</v>
      </c>
      <c r="AG31" s="78"/>
      <c r="AH31" s="4">
        <f t="shared" si="2"/>
        <v>0.08</v>
      </c>
      <c r="AI31" s="8" t="str">
        <f t="shared" ca="1" si="3"/>
        <v>N/A</v>
      </c>
      <c r="AJ31" s="4">
        <f t="shared" ca="1" si="7"/>
        <v>0</v>
      </c>
      <c r="AK31" s="4">
        <f t="shared" ca="1" si="4"/>
        <v>0</v>
      </c>
    </row>
    <row r="32" spans="2:37" x14ac:dyDescent="0.2">
      <c r="B32" s="4" t="s">
        <v>103</v>
      </c>
      <c r="C32" s="4">
        <v>0.85909824540678892</v>
      </c>
      <c r="D32" s="4" t="s">
        <v>31</v>
      </c>
      <c r="E32" s="4" t="s">
        <v>20</v>
      </c>
      <c r="H32" s="4" t="s">
        <v>36</v>
      </c>
      <c r="I32" s="91">
        <f t="shared" ref="I32:I36" si="14">I21</f>
        <v>9.5238095238095233E-2</v>
      </c>
      <c r="J32" s="92">
        <f t="shared" si="13"/>
        <v>0.61904761904761907</v>
      </c>
      <c r="K32" s="92">
        <f t="shared" si="13"/>
        <v>0.90476190476190477</v>
      </c>
      <c r="L32" s="92">
        <f t="shared" si="13"/>
        <v>1</v>
      </c>
      <c r="M32" s="92">
        <f t="shared" si="13"/>
        <v>1</v>
      </c>
      <c r="N32" s="93">
        <f t="shared" si="13"/>
        <v>1</v>
      </c>
      <c r="P32" s="4" t="str">
        <f ca="1"/>
        <v>D</v>
      </c>
      <c r="Q32" s="79" cm="1">
        <f t="array" aca="1" ref="Q32:V32" ca="1">INDIRECT(P32)</f>
        <v>0</v>
      </c>
      <c r="R32" s="79">
        <f ca="1"/>
        <v>0</v>
      </c>
      <c r="S32" s="79">
        <f ca="1"/>
        <v>0.1</v>
      </c>
      <c r="T32" s="79">
        <f ca="1"/>
        <v>0.5</v>
      </c>
      <c r="U32" s="79">
        <f ca="1"/>
        <v>0.85</v>
      </c>
      <c r="V32" s="79">
        <f ca="1"/>
        <v>1</v>
      </c>
      <c r="W32" s="78">
        <f t="shared" ca="1" si="12"/>
        <v>0.62350416465954195</v>
      </c>
      <c r="X32" s="4" cm="1">
        <f t="array" aca="1" ref="X32" ca="1">MIN(SUM((Q32:V32&lt;W32)+0)+1,6)</f>
        <v>5</v>
      </c>
      <c r="Y32" s="4" t="str">
        <f t="shared" ca="1" si="6"/>
        <v>E</v>
      </c>
      <c r="AA32" s="97">
        <v>21.610227046155149</v>
      </c>
      <c r="AB32" s="98">
        <v>6.9531340803672181</v>
      </c>
      <c r="AC32" s="99">
        <v>150.25880615909477</v>
      </c>
      <c r="AG32" s="78"/>
      <c r="AH32" s="4">
        <f t="shared" si="2"/>
        <v>0.08</v>
      </c>
      <c r="AI32" s="8">
        <f t="shared" ca="1" si="3"/>
        <v>0.08</v>
      </c>
      <c r="AJ32" s="4">
        <f t="shared" ca="1" si="7"/>
        <v>0</v>
      </c>
      <c r="AK32" s="4">
        <f t="shared" ca="1" si="4"/>
        <v>0</v>
      </c>
    </row>
    <row r="33" spans="2:37" x14ac:dyDescent="0.2">
      <c r="B33" s="4" t="s">
        <v>102</v>
      </c>
      <c r="C33" s="4">
        <v>0.13326863734457084</v>
      </c>
      <c r="D33" s="4" t="s">
        <v>23</v>
      </c>
      <c r="E33" s="4" t="s">
        <v>23</v>
      </c>
      <c r="H33" s="4" t="s">
        <v>261</v>
      </c>
      <c r="I33" s="91">
        <f t="shared" si="14"/>
        <v>0</v>
      </c>
      <c r="J33" s="92">
        <f t="shared" si="13"/>
        <v>9.5238095238095233E-2</v>
      </c>
      <c r="K33" s="92">
        <f t="shared" si="13"/>
        <v>0.2857142857142857</v>
      </c>
      <c r="L33" s="92">
        <f t="shared" si="13"/>
        <v>0.71428571428571419</v>
      </c>
      <c r="M33" s="92">
        <f t="shared" si="13"/>
        <v>0.99999999999999989</v>
      </c>
      <c r="N33" s="93">
        <f t="shared" si="13"/>
        <v>0.99999999999999989</v>
      </c>
      <c r="P33" s="4" t="str">
        <f ca="1"/>
        <v>A</v>
      </c>
      <c r="Q33" s="79" cm="1">
        <f t="array" aca="1" ref="Q33:V33" ca="1">INDIRECT(P33)</f>
        <v>0.53846153846153844</v>
      </c>
      <c r="R33" s="79">
        <f ca="1"/>
        <v>0.84615384615384615</v>
      </c>
      <c r="S33" s="79">
        <f ca="1"/>
        <v>1</v>
      </c>
      <c r="T33" s="79">
        <f ca="1"/>
        <v>1</v>
      </c>
      <c r="U33" s="79">
        <f ca="1"/>
        <v>1</v>
      </c>
      <c r="V33" s="79">
        <f ca="1"/>
        <v>1</v>
      </c>
      <c r="W33" s="78">
        <f t="shared" ca="1" si="12"/>
        <v>2.5881612009686084E-3</v>
      </c>
      <c r="X33" s="4" cm="1">
        <f t="array" aca="1" ref="X33" ca="1">MIN(SUM((Q33:V33&lt;W33)+0)+1,6)</f>
        <v>1</v>
      </c>
      <c r="Y33" s="4" t="str">
        <f t="shared" ca="1" si="6"/>
        <v>A</v>
      </c>
      <c r="AA33" s="97">
        <v>85.021688878712865</v>
      </c>
      <c r="AB33" s="98">
        <v>10.399959882403085</v>
      </c>
      <c r="AC33" s="99">
        <v>884.22215347277029</v>
      </c>
      <c r="AG33" s="78"/>
      <c r="AH33" s="4">
        <f t="shared" si="2"/>
        <v>5.0000000000000001E-3</v>
      </c>
      <c r="AI33" s="8">
        <f t="shared" ca="1" si="3"/>
        <v>5.0000000000000001E-3</v>
      </c>
      <c r="AJ33" s="4">
        <f t="shared" ca="1" si="7"/>
        <v>0</v>
      </c>
      <c r="AK33" s="4">
        <f t="shared" ca="1" si="4"/>
        <v>0</v>
      </c>
    </row>
    <row r="34" spans="2:37" x14ac:dyDescent="0.2">
      <c r="B34" s="4" t="s">
        <v>101</v>
      </c>
      <c r="C34" s="4">
        <v>2.4561640532133056E-2</v>
      </c>
      <c r="D34" s="4" t="s">
        <v>23</v>
      </c>
      <c r="E34" s="4" t="s">
        <v>23</v>
      </c>
      <c r="H34" s="4" t="s">
        <v>20</v>
      </c>
      <c r="I34" s="91">
        <f t="shared" si="14"/>
        <v>0</v>
      </c>
      <c r="J34" s="92">
        <f t="shared" si="13"/>
        <v>0</v>
      </c>
      <c r="K34" s="92">
        <f t="shared" si="13"/>
        <v>0.1</v>
      </c>
      <c r="L34" s="92">
        <f t="shared" si="13"/>
        <v>0.5</v>
      </c>
      <c r="M34" s="92">
        <f t="shared" si="13"/>
        <v>0.85</v>
      </c>
      <c r="N34" s="93">
        <f t="shared" si="13"/>
        <v>1</v>
      </c>
      <c r="P34" s="4" t="str">
        <f ca="1"/>
        <v>A</v>
      </c>
      <c r="Q34" s="79" cm="1">
        <f t="array" aca="1" ref="Q34:V34" ca="1">INDIRECT(P34)</f>
        <v>0.53846153846153844</v>
      </c>
      <c r="R34" s="79">
        <f ca="1"/>
        <v>0.84615384615384615</v>
      </c>
      <c r="S34" s="79">
        <f ca="1"/>
        <v>1</v>
      </c>
      <c r="T34" s="79">
        <f ca="1"/>
        <v>1</v>
      </c>
      <c r="U34" s="79">
        <f ca="1"/>
        <v>1</v>
      </c>
      <c r="V34" s="79">
        <f ca="1"/>
        <v>1</v>
      </c>
      <c r="W34" s="78">
        <f t="shared" ca="1" si="12"/>
        <v>0.37549176000158735</v>
      </c>
      <c r="X34" s="4" cm="1">
        <f t="array" aca="1" ref="X34" ca="1">MIN(SUM((Q34:V34&lt;W34)+0)+1,6)</f>
        <v>1</v>
      </c>
      <c r="Y34" s="4" t="str">
        <f t="shared" ca="1" si="6"/>
        <v>A</v>
      </c>
      <c r="AA34" s="97">
        <v>21.473754008323841</v>
      </c>
      <c r="AB34" s="98">
        <v>8.2059291658347995</v>
      </c>
      <c r="AC34" s="99">
        <v>176.21210431686654</v>
      </c>
      <c r="AG34" s="78"/>
      <c r="AH34" s="4">
        <f t="shared" si="2"/>
        <v>5.0000000000000001E-3</v>
      </c>
      <c r="AI34" s="8">
        <f t="shared" ca="1" si="3"/>
        <v>5.0000000000000001E-3</v>
      </c>
      <c r="AJ34" s="4">
        <f t="shared" ca="1" si="7"/>
        <v>0</v>
      </c>
      <c r="AK34" s="4">
        <f t="shared" ca="1" si="4"/>
        <v>0</v>
      </c>
    </row>
    <row r="35" spans="2:37" x14ac:dyDescent="0.2">
      <c r="B35" s="4" t="s">
        <v>100</v>
      </c>
      <c r="C35" s="4">
        <v>0.69102718204006508</v>
      </c>
      <c r="D35" s="4" t="s">
        <v>20</v>
      </c>
      <c r="E35" s="4" t="s">
        <v>31</v>
      </c>
      <c r="H35" s="4" t="s">
        <v>31</v>
      </c>
      <c r="I35" s="91">
        <f t="shared" si="14"/>
        <v>0</v>
      </c>
      <c r="J35" s="92">
        <f t="shared" si="13"/>
        <v>0</v>
      </c>
      <c r="K35" s="92">
        <f t="shared" si="13"/>
        <v>0</v>
      </c>
      <c r="L35" s="92">
        <f t="shared" si="13"/>
        <v>0.12</v>
      </c>
      <c r="M35" s="92">
        <f t="shared" si="13"/>
        <v>0.36</v>
      </c>
      <c r="N35" s="93">
        <f t="shared" si="13"/>
        <v>1</v>
      </c>
      <c r="P35" s="4" t="str">
        <f ca="1"/>
        <v>E</v>
      </c>
      <c r="Q35" s="79" cm="1">
        <f t="array" aca="1" ref="Q35:V35" ca="1">INDIRECT(P35)</f>
        <v>0</v>
      </c>
      <c r="R35" s="79">
        <f ca="1"/>
        <v>0</v>
      </c>
      <c r="S35" s="79">
        <f ca="1"/>
        <v>0</v>
      </c>
      <c r="T35" s="79">
        <f ca="1"/>
        <v>0.12</v>
      </c>
      <c r="U35" s="79">
        <f ca="1"/>
        <v>0.36</v>
      </c>
      <c r="V35" s="79">
        <f ca="1"/>
        <v>1</v>
      </c>
      <c r="W35" s="78">
        <f t="shared" ca="1" si="12"/>
        <v>0.47269193004536103</v>
      </c>
      <c r="X35" s="4" cm="1">
        <f t="array" aca="1" ref="X35" ca="1">MIN(SUM((Q35:V35&lt;W35)+0)+1,6)</f>
        <v>6</v>
      </c>
      <c r="Y35" s="4" t="str">
        <f t="shared" ca="1" si="6"/>
        <v>F</v>
      </c>
      <c r="AA35" s="97">
        <v>61.912255756391033</v>
      </c>
      <c r="AB35" s="98">
        <v>1.8594266660912036</v>
      </c>
      <c r="AC35" s="99">
        <v>115.12129931129211</v>
      </c>
      <c r="AG35" s="78"/>
      <c r="AH35" s="4">
        <f t="shared" si="2"/>
        <v>0.04</v>
      </c>
      <c r="AI35" s="8" t="str">
        <f t="shared" ca="1" si="3"/>
        <v>N/A</v>
      </c>
      <c r="AJ35" s="4">
        <f t="shared" ca="1" si="7"/>
        <v>0</v>
      </c>
      <c r="AK35" s="4">
        <f t="shared" ca="1" si="4"/>
        <v>0</v>
      </c>
    </row>
    <row r="36" spans="2:37" x14ac:dyDescent="0.2">
      <c r="B36" s="4" t="s">
        <v>99</v>
      </c>
      <c r="C36" s="4">
        <v>0.47219088645737706</v>
      </c>
      <c r="D36" s="4" t="s">
        <v>21</v>
      </c>
      <c r="E36" s="4" t="s">
        <v>20</v>
      </c>
      <c r="H36" s="4" t="s">
        <v>27</v>
      </c>
      <c r="I36" s="94">
        <f t="shared" si="14"/>
        <v>0</v>
      </c>
      <c r="J36" s="95">
        <f t="shared" si="13"/>
        <v>0</v>
      </c>
      <c r="K36" s="95">
        <f t="shared" si="13"/>
        <v>0</v>
      </c>
      <c r="L36" s="95">
        <f t="shared" si="13"/>
        <v>0</v>
      </c>
      <c r="M36" s="95">
        <f t="shared" si="13"/>
        <v>0</v>
      </c>
      <c r="N36" s="96">
        <f t="shared" si="13"/>
        <v>0</v>
      </c>
      <c r="P36" s="4" t="str">
        <f ca="1"/>
        <v>D</v>
      </c>
      <c r="Q36" s="79" cm="1">
        <f t="array" aca="1" ref="Q36:V36" ca="1">INDIRECT(P36)</f>
        <v>0</v>
      </c>
      <c r="R36" s="79">
        <f ca="1"/>
        <v>0</v>
      </c>
      <c r="S36" s="79">
        <f ca="1"/>
        <v>0.1</v>
      </c>
      <c r="T36" s="79">
        <f ca="1"/>
        <v>0.5</v>
      </c>
      <c r="U36" s="79">
        <f ca="1"/>
        <v>0.85</v>
      </c>
      <c r="V36" s="79">
        <f ca="1"/>
        <v>1</v>
      </c>
      <c r="W36" s="78">
        <f t="shared" ca="1" si="12"/>
        <v>0.90365223271501383</v>
      </c>
      <c r="X36" s="4" cm="1">
        <f t="array" aca="1" ref="X36" ca="1">MIN(SUM((Q36:V36&lt;W36)+0)+1,6)</f>
        <v>6</v>
      </c>
      <c r="Y36" s="4" t="str">
        <f t="shared" ca="1" si="6"/>
        <v>F</v>
      </c>
      <c r="AA36" s="97">
        <v>53.322073630811737</v>
      </c>
      <c r="AB36" s="98">
        <v>6.4046647552474081</v>
      </c>
      <c r="AC36" s="99">
        <v>341.51000565996713</v>
      </c>
      <c r="AG36" s="78"/>
      <c r="AH36" s="4">
        <f t="shared" si="2"/>
        <v>0.02</v>
      </c>
      <c r="AI36" s="8" t="str">
        <f t="shared" ca="1" si="3"/>
        <v>N/A</v>
      </c>
      <c r="AJ36" s="4">
        <f t="shared" ca="1" si="7"/>
        <v>0</v>
      </c>
      <c r="AK36" s="4">
        <f t="shared" ca="1" si="4"/>
        <v>0</v>
      </c>
    </row>
    <row r="37" spans="2:37" x14ac:dyDescent="0.2">
      <c r="B37" s="4" t="s">
        <v>98</v>
      </c>
      <c r="C37" s="4">
        <v>0.96736610542638979</v>
      </c>
      <c r="D37" s="4" t="s">
        <v>31</v>
      </c>
      <c r="E37" s="4" t="s">
        <v>27</v>
      </c>
      <c r="P37" s="4" t="str">
        <f ca="1"/>
        <v>F</v>
      </c>
      <c r="Q37" s="79" cm="1">
        <f t="array" aca="1" ref="Q37:V37" ca="1">INDIRECT(P37)</f>
        <v>0</v>
      </c>
      <c r="R37" s="79">
        <f ca="1"/>
        <v>0</v>
      </c>
      <c r="S37" s="79">
        <f ca="1"/>
        <v>0</v>
      </c>
      <c r="T37" s="79">
        <f ca="1"/>
        <v>0</v>
      </c>
      <c r="U37" s="79">
        <f ca="1"/>
        <v>0</v>
      </c>
      <c r="V37" s="79">
        <f ca="1"/>
        <v>0</v>
      </c>
      <c r="W37" s="78">
        <f t="shared" ca="1" si="12"/>
        <v>0.16263951813868449</v>
      </c>
      <c r="X37" s="4" cm="1">
        <f t="array" aca="1" ref="X37" ca="1">MIN(SUM((Q37:V37&lt;W37)+0)+1,6)</f>
        <v>6</v>
      </c>
      <c r="Y37" s="4" t="str">
        <f t="shared" ca="1" si="6"/>
        <v>F</v>
      </c>
      <c r="AA37" s="97">
        <v>36.39863146840986</v>
      </c>
      <c r="AB37" s="98">
        <v>0.49332315522988845</v>
      </c>
      <c r="AC37" s="99">
        <v>17.956287722045861</v>
      </c>
      <c r="AG37" s="78"/>
      <c r="AH37" s="4">
        <f t="shared" si="2"/>
        <v>0.08</v>
      </c>
      <c r="AI37" s="8" t="str">
        <f t="shared" ca="1" si="3"/>
        <v>N/A</v>
      </c>
      <c r="AJ37" s="4">
        <f t="shared" ca="1" si="7"/>
        <v>0</v>
      </c>
      <c r="AK37" s="4">
        <f t="shared" ca="1" si="4"/>
        <v>0</v>
      </c>
    </row>
    <row r="38" spans="2:37" x14ac:dyDescent="0.2">
      <c r="B38" s="4" t="s">
        <v>97</v>
      </c>
      <c r="C38" s="4">
        <v>0.32731700081355264</v>
      </c>
      <c r="D38" s="4" t="s">
        <v>36</v>
      </c>
      <c r="E38" s="4" t="s">
        <v>36</v>
      </c>
      <c r="P38" s="4" t="str">
        <f ca="1"/>
        <v>B</v>
      </c>
      <c r="Q38" s="79" cm="1">
        <f t="array" aca="1" ref="Q38:V38" ca="1">INDIRECT(P38)</f>
        <v>9.5238095238095233E-2</v>
      </c>
      <c r="R38" s="79">
        <f ca="1"/>
        <v>0.61904761904761907</v>
      </c>
      <c r="S38" s="79">
        <f ca="1"/>
        <v>0.90476190476190477</v>
      </c>
      <c r="T38" s="79">
        <f ca="1"/>
        <v>1</v>
      </c>
      <c r="U38" s="79">
        <f ca="1"/>
        <v>1</v>
      </c>
      <c r="V38" s="79">
        <f ca="1"/>
        <v>1</v>
      </c>
      <c r="W38" s="78">
        <f t="shared" ca="1" si="12"/>
        <v>5.4031893329625436E-2</v>
      </c>
      <c r="X38" s="4" cm="1">
        <f t="array" aca="1" ref="X38" ca="1">MIN(SUM((Q38:V38&lt;W38)+0)+1,6)</f>
        <v>1</v>
      </c>
      <c r="Y38" s="4" t="str">
        <f t="shared" ca="1" si="6"/>
        <v>A</v>
      </c>
      <c r="AA38" s="97">
        <v>66.337934995536642</v>
      </c>
      <c r="AB38" s="98">
        <v>8.4695858142277398</v>
      </c>
      <c r="AC38" s="99">
        <v>561.85483318335912</v>
      </c>
      <c r="AG38" s="78"/>
      <c r="AH38" s="4">
        <f t="shared" si="2"/>
        <v>0.01</v>
      </c>
      <c r="AI38" s="8">
        <f t="shared" ca="1" si="3"/>
        <v>5.0000000000000001E-3</v>
      </c>
      <c r="AJ38" s="4">
        <f t="shared" ca="1" si="7"/>
        <v>-5.0000000000000001E-3</v>
      </c>
      <c r="AK38" s="4">
        <f t="shared" ca="1" si="4"/>
        <v>2.8092741659167957</v>
      </c>
    </row>
    <row r="39" spans="2:37" x14ac:dyDescent="0.2">
      <c r="B39" s="4" t="s">
        <v>96</v>
      </c>
      <c r="C39" s="4">
        <v>2.2840188242793991E-2</v>
      </c>
      <c r="D39" s="4" t="s">
        <v>23</v>
      </c>
      <c r="E39" s="4" t="s">
        <v>36</v>
      </c>
      <c r="P39" s="4" t="str">
        <f ca="1"/>
        <v>B</v>
      </c>
      <c r="Q39" s="79" cm="1">
        <f t="array" aca="1" ref="Q39:V39" ca="1">INDIRECT(P39)</f>
        <v>9.5238095238095233E-2</v>
      </c>
      <c r="R39" s="79">
        <f ca="1"/>
        <v>0.61904761904761907</v>
      </c>
      <c r="S39" s="79">
        <f ca="1"/>
        <v>0.90476190476190477</v>
      </c>
      <c r="T39" s="79">
        <f ca="1"/>
        <v>1</v>
      </c>
      <c r="U39" s="79">
        <f ca="1"/>
        <v>1</v>
      </c>
      <c r="V39" s="79">
        <f ca="1"/>
        <v>1</v>
      </c>
      <c r="W39" s="78">
        <f t="shared" ca="1" si="12"/>
        <v>0.41516344379495673</v>
      </c>
      <c r="X39" s="4" cm="1">
        <f t="array" aca="1" ref="X39" ca="1">MIN(SUM((Q39:V39&lt;W39)+0)+1,6)</f>
        <v>2</v>
      </c>
      <c r="Y39" s="4" t="str">
        <f t="shared" ca="1" si="6"/>
        <v>B</v>
      </c>
      <c r="AA39" s="97">
        <v>79.531764776477075</v>
      </c>
      <c r="AB39" s="98">
        <v>9.1851074752231554</v>
      </c>
      <c r="AC39" s="99">
        <v>730.50780716610927</v>
      </c>
      <c r="AG39" s="78"/>
      <c r="AH39" s="4">
        <f t="shared" si="2"/>
        <v>5.0000000000000001E-3</v>
      </c>
      <c r="AI39" s="8">
        <f t="shared" ca="1" si="3"/>
        <v>0.01</v>
      </c>
      <c r="AJ39" s="4">
        <f t="shared" ca="1" si="7"/>
        <v>5.0000000000000001E-3</v>
      </c>
      <c r="AK39" s="4">
        <f t="shared" ca="1" si="4"/>
        <v>-3.6525390358305465</v>
      </c>
    </row>
    <row r="40" spans="2:37" x14ac:dyDescent="0.2">
      <c r="B40" s="4" t="s">
        <v>95</v>
      </c>
      <c r="C40" s="4">
        <v>0.92397381828911795</v>
      </c>
      <c r="D40" s="4" t="s">
        <v>31</v>
      </c>
      <c r="E40" s="4" t="s">
        <v>27</v>
      </c>
      <c r="P40" s="4" t="str">
        <f ca="1"/>
        <v>F</v>
      </c>
      <c r="Q40" s="79" cm="1">
        <f t="array" aca="1" ref="Q40:V40" ca="1">INDIRECT(P40)</f>
        <v>0</v>
      </c>
      <c r="R40" s="79">
        <f ca="1"/>
        <v>0</v>
      </c>
      <c r="S40" s="79">
        <f ca="1"/>
        <v>0</v>
      </c>
      <c r="T40" s="79">
        <f ca="1"/>
        <v>0</v>
      </c>
      <c r="U40" s="79">
        <f ca="1"/>
        <v>0</v>
      </c>
      <c r="V40" s="79">
        <f ca="1"/>
        <v>0</v>
      </c>
      <c r="W40" s="78">
        <f t="shared" ca="1" si="12"/>
        <v>0.9466888539869236</v>
      </c>
      <c r="X40" s="4" cm="1">
        <f t="array" aca="1" ref="X40" ca="1">MIN(SUM((Q40:V40&lt;W40)+0)+1,6)</f>
        <v>6</v>
      </c>
      <c r="Y40" s="4" t="str">
        <f t="shared" ca="1" si="6"/>
        <v>F</v>
      </c>
      <c r="AA40" s="97">
        <v>48.107876050329644</v>
      </c>
      <c r="AB40" s="98">
        <v>0.84851868925850327</v>
      </c>
      <c r="AC40" s="99">
        <v>40.82043192923625</v>
      </c>
      <c r="AG40" s="78"/>
      <c r="AH40" s="4">
        <f t="shared" si="2"/>
        <v>0.08</v>
      </c>
      <c r="AI40" s="8" t="str">
        <f t="shared" ca="1" si="3"/>
        <v>N/A</v>
      </c>
      <c r="AJ40" s="4">
        <f t="shared" ca="1" si="7"/>
        <v>0</v>
      </c>
      <c r="AK40" s="4">
        <f t="shared" ca="1" si="4"/>
        <v>0</v>
      </c>
    </row>
    <row r="41" spans="2:37" x14ac:dyDescent="0.2">
      <c r="B41" s="4" t="s">
        <v>94</v>
      </c>
      <c r="C41" s="4">
        <v>7.7896725092658436E-2</v>
      </c>
      <c r="D41" s="4" t="s">
        <v>23</v>
      </c>
      <c r="E41" s="4" t="s">
        <v>36</v>
      </c>
      <c r="P41" s="4" t="str">
        <f ca="1"/>
        <v>B</v>
      </c>
      <c r="Q41" s="79" cm="1">
        <f t="array" aca="1" ref="Q41:V41" ca="1">INDIRECT(P41)</f>
        <v>9.5238095238095233E-2</v>
      </c>
      <c r="R41" s="79">
        <f ca="1"/>
        <v>0.61904761904761907</v>
      </c>
      <c r="S41" s="79">
        <f ca="1"/>
        <v>0.90476190476190477</v>
      </c>
      <c r="T41" s="79">
        <f ca="1"/>
        <v>1</v>
      </c>
      <c r="U41" s="79">
        <f ca="1"/>
        <v>1</v>
      </c>
      <c r="V41" s="79">
        <f ca="1"/>
        <v>1</v>
      </c>
      <c r="W41" s="78">
        <f t="shared" ca="1" si="12"/>
        <v>0.81274953180977028</v>
      </c>
      <c r="X41" s="4" cm="1">
        <f t="array" aca="1" ref="X41" ca="1">MIN(SUM((Q41:V41&lt;W41)+0)+1,6)</f>
        <v>3</v>
      </c>
      <c r="Y41" s="4" t="str">
        <f t="shared" ca="1" si="6"/>
        <v>C_</v>
      </c>
      <c r="AA41" s="97">
        <v>2.2467468190886297</v>
      </c>
      <c r="AB41" s="98">
        <v>8.9158168755440457</v>
      </c>
      <c r="AC41" s="99">
        <v>20.03158320470531</v>
      </c>
      <c r="AG41" s="78"/>
      <c r="AH41" s="4">
        <f t="shared" si="2"/>
        <v>5.0000000000000001E-3</v>
      </c>
      <c r="AI41" s="8">
        <f t="shared" ca="1" si="3"/>
        <v>0.02</v>
      </c>
      <c r="AJ41" s="4">
        <f t="shared" ca="1" si="7"/>
        <v>1.4999999999999999E-2</v>
      </c>
      <c r="AK41" s="4">
        <f t="shared" ca="1" si="4"/>
        <v>-0.30047374807057964</v>
      </c>
    </row>
    <row r="42" spans="2:37" x14ac:dyDescent="0.2">
      <c r="B42" s="4" t="s">
        <v>93</v>
      </c>
      <c r="C42" s="4">
        <v>0.65542830970793808</v>
      </c>
      <c r="D42" s="4" t="s">
        <v>20</v>
      </c>
      <c r="E42" s="4" t="s">
        <v>27</v>
      </c>
      <c r="P42" s="4" t="str">
        <f ca="1"/>
        <v>F</v>
      </c>
      <c r="Q42" s="79" cm="1">
        <f t="array" aca="1" ref="Q42:V42" ca="1">INDIRECT(P42)</f>
        <v>0</v>
      </c>
      <c r="R42" s="79">
        <f ca="1"/>
        <v>0</v>
      </c>
      <c r="S42" s="79">
        <f ca="1"/>
        <v>0</v>
      </c>
      <c r="T42" s="79">
        <f ca="1"/>
        <v>0</v>
      </c>
      <c r="U42" s="79">
        <f ca="1"/>
        <v>0</v>
      </c>
      <c r="V42" s="79">
        <f ca="1"/>
        <v>0</v>
      </c>
      <c r="W42" s="78">
        <f t="shared" ca="1" si="12"/>
        <v>0.30131551202156559</v>
      </c>
      <c r="X42" s="4" cm="1">
        <f t="array" aca="1" ref="X42" ca="1">MIN(SUM((Q42:V42&lt;W42)+0)+1,6)</f>
        <v>6</v>
      </c>
      <c r="Y42" s="4" t="str">
        <f t="shared" ca="1" si="6"/>
        <v>F</v>
      </c>
      <c r="AA42" s="97">
        <v>31.342457566370989</v>
      </c>
      <c r="AB42" s="98">
        <v>1.0770348505322942</v>
      </c>
      <c r="AC42" s="99">
        <v>33.756919100311151</v>
      </c>
      <c r="AG42" s="78"/>
      <c r="AH42" s="4">
        <f t="shared" ref="AH42:AH73" si="15">VLOOKUP(RatingLast,$AE$10:$AF$16,2,0)</f>
        <v>0.04</v>
      </c>
      <c r="AI42" s="8" t="str">
        <f t="shared" ref="AI42:AI73" ca="1" si="16">VLOOKUP(RatingSim,$AE$10:$AF$16,2,0)</f>
        <v>N/A</v>
      </c>
      <c r="AJ42" s="4">
        <f t="shared" ca="1" si="7"/>
        <v>0</v>
      </c>
      <c r="AK42" s="4">
        <f t="shared" ref="AK42:AK73" ca="1" si="17">SpreadCh*-p_d</f>
        <v>0</v>
      </c>
    </row>
    <row r="43" spans="2:37" x14ac:dyDescent="0.2">
      <c r="B43" s="4" t="s">
        <v>92</v>
      </c>
      <c r="C43" s="4">
        <v>0.25203125416123051</v>
      </c>
      <c r="D43" s="4" t="s">
        <v>36</v>
      </c>
      <c r="E43" s="4" t="s">
        <v>36</v>
      </c>
      <c r="P43" s="4" t="str">
        <f ca="1"/>
        <v>B</v>
      </c>
      <c r="Q43" s="79" cm="1">
        <f t="array" aca="1" ref="Q43:V43" ca="1">INDIRECT(P43)</f>
        <v>9.5238095238095233E-2</v>
      </c>
      <c r="R43" s="79">
        <f ca="1"/>
        <v>0.61904761904761907</v>
      </c>
      <c r="S43" s="79">
        <f ca="1"/>
        <v>0.90476190476190477</v>
      </c>
      <c r="T43" s="79">
        <f ca="1"/>
        <v>1</v>
      </c>
      <c r="U43" s="79">
        <f ca="1"/>
        <v>1</v>
      </c>
      <c r="V43" s="79">
        <f ca="1"/>
        <v>1</v>
      </c>
      <c r="W43" s="78">
        <f t="shared" ca="1" si="12"/>
        <v>0.45342332932865437</v>
      </c>
      <c r="X43" s="4" cm="1">
        <f t="array" aca="1" ref="X43" ca="1">MIN(SUM((Q43:V43&lt;W43)+0)+1,6)</f>
        <v>2</v>
      </c>
      <c r="Y43" s="4" t="str">
        <f t="shared" ca="1" si="6"/>
        <v>B</v>
      </c>
      <c r="AA43" s="97">
        <v>7.9718097117669533</v>
      </c>
      <c r="AB43" s="98">
        <v>8.2397599453990953</v>
      </c>
      <c r="AC43" s="99">
        <v>65.685798355360845</v>
      </c>
      <c r="AG43" s="78"/>
      <c r="AH43" s="4">
        <f t="shared" si="15"/>
        <v>0.01</v>
      </c>
      <c r="AI43" s="8">
        <f t="shared" ca="1" si="16"/>
        <v>0.01</v>
      </c>
      <c r="AJ43" s="4">
        <f t="shared" ca="1" si="7"/>
        <v>0</v>
      </c>
      <c r="AK43" s="4">
        <f t="shared" ca="1" si="17"/>
        <v>0</v>
      </c>
    </row>
    <row r="44" spans="2:37" x14ac:dyDescent="0.2">
      <c r="B44" s="4" t="s">
        <v>91</v>
      </c>
      <c r="C44" s="4">
        <v>0.7342850127525723</v>
      </c>
      <c r="D44" s="4" t="s">
        <v>20</v>
      </c>
      <c r="E44" s="4" t="s">
        <v>31</v>
      </c>
      <c r="P44" s="4" t="str">
        <f ca="1"/>
        <v>E</v>
      </c>
      <c r="Q44" s="79" cm="1">
        <f t="array" aca="1" ref="Q44:V44" ca="1">INDIRECT(P44)</f>
        <v>0</v>
      </c>
      <c r="R44" s="79">
        <f ca="1"/>
        <v>0</v>
      </c>
      <c r="S44" s="79">
        <f ca="1"/>
        <v>0</v>
      </c>
      <c r="T44" s="79">
        <f ca="1"/>
        <v>0.12</v>
      </c>
      <c r="U44" s="79">
        <f ca="1"/>
        <v>0.36</v>
      </c>
      <c r="V44" s="79">
        <f ca="1"/>
        <v>1</v>
      </c>
      <c r="W44" s="78">
        <f t="shared" ca="1" si="12"/>
        <v>0.4334884745376254</v>
      </c>
      <c r="X44" s="4" cm="1">
        <f t="array" aca="1" ref="X44" ca="1">MIN(SUM((Q44:V44&lt;W44)+0)+1,6)</f>
        <v>6</v>
      </c>
      <c r="Y44" s="4" t="str">
        <f t="shared" ca="1" si="6"/>
        <v>F</v>
      </c>
      <c r="AA44" s="97">
        <v>26.135955656809497</v>
      </c>
      <c r="AB44" s="98">
        <v>3.2675530419423335</v>
      </c>
      <c r="AC44" s="99">
        <v>85.400621410477811</v>
      </c>
      <c r="AG44" s="78"/>
      <c r="AH44" s="4">
        <f t="shared" si="15"/>
        <v>0.04</v>
      </c>
      <c r="AI44" s="8" t="str">
        <f t="shared" ca="1" si="16"/>
        <v>N/A</v>
      </c>
      <c r="AJ44" s="4">
        <f t="shared" ca="1" si="7"/>
        <v>0</v>
      </c>
      <c r="AK44" s="4">
        <f t="shared" ca="1" si="17"/>
        <v>0</v>
      </c>
    </row>
    <row r="45" spans="2:37" x14ac:dyDescent="0.2">
      <c r="B45" s="4" t="s">
        <v>90</v>
      </c>
      <c r="C45" s="4">
        <v>0.45807898016892368</v>
      </c>
      <c r="D45" s="4" t="s">
        <v>21</v>
      </c>
      <c r="E45" s="4" t="s">
        <v>36</v>
      </c>
      <c r="P45" s="4" t="str">
        <f ca="1"/>
        <v>B</v>
      </c>
      <c r="Q45" s="79" cm="1">
        <f t="array" aca="1" ref="Q45:V45" ca="1">INDIRECT(P45)</f>
        <v>9.5238095238095233E-2</v>
      </c>
      <c r="R45" s="79">
        <f ca="1"/>
        <v>0.61904761904761907</v>
      </c>
      <c r="S45" s="79">
        <f ca="1"/>
        <v>0.90476190476190477</v>
      </c>
      <c r="T45" s="79">
        <f ca="1"/>
        <v>1</v>
      </c>
      <c r="U45" s="79">
        <f ca="1"/>
        <v>1</v>
      </c>
      <c r="V45" s="79">
        <f ca="1"/>
        <v>1</v>
      </c>
      <c r="W45" s="78">
        <f t="shared" ca="1" si="12"/>
        <v>0.68238620205726397</v>
      </c>
      <c r="X45" s="4" cm="1">
        <f t="array" aca="1" ref="X45" ca="1">MIN(SUM((Q45:V45&lt;W45)+0)+1,6)</f>
        <v>3</v>
      </c>
      <c r="Y45" s="4" t="str">
        <f t="shared" ca="1" si="6"/>
        <v>C_</v>
      </c>
      <c r="AA45" s="97">
        <v>9.6442588257074746</v>
      </c>
      <c r="AB45" s="98">
        <v>9.5628427305637889</v>
      </c>
      <c r="AC45" s="99">
        <v>92.226530403092383</v>
      </c>
      <c r="AG45" s="78"/>
      <c r="AH45" s="4">
        <f t="shared" si="15"/>
        <v>0.02</v>
      </c>
      <c r="AI45" s="8">
        <f t="shared" ca="1" si="16"/>
        <v>0.02</v>
      </c>
      <c r="AJ45" s="4">
        <f t="shared" ca="1" si="7"/>
        <v>0</v>
      </c>
      <c r="AK45" s="4">
        <f t="shared" ca="1" si="17"/>
        <v>0</v>
      </c>
    </row>
    <row r="46" spans="2:37" x14ac:dyDescent="0.2">
      <c r="B46" s="4" t="s">
        <v>89</v>
      </c>
      <c r="C46" s="4">
        <v>0.84594615337373491</v>
      </c>
      <c r="D46" s="4" t="s">
        <v>31</v>
      </c>
      <c r="E46" s="4" t="s">
        <v>31</v>
      </c>
      <c r="P46" s="4" t="str">
        <f ca="1"/>
        <v>E</v>
      </c>
      <c r="Q46" s="79" cm="1">
        <f t="array" aca="1" ref="Q46:V46" ca="1">INDIRECT(P46)</f>
        <v>0</v>
      </c>
      <c r="R46" s="79">
        <f ca="1"/>
        <v>0</v>
      </c>
      <c r="S46" s="79">
        <f ca="1"/>
        <v>0</v>
      </c>
      <c r="T46" s="79">
        <f ca="1"/>
        <v>0.12</v>
      </c>
      <c r="U46" s="79">
        <f ca="1"/>
        <v>0.36</v>
      </c>
      <c r="V46" s="79">
        <f ca="1"/>
        <v>1</v>
      </c>
      <c r="W46" s="78">
        <f t="shared" ca="1" si="12"/>
        <v>0.90122670638352198</v>
      </c>
      <c r="X46" s="4" cm="1">
        <f t="array" aca="1" ref="X46" ca="1">MIN(SUM((Q46:V46&lt;W46)+0)+1,6)</f>
        <v>6</v>
      </c>
      <c r="Y46" s="4" t="str">
        <f t="shared" ca="1" si="6"/>
        <v>F</v>
      </c>
      <c r="AA46" s="97">
        <v>14.543691075171283</v>
      </c>
      <c r="AB46" s="98">
        <v>3.5512028209207998</v>
      </c>
      <c r="AC46" s="99">
        <v>51.647596772748919</v>
      </c>
      <c r="AG46" s="78"/>
      <c r="AH46" s="4">
        <f t="shared" si="15"/>
        <v>0.08</v>
      </c>
      <c r="AI46" s="8" t="str">
        <f t="shared" ca="1" si="16"/>
        <v>N/A</v>
      </c>
      <c r="AJ46" s="4">
        <f t="shared" ca="1" si="7"/>
        <v>0</v>
      </c>
      <c r="AK46" s="4">
        <f t="shared" ca="1" si="17"/>
        <v>0</v>
      </c>
    </row>
    <row r="47" spans="2:37" x14ac:dyDescent="0.2">
      <c r="B47" s="4" t="s">
        <v>88</v>
      </c>
      <c r="C47" s="4">
        <v>0.86957152007842897</v>
      </c>
      <c r="D47" s="4" t="s">
        <v>31</v>
      </c>
      <c r="E47" s="4" t="s">
        <v>27</v>
      </c>
      <c r="P47" s="4" t="str">
        <f ca="1"/>
        <v>F</v>
      </c>
      <c r="Q47" s="79" cm="1">
        <f t="array" aca="1" ref="Q47:V47" ca="1">INDIRECT(P47)</f>
        <v>0</v>
      </c>
      <c r="R47" s="79">
        <f ca="1"/>
        <v>0</v>
      </c>
      <c r="S47" s="79">
        <f ca="1"/>
        <v>0</v>
      </c>
      <c r="T47" s="79">
        <f ca="1"/>
        <v>0</v>
      </c>
      <c r="U47" s="79">
        <f ca="1"/>
        <v>0</v>
      </c>
      <c r="V47" s="79">
        <f ca="1"/>
        <v>0</v>
      </c>
      <c r="W47" s="78">
        <f t="shared" ca="1" si="12"/>
        <v>0.14925605537867148</v>
      </c>
      <c r="X47" s="4" cm="1">
        <f t="array" aca="1" ref="X47" ca="1">MIN(SUM((Q47:V47&lt;W47)+0)+1,6)</f>
        <v>6</v>
      </c>
      <c r="Y47" s="4" t="str">
        <f t="shared" ca="1" si="6"/>
        <v>F</v>
      </c>
      <c r="AA47" s="97">
        <v>23.899388938944831</v>
      </c>
      <c r="AB47" s="98">
        <v>2.9720115944967027</v>
      </c>
      <c r="AC47" s="99">
        <v>71.029261027930289</v>
      </c>
      <c r="AG47" s="78"/>
      <c r="AH47" s="4">
        <f t="shared" si="15"/>
        <v>0.08</v>
      </c>
      <c r="AI47" s="8" t="str">
        <f t="shared" ca="1" si="16"/>
        <v>N/A</v>
      </c>
      <c r="AJ47" s="4">
        <f t="shared" ca="1" si="7"/>
        <v>0</v>
      </c>
      <c r="AK47" s="4">
        <f t="shared" ca="1" si="17"/>
        <v>0</v>
      </c>
    </row>
    <row r="48" spans="2:37" x14ac:dyDescent="0.2">
      <c r="B48" s="4" t="s">
        <v>87</v>
      </c>
      <c r="C48" s="4">
        <v>0.24226555051074961</v>
      </c>
      <c r="D48" s="4" t="s">
        <v>36</v>
      </c>
      <c r="E48" s="4" t="s">
        <v>36</v>
      </c>
      <c r="P48" s="4" t="str">
        <f ca="1"/>
        <v>B</v>
      </c>
      <c r="Q48" s="79" cm="1">
        <f t="array" aca="1" ref="Q48:V48" ca="1">INDIRECT(P48)</f>
        <v>9.5238095238095233E-2</v>
      </c>
      <c r="R48" s="79">
        <f ca="1"/>
        <v>0.61904761904761907</v>
      </c>
      <c r="S48" s="79">
        <f ca="1"/>
        <v>0.90476190476190477</v>
      </c>
      <c r="T48" s="79">
        <f ca="1"/>
        <v>1</v>
      </c>
      <c r="U48" s="79">
        <f ca="1"/>
        <v>1</v>
      </c>
      <c r="V48" s="79">
        <f ca="1"/>
        <v>1</v>
      </c>
      <c r="W48" s="78">
        <f t="shared" ca="1" si="12"/>
        <v>0.75704699447105017</v>
      </c>
      <c r="X48" s="4" cm="1">
        <f t="array" aca="1" ref="X48" ca="1">MIN(SUM((Q48:V48&lt;W48)+0)+1,6)</f>
        <v>3</v>
      </c>
      <c r="Y48" s="4" t="str">
        <f t="shared" ca="1" si="6"/>
        <v>C_</v>
      </c>
      <c r="AA48" s="97">
        <v>71.394255931414179</v>
      </c>
      <c r="AB48" s="98">
        <v>8.8153401585859292</v>
      </c>
      <c r="AC48" s="99">
        <v>629.36465140455709</v>
      </c>
      <c r="AG48" s="78"/>
      <c r="AH48" s="4">
        <f t="shared" si="15"/>
        <v>0.01</v>
      </c>
      <c r="AI48" s="8">
        <f t="shared" ca="1" si="16"/>
        <v>0.02</v>
      </c>
      <c r="AJ48" s="4">
        <f t="shared" ca="1" si="7"/>
        <v>0.01</v>
      </c>
      <c r="AK48" s="4">
        <f t="shared" ca="1" si="17"/>
        <v>-6.2936465140455713</v>
      </c>
    </row>
    <row r="49" spans="2:37" x14ac:dyDescent="0.2">
      <c r="B49" s="4" t="s">
        <v>86</v>
      </c>
      <c r="C49" s="4">
        <v>0.73988308548461668</v>
      </c>
      <c r="D49" s="4" t="s">
        <v>20</v>
      </c>
      <c r="E49" s="4" t="s">
        <v>31</v>
      </c>
      <c r="P49" s="4" t="str">
        <f ca="1"/>
        <v>E</v>
      </c>
      <c r="Q49" s="79" cm="1">
        <f t="array" aca="1" ref="Q49:V49" ca="1">INDIRECT(P49)</f>
        <v>0</v>
      </c>
      <c r="R49" s="79">
        <f ca="1"/>
        <v>0</v>
      </c>
      <c r="S49" s="79">
        <f ca="1"/>
        <v>0</v>
      </c>
      <c r="T49" s="79">
        <f ca="1"/>
        <v>0.12</v>
      </c>
      <c r="U49" s="79">
        <f ca="1"/>
        <v>0.36</v>
      </c>
      <c r="V49" s="79">
        <f ca="1"/>
        <v>1</v>
      </c>
      <c r="W49" s="78">
        <f t="shared" ca="1" si="12"/>
        <v>0.2022276191923027</v>
      </c>
      <c r="X49" s="4" cm="1">
        <f t="array" aca="1" ref="X49" ca="1">MIN(SUM((Q49:V49&lt;W49)+0)+1,6)</f>
        <v>5</v>
      </c>
      <c r="Y49" s="4" t="str">
        <f t="shared" ca="1" si="6"/>
        <v>E</v>
      </c>
      <c r="AA49" s="97">
        <v>61.495453505551026</v>
      </c>
      <c r="AB49" s="98">
        <v>3.8049899036922326</v>
      </c>
      <c r="AC49" s="99">
        <v>233.98957971159678</v>
      </c>
      <c r="AG49" s="78"/>
      <c r="AH49" s="4">
        <f t="shared" si="15"/>
        <v>0.04</v>
      </c>
      <c r="AI49" s="8">
        <f t="shared" ca="1" si="16"/>
        <v>0.08</v>
      </c>
      <c r="AJ49" s="4">
        <f t="shared" ca="1" si="7"/>
        <v>0.04</v>
      </c>
      <c r="AK49" s="4">
        <f t="shared" ca="1" si="17"/>
        <v>-9.3595831884638709</v>
      </c>
    </row>
    <row r="50" spans="2:37" x14ac:dyDescent="0.2">
      <c r="B50" s="4" t="s">
        <v>85</v>
      </c>
      <c r="C50" s="4">
        <v>0.27086535835866432</v>
      </c>
      <c r="D50" s="4" t="s">
        <v>36</v>
      </c>
      <c r="E50" s="4" t="s">
        <v>36</v>
      </c>
      <c r="P50" s="4" t="str">
        <f ca="1"/>
        <v>B</v>
      </c>
      <c r="Q50" s="79" cm="1">
        <f t="array" aca="1" ref="Q50:V50" ca="1">INDIRECT(P50)</f>
        <v>9.5238095238095233E-2</v>
      </c>
      <c r="R50" s="79">
        <f ca="1"/>
        <v>0.61904761904761907</v>
      </c>
      <c r="S50" s="79">
        <f ca="1"/>
        <v>0.90476190476190477</v>
      </c>
      <c r="T50" s="79">
        <f ca="1"/>
        <v>1</v>
      </c>
      <c r="U50" s="79">
        <f ca="1"/>
        <v>1</v>
      </c>
      <c r="V50" s="79">
        <f ca="1"/>
        <v>1</v>
      </c>
      <c r="W50" s="78">
        <f t="shared" ca="1" si="12"/>
        <v>0.24217327890137841</v>
      </c>
      <c r="X50" s="4" cm="1">
        <f t="array" aca="1" ref="X50" ca="1">MIN(SUM((Q50:V50&lt;W50)+0)+1,6)</f>
        <v>2</v>
      </c>
      <c r="Y50" s="4" t="str">
        <f t="shared" ca="1" si="6"/>
        <v>B</v>
      </c>
      <c r="AA50" s="97">
        <v>44.889833123723179</v>
      </c>
      <c r="AB50" s="98">
        <v>9.5582436040277514</v>
      </c>
      <c r="AC50" s="99">
        <v>429.06796034070015</v>
      </c>
      <c r="AG50" s="78"/>
      <c r="AH50" s="4">
        <f t="shared" si="15"/>
        <v>0.01</v>
      </c>
      <c r="AI50" s="8">
        <f t="shared" ca="1" si="16"/>
        <v>0.01</v>
      </c>
      <c r="AJ50" s="4">
        <f t="shared" ca="1" si="7"/>
        <v>0</v>
      </c>
      <c r="AK50" s="4">
        <f t="shared" ca="1" si="17"/>
        <v>0</v>
      </c>
    </row>
    <row r="51" spans="2:37" x14ac:dyDescent="0.2">
      <c r="B51" s="4" t="s">
        <v>84</v>
      </c>
      <c r="C51" s="4">
        <v>0.52463050106771492</v>
      </c>
      <c r="D51" s="4" t="s">
        <v>21</v>
      </c>
      <c r="E51" s="4" t="s">
        <v>20</v>
      </c>
      <c r="P51" s="4" t="str">
        <f ca="1"/>
        <v>D</v>
      </c>
      <c r="Q51" s="79" cm="1">
        <f t="array" aca="1" ref="Q51:V51" ca="1">INDIRECT(P51)</f>
        <v>0</v>
      </c>
      <c r="R51" s="79">
        <f ca="1"/>
        <v>0</v>
      </c>
      <c r="S51" s="79">
        <f ca="1"/>
        <v>0.1</v>
      </c>
      <c r="T51" s="79">
        <f ca="1"/>
        <v>0.5</v>
      </c>
      <c r="U51" s="79">
        <f ca="1"/>
        <v>0.85</v>
      </c>
      <c r="V51" s="79">
        <f ca="1"/>
        <v>1</v>
      </c>
      <c r="W51" s="78">
        <f t="shared" ca="1" si="12"/>
        <v>0.83353567459493327</v>
      </c>
      <c r="X51" s="4" cm="1">
        <f t="array" aca="1" ref="X51" ca="1">MIN(SUM((Q51:V51&lt;W51)+0)+1,6)</f>
        <v>5</v>
      </c>
      <c r="Y51" s="4" t="str">
        <f t="shared" ca="1" si="6"/>
        <v>E</v>
      </c>
      <c r="AA51" s="97">
        <v>50.470138481801882</v>
      </c>
      <c r="AB51" s="98">
        <v>6.0564739366749079</v>
      </c>
      <c r="AC51" s="99">
        <v>305.6710782954064</v>
      </c>
      <c r="AG51" s="78"/>
      <c r="AH51" s="4">
        <f t="shared" si="15"/>
        <v>0.02</v>
      </c>
      <c r="AI51" s="8">
        <f t="shared" ca="1" si="16"/>
        <v>0.08</v>
      </c>
      <c r="AJ51" s="4">
        <f t="shared" ca="1" si="7"/>
        <v>0.06</v>
      </c>
      <c r="AK51" s="4">
        <f t="shared" ca="1" si="17"/>
        <v>-18.340264697724383</v>
      </c>
    </row>
    <row r="52" spans="2:37" x14ac:dyDescent="0.2">
      <c r="B52" s="4" t="s">
        <v>83</v>
      </c>
      <c r="C52" s="4">
        <v>0.32596892448905102</v>
      </c>
      <c r="D52" s="4" t="s">
        <v>36</v>
      </c>
      <c r="E52" s="4" t="s">
        <v>36</v>
      </c>
      <c r="P52" s="4" t="str">
        <f ca="1"/>
        <v>B</v>
      </c>
      <c r="Q52" s="79" cm="1">
        <f t="array" aca="1" ref="Q52:V52" ca="1">INDIRECT(P52)</f>
        <v>9.5238095238095233E-2</v>
      </c>
      <c r="R52" s="79">
        <f ca="1"/>
        <v>0.61904761904761907</v>
      </c>
      <c r="S52" s="79">
        <f ca="1"/>
        <v>0.90476190476190477</v>
      </c>
      <c r="T52" s="79">
        <f ca="1"/>
        <v>1</v>
      </c>
      <c r="U52" s="79">
        <f ca="1"/>
        <v>1</v>
      </c>
      <c r="V52" s="79">
        <f ca="1"/>
        <v>1</v>
      </c>
      <c r="W52" s="78">
        <f t="shared" ca="1" si="12"/>
        <v>0.41457498434194284</v>
      </c>
      <c r="X52" s="4" cm="1">
        <f t="array" aca="1" ref="X52" ca="1">MIN(SUM((Q52:V52&lt;W52)+0)+1,6)</f>
        <v>2</v>
      </c>
      <c r="Y52" s="4" t="str">
        <f t="shared" ca="1" si="6"/>
        <v>B</v>
      </c>
      <c r="AA52" s="97">
        <v>93.672740630001144</v>
      </c>
      <c r="AB52" s="98">
        <v>8.6096086213825274</v>
      </c>
      <c r="AC52" s="99">
        <v>806.48563531658715</v>
      </c>
      <c r="AG52" s="78"/>
      <c r="AH52" s="4">
        <f t="shared" si="15"/>
        <v>0.01</v>
      </c>
      <c r="AI52" s="8">
        <f t="shared" ca="1" si="16"/>
        <v>0.01</v>
      </c>
      <c r="AJ52" s="4">
        <f t="shared" ca="1" si="7"/>
        <v>0</v>
      </c>
      <c r="AK52" s="4">
        <f t="shared" ca="1" si="17"/>
        <v>0</v>
      </c>
    </row>
    <row r="53" spans="2:37" x14ac:dyDescent="0.2">
      <c r="B53" s="4" t="s">
        <v>82</v>
      </c>
      <c r="C53" s="4">
        <v>9.9770131781005578E-2</v>
      </c>
      <c r="D53" s="4" t="s">
        <v>23</v>
      </c>
      <c r="E53" s="4" t="s">
        <v>23</v>
      </c>
      <c r="P53" s="4" t="str">
        <f ca="1"/>
        <v>A</v>
      </c>
      <c r="Q53" s="79" cm="1">
        <f t="array" aca="1" ref="Q53:V53" ca="1">INDIRECT(P53)</f>
        <v>0.53846153846153844</v>
      </c>
      <c r="R53" s="79">
        <f ca="1"/>
        <v>0.84615384615384615</v>
      </c>
      <c r="S53" s="79">
        <f ca="1"/>
        <v>1</v>
      </c>
      <c r="T53" s="79">
        <f ca="1"/>
        <v>1</v>
      </c>
      <c r="U53" s="79">
        <f ca="1"/>
        <v>1</v>
      </c>
      <c r="V53" s="79">
        <f ca="1"/>
        <v>1</v>
      </c>
      <c r="W53" s="78">
        <f t="shared" ca="1" si="12"/>
        <v>0.87994198319008798</v>
      </c>
      <c r="X53" s="4" cm="1">
        <f t="array" aca="1" ref="X53" ca="1">MIN(SUM((Q53:V53&lt;W53)+0)+1,6)</f>
        <v>3</v>
      </c>
      <c r="Y53" s="4" t="str">
        <f t="shared" ca="1" si="6"/>
        <v>C_</v>
      </c>
      <c r="AA53" s="97">
        <v>36.368657808978199</v>
      </c>
      <c r="AB53" s="98">
        <v>12.3989274863437</v>
      </c>
      <c r="AC53" s="99">
        <v>450.93235094916821</v>
      </c>
      <c r="AG53" s="78"/>
      <c r="AH53" s="4">
        <f t="shared" si="15"/>
        <v>5.0000000000000001E-3</v>
      </c>
      <c r="AI53" s="8">
        <f t="shared" ca="1" si="16"/>
        <v>0.02</v>
      </c>
      <c r="AJ53" s="4">
        <f t="shared" ca="1" si="7"/>
        <v>1.4999999999999999E-2</v>
      </c>
      <c r="AK53" s="4">
        <f t="shared" ca="1" si="17"/>
        <v>-6.7639852642375233</v>
      </c>
    </row>
    <row r="54" spans="2:37" x14ac:dyDescent="0.2">
      <c r="B54" s="4" t="s">
        <v>81</v>
      </c>
      <c r="C54" s="4">
        <v>0.93095117946155259</v>
      </c>
      <c r="D54" s="4" t="s">
        <v>31</v>
      </c>
      <c r="E54" s="4" t="s">
        <v>31</v>
      </c>
      <c r="P54" s="4" t="str">
        <f ca="1"/>
        <v>E</v>
      </c>
      <c r="Q54" s="79" cm="1">
        <f t="array" aca="1" ref="Q54:V54" ca="1">INDIRECT(P54)</f>
        <v>0</v>
      </c>
      <c r="R54" s="79">
        <f ca="1"/>
        <v>0</v>
      </c>
      <c r="S54" s="79">
        <f ca="1"/>
        <v>0</v>
      </c>
      <c r="T54" s="79">
        <f ca="1"/>
        <v>0.12</v>
      </c>
      <c r="U54" s="79">
        <f ca="1"/>
        <v>0.36</v>
      </c>
      <c r="V54" s="79">
        <f ca="1"/>
        <v>1</v>
      </c>
      <c r="W54" s="78">
        <f t="shared" ca="1" si="12"/>
        <v>0.53719988246237238</v>
      </c>
      <c r="X54" s="4" cm="1">
        <f t="array" aca="1" ref="X54" ca="1">MIN(SUM((Q54:V54&lt;W54)+0)+1,6)</f>
        <v>6</v>
      </c>
      <c r="Y54" s="4" t="str">
        <f t="shared" ca="1" si="6"/>
        <v>F</v>
      </c>
      <c r="AA54" s="97">
        <v>9.9536617596477246</v>
      </c>
      <c r="AB54" s="98">
        <v>1.9161232820866372</v>
      </c>
      <c r="AC54" s="99">
        <v>19.07244303967645</v>
      </c>
      <c r="AG54" s="78"/>
      <c r="AH54" s="4">
        <f t="shared" si="15"/>
        <v>0.08</v>
      </c>
      <c r="AI54" s="8" t="str">
        <f t="shared" ca="1" si="16"/>
        <v>N/A</v>
      </c>
      <c r="AJ54" s="4">
        <f t="shared" ca="1" si="7"/>
        <v>0</v>
      </c>
      <c r="AK54" s="4">
        <f t="shared" ca="1" si="17"/>
        <v>0</v>
      </c>
    </row>
    <row r="55" spans="2:37" x14ac:dyDescent="0.2">
      <c r="B55" s="4" t="s">
        <v>80</v>
      </c>
      <c r="C55" s="4">
        <v>0.90830874893691682</v>
      </c>
      <c r="D55" s="4" t="s">
        <v>31</v>
      </c>
      <c r="E55" s="4" t="s">
        <v>31</v>
      </c>
      <c r="P55" s="4" t="str">
        <f ca="1"/>
        <v>E</v>
      </c>
      <c r="Q55" s="79" cm="1">
        <f t="array" aca="1" ref="Q55:V55" ca="1">INDIRECT(P55)</f>
        <v>0</v>
      </c>
      <c r="R55" s="79">
        <f ca="1"/>
        <v>0</v>
      </c>
      <c r="S55" s="79">
        <f ca="1"/>
        <v>0</v>
      </c>
      <c r="T55" s="79">
        <f ca="1"/>
        <v>0.12</v>
      </c>
      <c r="U55" s="79">
        <f ca="1"/>
        <v>0.36</v>
      </c>
      <c r="V55" s="79">
        <f ca="1"/>
        <v>1</v>
      </c>
      <c r="W55" s="78">
        <f t="shared" ca="1" si="12"/>
        <v>0.64280047364320081</v>
      </c>
      <c r="X55" s="4" cm="1">
        <f t="array" aca="1" ref="X55" ca="1">MIN(SUM((Q55:V55&lt;W55)+0)+1,6)</f>
        <v>6</v>
      </c>
      <c r="Y55" s="4" t="str">
        <f t="shared" ca="1" si="6"/>
        <v>F</v>
      </c>
      <c r="AA55" s="97">
        <v>43.509889242414786</v>
      </c>
      <c r="AB55" s="98">
        <v>2.0485582183711153</v>
      </c>
      <c r="AC55" s="99">
        <v>89.132541187965785</v>
      </c>
      <c r="AG55" s="78"/>
      <c r="AH55" s="4">
        <f t="shared" si="15"/>
        <v>0.08</v>
      </c>
      <c r="AI55" s="8" t="str">
        <f t="shared" ca="1" si="16"/>
        <v>N/A</v>
      </c>
      <c r="AJ55" s="4">
        <f t="shared" ca="1" si="7"/>
        <v>0</v>
      </c>
      <c r="AK55" s="4">
        <f t="shared" ca="1" si="17"/>
        <v>0</v>
      </c>
    </row>
    <row r="56" spans="2:37" x14ac:dyDescent="0.2">
      <c r="B56" s="4" t="s">
        <v>79</v>
      </c>
      <c r="C56" s="4">
        <v>0.73348855941533408</v>
      </c>
      <c r="D56" s="4" t="s">
        <v>20</v>
      </c>
      <c r="E56" s="4" t="s">
        <v>20</v>
      </c>
      <c r="P56" s="4" t="str">
        <f ca="1"/>
        <v>D</v>
      </c>
      <c r="Q56" s="79" cm="1">
        <f t="array" aca="1" ref="Q56:V56" ca="1">INDIRECT(P56)</f>
        <v>0</v>
      </c>
      <c r="R56" s="79">
        <f ca="1"/>
        <v>0</v>
      </c>
      <c r="S56" s="79">
        <f ca="1"/>
        <v>0.1</v>
      </c>
      <c r="T56" s="79">
        <f ca="1"/>
        <v>0.5</v>
      </c>
      <c r="U56" s="79">
        <f ca="1"/>
        <v>0.85</v>
      </c>
      <c r="V56" s="79">
        <f ca="1"/>
        <v>1</v>
      </c>
      <c r="W56" s="78">
        <f t="shared" ca="1" si="12"/>
        <v>8.478217905339902E-2</v>
      </c>
      <c r="X56" s="4" cm="1">
        <f t="array" aca="1" ref="X56" ca="1">MIN(SUM((Q56:V56&lt;W56)+0)+1,6)</f>
        <v>3</v>
      </c>
      <c r="Y56" s="4" t="str">
        <f t="shared" ca="1" si="6"/>
        <v>C_</v>
      </c>
      <c r="AA56" s="97">
        <v>36.493712381663144</v>
      </c>
      <c r="AB56" s="98">
        <v>7.7824519823070579</v>
      </c>
      <c r="AC56" s="99">
        <v>284.01056426641799</v>
      </c>
      <c r="AG56" s="78"/>
      <c r="AH56" s="4">
        <f t="shared" si="15"/>
        <v>0.04</v>
      </c>
      <c r="AI56" s="8">
        <f t="shared" ca="1" si="16"/>
        <v>0.02</v>
      </c>
      <c r="AJ56" s="4">
        <f t="shared" ca="1" si="7"/>
        <v>-0.02</v>
      </c>
      <c r="AK56" s="4">
        <f t="shared" ca="1" si="17"/>
        <v>5.6802112853283599</v>
      </c>
    </row>
    <row r="57" spans="2:37" x14ac:dyDescent="0.2">
      <c r="B57" s="4" t="s">
        <v>78</v>
      </c>
      <c r="C57" s="4">
        <v>0.89357778535202403</v>
      </c>
      <c r="D57" s="4" t="s">
        <v>31</v>
      </c>
      <c r="E57" s="4" t="s">
        <v>27</v>
      </c>
      <c r="P57" s="4" t="str">
        <f ca="1"/>
        <v>F</v>
      </c>
      <c r="Q57" s="79" cm="1">
        <f t="array" aca="1" ref="Q57:V57" ca="1">INDIRECT(P57)</f>
        <v>0</v>
      </c>
      <c r="R57" s="79">
        <f ca="1"/>
        <v>0</v>
      </c>
      <c r="S57" s="79">
        <f ca="1"/>
        <v>0</v>
      </c>
      <c r="T57" s="79">
        <f ca="1"/>
        <v>0</v>
      </c>
      <c r="U57" s="79">
        <f ca="1"/>
        <v>0</v>
      </c>
      <c r="V57" s="79">
        <f ca="1"/>
        <v>0</v>
      </c>
      <c r="W57" s="78">
        <f t="shared" ca="1" si="12"/>
        <v>0.52811363571899239</v>
      </c>
      <c r="X57" s="4" cm="1">
        <f t="array" aca="1" ref="X57" ca="1">MIN(SUM((Q57:V57&lt;W57)+0)+1,6)</f>
        <v>6</v>
      </c>
      <c r="Y57" s="4" t="str">
        <f t="shared" ca="1" si="6"/>
        <v>F</v>
      </c>
      <c r="AA57" s="97">
        <v>39.272391384318439</v>
      </c>
      <c r="AB57" s="98">
        <v>0.39515078209381382</v>
      </c>
      <c r="AC57" s="99">
        <v>15.518516170207787</v>
      </c>
      <c r="AG57" s="78"/>
      <c r="AH57" s="4">
        <f t="shared" si="15"/>
        <v>0.08</v>
      </c>
      <c r="AI57" s="8" t="str">
        <f t="shared" ca="1" si="16"/>
        <v>N/A</v>
      </c>
      <c r="AJ57" s="4">
        <f t="shared" ca="1" si="7"/>
        <v>0</v>
      </c>
      <c r="AK57" s="4">
        <f t="shared" ca="1" si="17"/>
        <v>0</v>
      </c>
    </row>
    <row r="58" spans="2:37" x14ac:dyDescent="0.2">
      <c r="B58" s="4" t="s">
        <v>77</v>
      </c>
      <c r="C58" s="4">
        <v>0.52346847344780068</v>
      </c>
      <c r="D58" s="4" t="s">
        <v>21</v>
      </c>
      <c r="E58" s="4" t="s">
        <v>31</v>
      </c>
      <c r="P58" s="4" t="str">
        <f ca="1"/>
        <v>E</v>
      </c>
      <c r="Q58" s="79" cm="1">
        <f t="array" aca="1" ref="Q58:V58" ca="1">INDIRECT(P58)</f>
        <v>0</v>
      </c>
      <c r="R58" s="79">
        <f ca="1"/>
        <v>0</v>
      </c>
      <c r="S58" s="79">
        <f ca="1"/>
        <v>0</v>
      </c>
      <c r="T58" s="79">
        <f ca="1"/>
        <v>0.12</v>
      </c>
      <c r="U58" s="79">
        <f ca="1"/>
        <v>0.36</v>
      </c>
      <c r="V58" s="79">
        <f ca="1"/>
        <v>1</v>
      </c>
      <c r="W58" s="78">
        <f t="shared" ca="1" si="12"/>
        <v>0.19282099622085835</v>
      </c>
      <c r="X58" s="4" cm="1">
        <f t="array" aca="1" ref="X58" ca="1">MIN(SUM((Q58:V58&lt;W58)+0)+1,6)</f>
        <v>5</v>
      </c>
      <c r="Y58" s="4" t="str">
        <f t="shared" ca="1" si="6"/>
        <v>E</v>
      </c>
      <c r="AA58" s="97">
        <v>81.916094566727949</v>
      </c>
      <c r="AB58" s="98">
        <v>1.8901120390004595</v>
      </c>
      <c r="AC58" s="99">
        <v>154.83059652847263</v>
      </c>
      <c r="AG58" s="78"/>
      <c r="AH58" s="4">
        <f t="shared" si="15"/>
        <v>0.02</v>
      </c>
      <c r="AI58" s="8">
        <f t="shared" ca="1" si="16"/>
        <v>0.08</v>
      </c>
      <c r="AJ58" s="4">
        <f t="shared" ca="1" si="7"/>
        <v>0.06</v>
      </c>
      <c r="AK58" s="4">
        <f t="shared" ca="1" si="17"/>
        <v>-9.2898357917083576</v>
      </c>
    </row>
    <row r="59" spans="2:37" x14ac:dyDescent="0.2">
      <c r="B59" s="4" t="s">
        <v>76</v>
      </c>
      <c r="C59" s="4">
        <v>0.76656607302887836</v>
      </c>
      <c r="D59" s="4" t="s">
        <v>20</v>
      </c>
      <c r="E59" s="4" t="s">
        <v>20</v>
      </c>
      <c r="P59" s="4" t="str">
        <f ca="1"/>
        <v>D</v>
      </c>
      <c r="Q59" s="79" cm="1">
        <f t="array" aca="1" ref="Q59:V59" ca="1">INDIRECT(P59)</f>
        <v>0</v>
      </c>
      <c r="R59" s="79">
        <f ca="1"/>
        <v>0</v>
      </c>
      <c r="S59" s="79">
        <f ca="1"/>
        <v>0.1</v>
      </c>
      <c r="T59" s="79">
        <f ca="1"/>
        <v>0.5</v>
      </c>
      <c r="U59" s="79">
        <f ca="1"/>
        <v>0.85</v>
      </c>
      <c r="V59" s="79">
        <f ca="1"/>
        <v>1</v>
      </c>
      <c r="W59" s="78">
        <f t="shared" ca="1" si="12"/>
        <v>0.32731207353943637</v>
      </c>
      <c r="X59" s="4" cm="1">
        <f t="array" aca="1" ref="X59" ca="1">MIN(SUM((Q59:V59&lt;W59)+0)+1,6)</f>
        <v>4</v>
      </c>
      <c r="Y59" s="4" t="str">
        <f t="shared" ca="1" si="6"/>
        <v>D</v>
      </c>
      <c r="AA59" s="97">
        <v>17.547757976448196</v>
      </c>
      <c r="AB59" s="98">
        <v>5.3362822973589097</v>
      </c>
      <c r="AC59" s="99">
        <v>93.639790248059114</v>
      </c>
      <c r="AG59" s="78"/>
      <c r="AH59" s="4">
        <f t="shared" si="15"/>
        <v>0.04</v>
      </c>
      <c r="AI59" s="8">
        <f t="shared" ca="1" si="16"/>
        <v>0.04</v>
      </c>
      <c r="AJ59" s="4">
        <f t="shared" ca="1" si="7"/>
        <v>0</v>
      </c>
      <c r="AK59" s="4">
        <f t="shared" ca="1" si="17"/>
        <v>0</v>
      </c>
    </row>
    <row r="60" spans="2:37" x14ac:dyDescent="0.2">
      <c r="B60" s="4" t="s">
        <v>75</v>
      </c>
      <c r="C60" s="4">
        <v>0.80003286318070632</v>
      </c>
      <c r="D60" s="4" t="s">
        <v>31</v>
      </c>
      <c r="E60" s="4" t="s">
        <v>27</v>
      </c>
      <c r="P60" s="4" t="str">
        <f ca="1"/>
        <v>F</v>
      </c>
      <c r="Q60" s="79" cm="1">
        <f t="array" aca="1" ref="Q60:V60" ca="1">INDIRECT(P60)</f>
        <v>0</v>
      </c>
      <c r="R60" s="79">
        <f ca="1"/>
        <v>0</v>
      </c>
      <c r="S60" s="79">
        <f ca="1"/>
        <v>0</v>
      </c>
      <c r="T60" s="79">
        <f ca="1"/>
        <v>0</v>
      </c>
      <c r="U60" s="79">
        <f ca="1"/>
        <v>0</v>
      </c>
      <c r="V60" s="79">
        <f ca="1"/>
        <v>0</v>
      </c>
      <c r="W60" s="78">
        <f t="shared" ca="1" si="12"/>
        <v>0.35194946504671443</v>
      </c>
      <c r="X60" s="4" cm="1">
        <f t="array" aca="1" ref="X60" ca="1">MIN(SUM((Q60:V60&lt;W60)+0)+1,6)</f>
        <v>6</v>
      </c>
      <c r="Y60" s="4" t="str">
        <f t="shared" ca="1" si="6"/>
        <v>F</v>
      </c>
      <c r="AA60" s="97">
        <v>27.00156976124531</v>
      </c>
      <c r="AB60" s="98">
        <v>2.0118084551317819</v>
      </c>
      <c r="AC60" s="99">
        <v>54.321986347503966</v>
      </c>
      <c r="AG60" s="78"/>
      <c r="AH60" s="4">
        <f t="shared" si="15"/>
        <v>0.08</v>
      </c>
      <c r="AI60" s="8" t="str">
        <f t="shared" ca="1" si="16"/>
        <v>N/A</v>
      </c>
      <c r="AJ60" s="4">
        <f t="shared" ca="1" si="7"/>
        <v>0</v>
      </c>
      <c r="AK60" s="4">
        <f t="shared" ca="1" si="17"/>
        <v>0</v>
      </c>
    </row>
    <row r="61" spans="2:37" x14ac:dyDescent="0.2">
      <c r="B61" s="4" t="s">
        <v>74</v>
      </c>
      <c r="C61" s="4">
        <v>0.3892708311063463</v>
      </c>
      <c r="D61" s="4" t="s">
        <v>36</v>
      </c>
      <c r="E61" s="4" t="s">
        <v>20</v>
      </c>
      <c r="P61" s="4" t="str">
        <f ca="1"/>
        <v>D</v>
      </c>
      <c r="Q61" s="79" cm="1">
        <f t="array" aca="1" ref="Q61:V61" ca="1">INDIRECT(P61)</f>
        <v>0</v>
      </c>
      <c r="R61" s="79">
        <f ca="1"/>
        <v>0</v>
      </c>
      <c r="S61" s="79">
        <f ca="1"/>
        <v>0.1</v>
      </c>
      <c r="T61" s="79">
        <f ca="1"/>
        <v>0.5</v>
      </c>
      <c r="U61" s="79">
        <f ca="1"/>
        <v>0.85</v>
      </c>
      <c r="V61" s="79">
        <f ca="1"/>
        <v>1</v>
      </c>
      <c r="W61" s="78">
        <f t="shared" ca="1" si="12"/>
        <v>0.61978591335413402</v>
      </c>
      <c r="X61" s="4" cm="1">
        <f t="array" aca="1" ref="X61" ca="1">MIN(SUM((Q61:V61&lt;W61)+0)+1,6)</f>
        <v>5</v>
      </c>
      <c r="Y61" s="4" t="str">
        <f t="shared" ca="1" si="6"/>
        <v>E</v>
      </c>
      <c r="AA61" s="97">
        <v>86.088366895490026</v>
      </c>
      <c r="AB61" s="98">
        <v>6.9113168477631826</v>
      </c>
      <c r="AC61" s="99">
        <v>594.98398052121843</v>
      </c>
      <c r="AG61" s="78"/>
      <c r="AH61" s="4">
        <f t="shared" si="15"/>
        <v>0.01</v>
      </c>
      <c r="AI61" s="8">
        <f t="shared" ca="1" si="16"/>
        <v>0.08</v>
      </c>
      <c r="AJ61" s="4">
        <f t="shared" ca="1" si="7"/>
        <v>7.0000000000000007E-2</v>
      </c>
      <c r="AK61" s="4">
        <f t="shared" ca="1" si="17"/>
        <v>-41.648878636485293</v>
      </c>
    </row>
    <row r="62" spans="2:37" x14ac:dyDescent="0.2">
      <c r="B62" s="4" t="s">
        <v>73</v>
      </c>
      <c r="C62" s="4">
        <v>0.87159427427051139</v>
      </c>
      <c r="D62" s="4" t="s">
        <v>31</v>
      </c>
      <c r="E62" s="4" t="s">
        <v>27</v>
      </c>
      <c r="P62" s="4" t="str">
        <f ca="1"/>
        <v>F</v>
      </c>
      <c r="Q62" s="79" cm="1">
        <f t="array" aca="1" ref="Q62:V62" ca="1">INDIRECT(P62)</f>
        <v>0</v>
      </c>
      <c r="R62" s="79">
        <f ca="1"/>
        <v>0</v>
      </c>
      <c r="S62" s="79">
        <f ca="1"/>
        <v>0</v>
      </c>
      <c r="T62" s="79">
        <f ca="1"/>
        <v>0</v>
      </c>
      <c r="U62" s="79">
        <f ca="1"/>
        <v>0</v>
      </c>
      <c r="V62" s="79">
        <f ca="1"/>
        <v>0</v>
      </c>
      <c r="W62" s="78">
        <f t="shared" ca="1" si="12"/>
        <v>0.68564243708985573</v>
      </c>
      <c r="X62" s="4" cm="1">
        <f t="array" aca="1" ref="X62" ca="1">MIN(SUM((Q62:V62&lt;W62)+0)+1,6)</f>
        <v>6</v>
      </c>
      <c r="Y62" s="4" t="str">
        <f t="shared" ca="1" si="6"/>
        <v>F</v>
      </c>
      <c r="AA62" s="97">
        <v>2.3364521983521791</v>
      </c>
      <c r="AB62" s="98">
        <v>1.707253877523514</v>
      </c>
      <c r="AC62" s="99">
        <v>3.9889170752850962</v>
      </c>
      <c r="AG62" s="78"/>
      <c r="AH62" s="4">
        <f t="shared" si="15"/>
        <v>0.08</v>
      </c>
      <c r="AI62" s="8" t="str">
        <f t="shared" ca="1" si="16"/>
        <v>N/A</v>
      </c>
      <c r="AJ62" s="4">
        <f t="shared" ca="1" si="7"/>
        <v>0</v>
      </c>
      <c r="AK62" s="4">
        <f t="shared" ca="1" si="17"/>
        <v>0</v>
      </c>
    </row>
    <row r="63" spans="2:37" x14ac:dyDescent="0.2">
      <c r="B63" s="4" t="s">
        <v>72</v>
      </c>
      <c r="C63" s="4">
        <v>0.76945535483045513</v>
      </c>
      <c r="D63" s="4" t="s">
        <v>20</v>
      </c>
      <c r="E63" s="4" t="s">
        <v>31</v>
      </c>
      <c r="P63" s="4" t="str">
        <f ca="1"/>
        <v>E</v>
      </c>
      <c r="Q63" s="79" cm="1">
        <f t="array" aca="1" ref="Q63:V63" ca="1">INDIRECT(P63)</f>
        <v>0</v>
      </c>
      <c r="R63" s="79">
        <f ca="1"/>
        <v>0</v>
      </c>
      <c r="S63" s="79">
        <f ca="1"/>
        <v>0</v>
      </c>
      <c r="T63" s="79">
        <f ca="1"/>
        <v>0.12</v>
      </c>
      <c r="U63" s="79">
        <f ca="1"/>
        <v>0.36</v>
      </c>
      <c r="V63" s="79">
        <f ca="1"/>
        <v>1</v>
      </c>
      <c r="W63" s="78">
        <f t="shared" ca="1" si="12"/>
        <v>0.23817061224652281</v>
      </c>
      <c r="X63" s="4" cm="1">
        <f t="array" aca="1" ref="X63" ca="1">MIN(SUM((Q63:V63&lt;W63)+0)+1,6)</f>
        <v>5</v>
      </c>
      <c r="Y63" s="4" t="str">
        <f t="shared" ca="1" si="6"/>
        <v>E</v>
      </c>
      <c r="AA63" s="97">
        <v>36.894824773996859</v>
      </c>
      <c r="AB63" s="98">
        <v>3.1701762274239376</v>
      </c>
      <c r="AC63" s="99">
        <v>116.96309641349659</v>
      </c>
      <c r="AG63" s="78"/>
      <c r="AH63" s="4">
        <f t="shared" si="15"/>
        <v>0.04</v>
      </c>
      <c r="AI63" s="8">
        <f t="shared" ca="1" si="16"/>
        <v>0.08</v>
      </c>
      <c r="AJ63" s="4">
        <f t="shared" ca="1" si="7"/>
        <v>0.04</v>
      </c>
      <c r="AK63" s="4">
        <f t="shared" ca="1" si="17"/>
        <v>-4.6785238565398632</v>
      </c>
    </row>
    <row r="64" spans="2:37" x14ac:dyDescent="0.2">
      <c r="B64" s="4" t="s">
        <v>71</v>
      </c>
      <c r="C64" s="4">
        <v>0.26480621363728485</v>
      </c>
      <c r="D64" s="4" t="s">
        <v>36</v>
      </c>
      <c r="E64" s="4" t="s">
        <v>261</v>
      </c>
      <c r="P64" s="4" t="str">
        <f ca="1"/>
        <v>C_</v>
      </c>
      <c r="Q64" s="79" cm="1">
        <f t="array" aca="1" ref="Q64:V64" ca="1">INDIRECT(P64)</f>
        <v>0</v>
      </c>
      <c r="R64" s="79">
        <f ca="1"/>
        <v>9.5238095238095233E-2</v>
      </c>
      <c r="S64" s="79">
        <f ca="1"/>
        <v>0.2857142857142857</v>
      </c>
      <c r="T64" s="79">
        <f ca="1"/>
        <v>0.71428571428571419</v>
      </c>
      <c r="U64" s="79">
        <f ca="1"/>
        <v>0.99999999999999989</v>
      </c>
      <c r="V64" s="79">
        <f ca="1"/>
        <v>0.99999999999999989</v>
      </c>
      <c r="W64" s="78">
        <f t="shared" ca="1" si="12"/>
        <v>0.4423434011677283</v>
      </c>
      <c r="X64" s="4" cm="1">
        <f t="array" aca="1" ref="X64" ca="1">MIN(SUM((Q64:V64&lt;W64)+0)+1,6)</f>
        <v>4</v>
      </c>
      <c r="Y64" s="4" t="str">
        <f t="shared" ca="1" si="6"/>
        <v>D</v>
      </c>
      <c r="AA64" s="97">
        <v>18.505649799476064</v>
      </c>
      <c r="AB64" s="98">
        <v>8.240817803401864</v>
      </c>
      <c r="AC64" s="99">
        <v>152.50168833104249</v>
      </c>
      <c r="AG64" s="78"/>
      <c r="AH64" s="4">
        <f t="shared" si="15"/>
        <v>0.01</v>
      </c>
      <c r="AI64" s="8">
        <f t="shared" ca="1" si="16"/>
        <v>0.04</v>
      </c>
      <c r="AJ64" s="4">
        <f t="shared" ca="1" si="7"/>
        <v>0.03</v>
      </c>
      <c r="AK64" s="4">
        <f t="shared" ca="1" si="17"/>
        <v>-4.5750506499312742</v>
      </c>
    </row>
    <row r="65" spans="2:37" x14ac:dyDescent="0.2">
      <c r="B65" s="4" t="s">
        <v>70</v>
      </c>
      <c r="C65" s="4">
        <v>0.32324350412310388</v>
      </c>
      <c r="D65" s="4" t="s">
        <v>36</v>
      </c>
      <c r="E65" s="4" t="s">
        <v>20</v>
      </c>
      <c r="P65" s="4" t="str">
        <f ca="1"/>
        <v>D</v>
      </c>
      <c r="Q65" s="79" cm="1">
        <f t="array" aca="1" ref="Q65:V65" ca="1">INDIRECT(P65)</f>
        <v>0</v>
      </c>
      <c r="R65" s="79">
        <f ca="1"/>
        <v>0</v>
      </c>
      <c r="S65" s="79">
        <f ca="1"/>
        <v>0.1</v>
      </c>
      <c r="T65" s="79">
        <f ca="1"/>
        <v>0.5</v>
      </c>
      <c r="U65" s="79">
        <f ca="1"/>
        <v>0.85</v>
      </c>
      <c r="V65" s="79">
        <f ca="1"/>
        <v>1</v>
      </c>
      <c r="W65" s="78">
        <f t="shared" ca="1" si="12"/>
        <v>2.1291509671096831E-2</v>
      </c>
      <c r="X65" s="4" cm="1">
        <f t="array" aca="1" ref="X65" ca="1">MIN(SUM((Q65:V65&lt;W65)+0)+1,6)</f>
        <v>3</v>
      </c>
      <c r="Y65" s="4" t="str">
        <f t="shared" ca="1" si="6"/>
        <v>C_</v>
      </c>
      <c r="AA65" s="97">
        <v>14.172183158684494</v>
      </c>
      <c r="AB65" s="98">
        <v>7.1352513619731521</v>
      </c>
      <c r="AC65" s="99">
        <v>101.1220891851365</v>
      </c>
      <c r="AG65" s="78"/>
      <c r="AH65" s="4">
        <f t="shared" si="15"/>
        <v>0.01</v>
      </c>
      <c r="AI65" s="8">
        <f t="shared" ca="1" si="16"/>
        <v>0.02</v>
      </c>
      <c r="AJ65" s="4">
        <f t="shared" ca="1" si="7"/>
        <v>0.01</v>
      </c>
      <c r="AK65" s="4">
        <f t="shared" ca="1" si="17"/>
        <v>-1.011220891851365</v>
      </c>
    </row>
    <row r="66" spans="2:37" x14ac:dyDescent="0.2">
      <c r="B66" s="4" t="s">
        <v>69</v>
      </c>
      <c r="C66" s="4">
        <v>0.15627153384850234</v>
      </c>
      <c r="D66" s="4" t="s">
        <v>23</v>
      </c>
      <c r="E66" s="4" t="s">
        <v>261</v>
      </c>
      <c r="P66" s="4" t="str">
        <f ca="1"/>
        <v>C_</v>
      </c>
      <c r="Q66" s="79" cm="1">
        <f t="array" aca="1" ref="Q66:V66" ca="1">INDIRECT(P66)</f>
        <v>0</v>
      </c>
      <c r="R66" s="79">
        <f ca="1"/>
        <v>9.5238095238095233E-2</v>
      </c>
      <c r="S66" s="79">
        <f ca="1"/>
        <v>0.2857142857142857</v>
      </c>
      <c r="T66" s="79">
        <f ca="1"/>
        <v>0.71428571428571419</v>
      </c>
      <c r="U66" s="79">
        <f ca="1"/>
        <v>0.99999999999999989</v>
      </c>
      <c r="V66" s="79">
        <f ca="1"/>
        <v>0.99999999999999989</v>
      </c>
      <c r="W66" s="78">
        <f t="shared" ca="1" si="12"/>
        <v>0.79541103579365091</v>
      </c>
      <c r="X66" s="4" cm="1">
        <f t="array" aca="1" ref="X66" ca="1">MIN(SUM((Q66:V66&lt;W66)+0)+1,6)</f>
        <v>5</v>
      </c>
      <c r="Y66" s="4" t="str">
        <f t="shared" ca="1" si="6"/>
        <v>E</v>
      </c>
      <c r="AA66" s="97">
        <v>50.532425086567159</v>
      </c>
      <c r="AB66" s="98">
        <v>8.7924706736250382</v>
      </c>
      <c r="AC66" s="99">
        <v>444.30486564079592</v>
      </c>
      <c r="AG66" s="78"/>
      <c r="AH66" s="4">
        <f t="shared" si="15"/>
        <v>5.0000000000000001E-3</v>
      </c>
      <c r="AI66" s="8">
        <f t="shared" ca="1" si="16"/>
        <v>0.08</v>
      </c>
      <c r="AJ66" s="4">
        <f t="shared" ca="1" si="7"/>
        <v>7.4999999999999997E-2</v>
      </c>
      <c r="AK66" s="4">
        <f t="shared" ca="1" si="17"/>
        <v>-33.32286492305969</v>
      </c>
    </row>
    <row r="67" spans="2:37" x14ac:dyDescent="0.2">
      <c r="B67" s="4" t="s">
        <v>68</v>
      </c>
      <c r="C67" s="4">
        <v>0.89680710594891</v>
      </c>
      <c r="D67" s="4" t="s">
        <v>31</v>
      </c>
      <c r="E67" s="4" t="s">
        <v>27</v>
      </c>
      <c r="P67" s="4" t="str">
        <f ca="1"/>
        <v>F</v>
      </c>
      <c r="Q67" s="79" cm="1">
        <f t="array" aca="1" ref="Q67:V67" ca="1">INDIRECT(P67)</f>
        <v>0</v>
      </c>
      <c r="R67" s="79">
        <f ca="1"/>
        <v>0</v>
      </c>
      <c r="S67" s="79">
        <f ca="1"/>
        <v>0</v>
      </c>
      <c r="T67" s="79">
        <f ca="1"/>
        <v>0</v>
      </c>
      <c r="U67" s="79">
        <f ca="1"/>
        <v>0</v>
      </c>
      <c r="V67" s="79">
        <f ca="1"/>
        <v>0</v>
      </c>
      <c r="W67" s="78">
        <f t="shared" ca="1" si="12"/>
        <v>0.2195789574173822</v>
      </c>
      <c r="X67" s="4" cm="1">
        <f t="array" aca="1" ref="X67" ca="1">MIN(SUM((Q67:V67&lt;W67)+0)+1,6)</f>
        <v>6</v>
      </c>
      <c r="Y67" s="4" t="str">
        <f t="shared" ca="1" si="6"/>
        <v>F</v>
      </c>
      <c r="AA67" s="97">
        <v>28.982449633517319</v>
      </c>
      <c r="AB67" s="98">
        <v>1.2393435701789142</v>
      </c>
      <c r="AC67" s="99">
        <v>35.919212601333918</v>
      </c>
      <c r="AG67" s="78"/>
      <c r="AH67" s="4">
        <f t="shared" si="15"/>
        <v>0.08</v>
      </c>
      <c r="AI67" s="8" t="str">
        <f t="shared" ca="1" si="16"/>
        <v>N/A</v>
      </c>
      <c r="AJ67" s="4">
        <f t="shared" ca="1" si="7"/>
        <v>0</v>
      </c>
      <c r="AK67" s="4">
        <f t="shared" ca="1" si="17"/>
        <v>0</v>
      </c>
    </row>
    <row r="68" spans="2:37" x14ac:dyDescent="0.2">
      <c r="B68" s="4" t="s">
        <v>67</v>
      </c>
      <c r="C68" s="4">
        <v>0.54385095261031646</v>
      </c>
      <c r="D68" s="4" t="s">
        <v>21</v>
      </c>
      <c r="E68" s="4" t="s">
        <v>20</v>
      </c>
      <c r="P68" s="4" t="str">
        <f ca="1"/>
        <v>D</v>
      </c>
      <c r="Q68" s="79" cm="1">
        <f t="array" aca="1" ref="Q68:V68" ca="1">INDIRECT(P68)</f>
        <v>0</v>
      </c>
      <c r="R68" s="79">
        <f ca="1"/>
        <v>0</v>
      </c>
      <c r="S68" s="79">
        <f ca="1"/>
        <v>0.1</v>
      </c>
      <c r="T68" s="79">
        <f ca="1"/>
        <v>0.5</v>
      </c>
      <c r="U68" s="79">
        <f ca="1"/>
        <v>0.85</v>
      </c>
      <c r="V68" s="79">
        <f ca="1"/>
        <v>1</v>
      </c>
      <c r="W68" s="78">
        <f t="shared" ca="1" si="12"/>
        <v>0.75117091469429775</v>
      </c>
      <c r="X68" s="4" cm="1">
        <f t="array" aca="1" ref="X68" ca="1">MIN(SUM((Q68:V68&lt;W68)+0)+1,6)</f>
        <v>5</v>
      </c>
      <c r="Y68" s="4" t="str">
        <f t="shared" ca="1" si="6"/>
        <v>E</v>
      </c>
      <c r="AA68" s="97">
        <v>84.415957534522121</v>
      </c>
      <c r="AB68" s="98">
        <v>6.1952629474234886</v>
      </c>
      <c r="AC68" s="99">
        <v>522.9790538848996</v>
      </c>
      <c r="AG68" s="78"/>
      <c r="AH68" s="4">
        <f t="shared" si="15"/>
        <v>0.02</v>
      </c>
      <c r="AI68" s="8">
        <f t="shared" ca="1" si="16"/>
        <v>0.08</v>
      </c>
      <c r="AJ68" s="4">
        <f t="shared" ca="1" si="7"/>
        <v>0.06</v>
      </c>
      <c r="AK68" s="4">
        <f t="shared" ca="1" si="17"/>
        <v>-31.378743233093974</v>
      </c>
    </row>
    <row r="69" spans="2:37" x14ac:dyDescent="0.2">
      <c r="B69" s="4" t="s">
        <v>66</v>
      </c>
      <c r="C69" s="4">
        <v>0.28179185236382631</v>
      </c>
      <c r="D69" s="4" t="s">
        <v>36</v>
      </c>
      <c r="E69" s="4" t="s">
        <v>36</v>
      </c>
      <c r="P69" s="4" t="str">
        <f ca="1"/>
        <v>B</v>
      </c>
      <c r="Q69" s="79" cm="1">
        <f t="array" aca="1" ref="Q69:V69" ca="1">INDIRECT(P69)</f>
        <v>9.5238095238095233E-2</v>
      </c>
      <c r="R69" s="79">
        <f ca="1"/>
        <v>0.61904761904761907</v>
      </c>
      <c r="S69" s="79">
        <f ca="1"/>
        <v>0.90476190476190477</v>
      </c>
      <c r="T69" s="79">
        <f ca="1"/>
        <v>1</v>
      </c>
      <c r="U69" s="79">
        <f ca="1"/>
        <v>1</v>
      </c>
      <c r="V69" s="79">
        <f ca="1"/>
        <v>1</v>
      </c>
      <c r="W69" s="78">
        <f t="shared" ca="1" si="12"/>
        <v>0.23395339230092038</v>
      </c>
      <c r="X69" s="4" cm="1">
        <f t="array" aca="1" ref="X69" ca="1">MIN(SUM((Q69:V69&lt;W69)+0)+1,6)</f>
        <v>2</v>
      </c>
      <c r="Y69" s="4" t="str">
        <f t="shared" ca="1" si="6"/>
        <v>B</v>
      </c>
      <c r="AA69" s="97">
        <v>48.550727106120881</v>
      </c>
      <c r="AB69" s="98">
        <v>8.838558619220283</v>
      </c>
      <c r="AC69" s="99">
        <v>429.11844753321657</v>
      </c>
      <c r="AG69" s="78"/>
      <c r="AH69" s="4">
        <f t="shared" si="15"/>
        <v>0.01</v>
      </c>
      <c r="AI69" s="8">
        <f t="shared" ca="1" si="16"/>
        <v>0.01</v>
      </c>
      <c r="AJ69" s="4">
        <f t="shared" ca="1" si="7"/>
        <v>0</v>
      </c>
      <c r="AK69" s="4">
        <f t="shared" ca="1" si="17"/>
        <v>0</v>
      </c>
    </row>
    <row r="70" spans="2:37" x14ac:dyDescent="0.2">
      <c r="B70" s="4" t="s">
        <v>65</v>
      </c>
      <c r="C70" s="4">
        <v>0.8451739188641425</v>
      </c>
      <c r="D70" s="4" t="s">
        <v>31</v>
      </c>
      <c r="E70" s="4" t="s">
        <v>27</v>
      </c>
      <c r="P70" s="4" t="str">
        <f ca="1"/>
        <v>F</v>
      </c>
      <c r="Q70" s="79" cm="1">
        <f t="array" aca="1" ref="Q70:V70" ca="1">INDIRECT(P70)</f>
        <v>0</v>
      </c>
      <c r="R70" s="79">
        <f ca="1"/>
        <v>0</v>
      </c>
      <c r="S70" s="79">
        <f ca="1"/>
        <v>0</v>
      </c>
      <c r="T70" s="79">
        <f ca="1"/>
        <v>0</v>
      </c>
      <c r="U70" s="79">
        <f ca="1"/>
        <v>0</v>
      </c>
      <c r="V70" s="79">
        <f ca="1"/>
        <v>0</v>
      </c>
      <c r="W70" s="78">
        <f t="shared" ca="1" si="12"/>
        <v>0.38106169401051504</v>
      </c>
      <c r="X70" s="4" cm="1">
        <f t="array" aca="1" ref="X70" ca="1">MIN(SUM((Q70:V70&lt;W70)+0)+1,6)</f>
        <v>6</v>
      </c>
      <c r="Y70" s="4" t="str">
        <f t="shared" ca="1" si="6"/>
        <v>F</v>
      </c>
      <c r="AA70" s="97">
        <v>0.19262168374306055</v>
      </c>
      <c r="AB70" s="98">
        <v>1.4452769504095961</v>
      </c>
      <c r="AC70" s="99">
        <v>0.27839167966293221</v>
      </c>
      <c r="AG70" s="78"/>
      <c r="AH70" s="4">
        <f t="shared" si="15"/>
        <v>0.08</v>
      </c>
      <c r="AI70" s="8" t="str">
        <f t="shared" ca="1" si="16"/>
        <v>N/A</v>
      </c>
      <c r="AJ70" s="4">
        <f t="shared" ca="1" si="7"/>
        <v>0</v>
      </c>
      <c r="AK70" s="4">
        <f t="shared" ca="1" si="17"/>
        <v>0</v>
      </c>
    </row>
    <row r="71" spans="2:37" x14ac:dyDescent="0.2">
      <c r="B71" s="4" t="s">
        <v>64</v>
      </c>
      <c r="C71" s="4">
        <v>0.27090936711256719</v>
      </c>
      <c r="D71" s="4" t="s">
        <v>36</v>
      </c>
      <c r="E71" s="4" t="s">
        <v>261</v>
      </c>
      <c r="P71" s="4" t="str">
        <f ca="1"/>
        <v>C_</v>
      </c>
      <c r="Q71" s="79" cm="1">
        <f t="array" aca="1" ref="Q71:V71" ca="1">INDIRECT(P71)</f>
        <v>0</v>
      </c>
      <c r="R71" s="79">
        <f ca="1"/>
        <v>9.5238095238095233E-2</v>
      </c>
      <c r="S71" s="79">
        <f ca="1"/>
        <v>0.2857142857142857</v>
      </c>
      <c r="T71" s="79">
        <f ca="1"/>
        <v>0.71428571428571419</v>
      </c>
      <c r="U71" s="79">
        <f ca="1"/>
        <v>0.99999999999999989</v>
      </c>
      <c r="V71" s="79">
        <f ca="1"/>
        <v>0.99999999999999989</v>
      </c>
      <c r="W71" s="78">
        <f t="shared" ca="1" si="12"/>
        <v>0.61712800268865187</v>
      </c>
      <c r="X71" s="4" cm="1">
        <f t="array" aca="1" ref="X71" ca="1">MIN(SUM((Q71:V71&lt;W71)+0)+1,6)</f>
        <v>4</v>
      </c>
      <c r="Y71" s="4" t="str">
        <f t="shared" ca="1" si="6"/>
        <v>D</v>
      </c>
      <c r="AA71" s="97">
        <v>94.790243600197627</v>
      </c>
      <c r="AB71" s="98">
        <v>7.1622244148841983</v>
      </c>
      <c r="AC71" s="99">
        <v>678.90899700615603</v>
      </c>
      <c r="AG71" s="78"/>
      <c r="AH71" s="4">
        <f t="shared" si="15"/>
        <v>0.01</v>
      </c>
      <c r="AI71" s="8">
        <f t="shared" ca="1" si="16"/>
        <v>0.04</v>
      </c>
      <c r="AJ71" s="4">
        <f t="shared" ca="1" si="7"/>
        <v>0.03</v>
      </c>
      <c r="AK71" s="4">
        <f t="shared" ca="1" si="17"/>
        <v>-20.367269910184682</v>
      </c>
    </row>
    <row r="72" spans="2:37" x14ac:dyDescent="0.2">
      <c r="B72" s="4" t="s">
        <v>63</v>
      </c>
      <c r="C72" s="4">
        <v>0.49441714721295671</v>
      </c>
      <c r="D72" s="4" t="s">
        <v>21</v>
      </c>
      <c r="E72" s="4" t="s">
        <v>261</v>
      </c>
      <c r="P72" s="4" t="str">
        <f ca="1"/>
        <v>C_</v>
      </c>
      <c r="Q72" s="79" cm="1">
        <f t="array" aca="1" ref="Q72:V72" ca="1">INDIRECT(P72)</f>
        <v>0</v>
      </c>
      <c r="R72" s="79">
        <f ca="1"/>
        <v>9.5238095238095233E-2</v>
      </c>
      <c r="S72" s="79">
        <f ca="1"/>
        <v>0.2857142857142857</v>
      </c>
      <c r="T72" s="79">
        <f ca="1"/>
        <v>0.71428571428571419</v>
      </c>
      <c r="U72" s="79">
        <f ca="1"/>
        <v>0.99999999999999989</v>
      </c>
      <c r="V72" s="79">
        <f ca="1"/>
        <v>0.99999999999999989</v>
      </c>
      <c r="W72" s="78">
        <f t="shared" ca="1" si="12"/>
        <v>0.35340761646993168</v>
      </c>
      <c r="X72" s="4" cm="1">
        <f t="array" aca="1" ref="X72" ca="1">MIN(SUM((Q72:V72&lt;W72)+0)+1,6)</f>
        <v>4</v>
      </c>
      <c r="Y72" s="4" t="str">
        <f t="shared" ca="1" si="6"/>
        <v>D</v>
      </c>
      <c r="AA72" s="97">
        <v>16.584570714019019</v>
      </c>
      <c r="AB72" s="98">
        <v>8.6023854462746083</v>
      </c>
      <c r="AC72" s="99">
        <v>142.66686974298929</v>
      </c>
      <c r="AG72" s="78"/>
      <c r="AH72" s="4">
        <f t="shared" si="15"/>
        <v>0.02</v>
      </c>
      <c r="AI72" s="8">
        <f t="shared" ca="1" si="16"/>
        <v>0.04</v>
      </c>
      <c r="AJ72" s="4">
        <f t="shared" ca="1" si="7"/>
        <v>0.02</v>
      </c>
      <c r="AK72" s="4">
        <f t="shared" ca="1" si="17"/>
        <v>-2.853337394859786</v>
      </c>
    </row>
    <row r="73" spans="2:37" x14ac:dyDescent="0.2">
      <c r="B73" s="4" t="s">
        <v>62</v>
      </c>
      <c r="C73" s="4">
        <v>0.26694834177577897</v>
      </c>
      <c r="D73" s="4" t="s">
        <v>36</v>
      </c>
      <c r="E73" s="4" t="s">
        <v>36</v>
      </c>
      <c r="P73" s="4" t="str">
        <f ca="1"/>
        <v>B</v>
      </c>
      <c r="Q73" s="79" cm="1">
        <f t="array" aca="1" ref="Q73:V73" ca="1">INDIRECT(P73)</f>
        <v>9.5238095238095233E-2</v>
      </c>
      <c r="R73" s="79">
        <f ca="1"/>
        <v>0.61904761904761907</v>
      </c>
      <c r="S73" s="79">
        <f ca="1"/>
        <v>0.90476190476190477</v>
      </c>
      <c r="T73" s="79">
        <f ca="1"/>
        <v>1</v>
      </c>
      <c r="U73" s="79">
        <f ca="1"/>
        <v>1</v>
      </c>
      <c r="V73" s="79">
        <f ca="1"/>
        <v>1</v>
      </c>
      <c r="W73" s="78">
        <f t="shared" ca="1" si="12"/>
        <v>0.13605946927760315</v>
      </c>
      <c r="X73" s="4" cm="1">
        <f t="array" aca="1" ref="X73" ca="1">MIN(SUM((Q73:V73&lt;W73)+0)+1,6)</f>
        <v>2</v>
      </c>
      <c r="Y73" s="4" t="str">
        <f t="shared" ca="1" si="6"/>
        <v>B</v>
      </c>
      <c r="AA73" s="97">
        <v>17.065403004306113</v>
      </c>
      <c r="AB73" s="98">
        <v>10.513662490475356</v>
      </c>
      <c r="AC73" s="99">
        <v>179.41988745121864</v>
      </c>
      <c r="AG73" s="78"/>
      <c r="AH73" s="4">
        <f t="shared" si="15"/>
        <v>0.01</v>
      </c>
      <c r="AI73" s="8">
        <f t="shared" ca="1" si="16"/>
        <v>0.01</v>
      </c>
      <c r="AJ73" s="4">
        <f t="shared" ca="1" si="7"/>
        <v>0</v>
      </c>
      <c r="AK73" s="4">
        <f t="shared" ca="1" si="17"/>
        <v>0</v>
      </c>
    </row>
    <row r="74" spans="2:37" x14ac:dyDescent="0.2">
      <c r="B74" s="4" t="s">
        <v>61</v>
      </c>
      <c r="C74" s="4">
        <v>0.18641457449884424</v>
      </c>
      <c r="D74" s="4" t="s">
        <v>23</v>
      </c>
      <c r="E74" s="4" t="s">
        <v>36</v>
      </c>
      <c r="P74" s="4" t="str">
        <f ca="1"/>
        <v>B</v>
      </c>
      <c r="Q74" s="79" cm="1">
        <f t="array" aca="1" ref="Q74:V74" ca="1">INDIRECT(P74)</f>
        <v>9.5238095238095233E-2</v>
      </c>
      <c r="R74" s="79">
        <f ca="1"/>
        <v>0.61904761904761907</v>
      </c>
      <c r="S74" s="79">
        <f ca="1"/>
        <v>0.90476190476190477</v>
      </c>
      <c r="T74" s="79">
        <f ca="1"/>
        <v>1</v>
      </c>
      <c r="U74" s="79">
        <f ca="1"/>
        <v>1</v>
      </c>
      <c r="V74" s="79">
        <f ca="1"/>
        <v>1</v>
      </c>
      <c r="W74" s="78">
        <f t="shared" ca="1" si="12"/>
        <v>0.80743739641524348</v>
      </c>
      <c r="X74" s="4" cm="1">
        <f t="array" aca="1" ref="X74" ca="1">MIN(SUM((Q74:V74&lt;W74)+0)+1,6)</f>
        <v>3</v>
      </c>
      <c r="Y74" s="4" t="str">
        <f t="shared" ca="1" si="6"/>
        <v>C_</v>
      </c>
      <c r="AA74" s="97">
        <v>97.996324402972434</v>
      </c>
      <c r="AB74" s="98">
        <v>10.499013271951931</v>
      </c>
      <c r="AC74" s="99">
        <v>1028.8647105093144</v>
      </c>
      <c r="AG74" s="78"/>
      <c r="AH74" s="4">
        <f t="shared" ref="AH74:AH109" si="18">VLOOKUP(RatingLast,$AE$10:$AF$16,2,0)</f>
        <v>5.0000000000000001E-3</v>
      </c>
      <c r="AI74" s="8">
        <f t="shared" ref="AI74:AI109" ca="1" si="19">VLOOKUP(RatingSim,$AE$10:$AF$16,2,0)</f>
        <v>0.02</v>
      </c>
      <c r="AJ74" s="4">
        <f t="shared" ca="1" si="7"/>
        <v>1.4999999999999999E-2</v>
      </c>
      <c r="AK74" s="4">
        <f t="shared" ref="AK74:AK109" ca="1" si="20">SpreadCh*-p_d</f>
        <v>-15.432970657639714</v>
      </c>
    </row>
    <row r="75" spans="2:37" x14ac:dyDescent="0.2">
      <c r="B75" s="4" t="s">
        <v>60</v>
      </c>
      <c r="C75" s="4">
        <v>0.63893952539851484</v>
      </c>
      <c r="D75" s="4" t="s">
        <v>20</v>
      </c>
      <c r="E75" s="4" t="s">
        <v>261</v>
      </c>
      <c r="P75" s="4" t="str">
        <f ca="1"/>
        <v>C_</v>
      </c>
      <c r="Q75" s="79" cm="1">
        <f t="array" aca="1" ref="Q75:V75" ca="1">INDIRECT(P75)</f>
        <v>0</v>
      </c>
      <c r="R75" s="79">
        <f ca="1"/>
        <v>9.5238095238095233E-2</v>
      </c>
      <c r="S75" s="79">
        <f ca="1"/>
        <v>0.2857142857142857</v>
      </c>
      <c r="T75" s="79">
        <f ca="1"/>
        <v>0.71428571428571419</v>
      </c>
      <c r="U75" s="79">
        <f ca="1"/>
        <v>0.99999999999999989</v>
      </c>
      <c r="V75" s="79">
        <f ca="1"/>
        <v>0.99999999999999989</v>
      </c>
      <c r="W75" s="78">
        <f t="shared" ca="1" si="12"/>
        <v>6.966251699780035E-2</v>
      </c>
      <c r="X75" s="4" cm="1">
        <f t="array" aca="1" ref="X75" ca="1">MIN(SUM((Q75:V75&lt;W75)+0)+1,6)</f>
        <v>2</v>
      </c>
      <c r="Y75" s="4" t="str">
        <f t="shared" ref="Y75:Y109" ca="1" si="21">OFFSET($H$9,0,X75)</f>
        <v>B</v>
      </c>
      <c r="AA75" s="97">
        <v>99.416309784681957</v>
      </c>
      <c r="AB75" s="98">
        <v>7.197808013391974</v>
      </c>
      <c r="AC75" s="99">
        <v>715.57951123004273</v>
      </c>
      <c r="AG75" s="78"/>
      <c r="AH75" s="4">
        <f t="shared" si="18"/>
        <v>0.04</v>
      </c>
      <c r="AI75" s="8">
        <f t="shared" ca="1" si="19"/>
        <v>0.01</v>
      </c>
      <c r="AJ75" s="4">
        <f t="shared" ref="AJ75:AJ109" ca="1" si="22">IF(AI75&lt;&gt;"N/A",AI75-AH75,0)</f>
        <v>-0.03</v>
      </c>
      <c r="AK75" s="4">
        <f t="shared" ca="1" si="20"/>
        <v>21.46738533690128</v>
      </c>
    </row>
    <row r="76" spans="2:37" x14ac:dyDescent="0.2">
      <c r="B76" s="4" t="s">
        <v>59</v>
      </c>
      <c r="C76" s="4">
        <v>0.71676697075327966</v>
      </c>
      <c r="D76" s="4" t="s">
        <v>20</v>
      </c>
      <c r="E76" s="4" t="s">
        <v>20</v>
      </c>
      <c r="P76" s="4" t="str">
        <f ca="1"/>
        <v>D</v>
      </c>
      <c r="Q76" s="79" cm="1">
        <f t="array" aca="1" ref="Q76:V76" ca="1">INDIRECT(P76)</f>
        <v>0</v>
      </c>
      <c r="R76" s="79">
        <f ca="1"/>
        <v>0</v>
      </c>
      <c r="S76" s="79">
        <f ca="1"/>
        <v>0.1</v>
      </c>
      <c r="T76" s="79">
        <f ca="1"/>
        <v>0.5</v>
      </c>
      <c r="U76" s="79">
        <f ca="1"/>
        <v>0.85</v>
      </c>
      <c r="V76" s="79">
        <f ca="1"/>
        <v>1</v>
      </c>
      <c r="W76" s="78">
        <f t="shared" ca="1" si="12"/>
        <v>0.25426226702385435</v>
      </c>
      <c r="X76" s="4" cm="1">
        <f t="array" aca="1" ref="X76" ca="1">MIN(SUM((Q76:V76&lt;W76)+0)+1,6)</f>
        <v>4</v>
      </c>
      <c r="Y76" s="4" t="str">
        <f t="shared" ca="1" si="21"/>
        <v>D</v>
      </c>
      <c r="AA76" s="97">
        <v>14.969320801855568</v>
      </c>
      <c r="AB76" s="98">
        <v>7.8538548430685129</v>
      </c>
      <c r="AC76" s="99">
        <v>117.5668726770996</v>
      </c>
      <c r="AG76" s="78"/>
      <c r="AH76" s="4">
        <f t="shared" si="18"/>
        <v>0.04</v>
      </c>
      <c r="AI76" s="8">
        <f t="shared" ca="1" si="19"/>
        <v>0.04</v>
      </c>
      <c r="AJ76" s="4">
        <f t="shared" ca="1" si="22"/>
        <v>0</v>
      </c>
      <c r="AK76" s="4">
        <f t="shared" ca="1" si="20"/>
        <v>0</v>
      </c>
    </row>
    <row r="77" spans="2:37" x14ac:dyDescent="0.2">
      <c r="B77" s="4" t="s">
        <v>58</v>
      </c>
      <c r="C77" s="4">
        <v>0.44150564930995051</v>
      </c>
      <c r="D77" s="4" t="s">
        <v>21</v>
      </c>
      <c r="E77" s="4" t="s">
        <v>20</v>
      </c>
      <c r="P77" s="4" t="str">
        <f ca="1"/>
        <v>D</v>
      </c>
      <c r="Q77" s="79" cm="1">
        <f t="array" aca="1" ref="Q77:V77" ca="1">INDIRECT(P77)</f>
        <v>0</v>
      </c>
      <c r="R77" s="79">
        <f ca="1"/>
        <v>0</v>
      </c>
      <c r="S77" s="79">
        <f ca="1"/>
        <v>0.1</v>
      </c>
      <c r="T77" s="79">
        <f ca="1"/>
        <v>0.5</v>
      </c>
      <c r="U77" s="79">
        <f ca="1"/>
        <v>0.85</v>
      </c>
      <c r="V77" s="79">
        <f ca="1"/>
        <v>1</v>
      </c>
      <c r="W77" s="78">
        <f t="shared" ca="1" si="12"/>
        <v>0.28124109539030995</v>
      </c>
      <c r="X77" s="4" cm="1">
        <f t="array" aca="1" ref="X77" ca="1">MIN(SUM((Q77:V77&lt;W77)+0)+1,6)</f>
        <v>4</v>
      </c>
      <c r="Y77" s="4" t="str">
        <f t="shared" ca="1" si="21"/>
        <v>D</v>
      </c>
      <c r="AA77" s="97">
        <v>14.792749254190618</v>
      </c>
      <c r="AB77" s="98">
        <v>7.3677925752447608</v>
      </c>
      <c r="AC77" s="99">
        <v>108.9899081224831</v>
      </c>
      <c r="AG77" s="78"/>
      <c r="AH77" s="4">
        <f t="shared" si="18"/>
        <v>0.02</v>
      </c>
      <c r="AI77" s="8">
        <f t="shared" ca="1" si="19"/>
        <v>0.04</v>
      </c>
      <c r="AJ77" s="4">
        <f t="shared" ca="1" si="22"/>
        <v>0.02</v>
      </c>
      <c r="AK77" s="4">
        <f t="shared" ca="1" si="20"/>
        <v>-2.1797981624496621</v>
      </c>
    </row>
    <row r="78" spans="2:37" x14ac:dyDescent="0.2">
      <c r="B78" s="4" t="s">
        <v>57</v>
      </c>
      <c r="C78" s="4">
        <v>0.20931085094305968</v>
      </c>
      <c r="D78" s="4" t="s">
        <v>36</v>
      </c>
      <c r="E78" s="4" t="s">
        <v>23</v>
      </c>
      <c r="P78" s="4" t="str">
        <f ca="1"/>
        <v>A</v>
      </c>
      <c r="Q78" s="79" cm="1">
        <f t="array" aca="1" ref="Q78:V78" ca="1">INDIRECT(P78)</f>
        <v>0.53846153846153844</v>
      </c>
      <c r="R78" s="79">
        <f ca="1"/>
        <v>0.84615384615384615</v>
      </c>
      <c r="S78" s="79">
        <f ca="1"/>
        <v>1</v>
      </c>
      <c r="T78" s="79">
        <f ca="1"/>
        <v>1</v>
      </c>
      <c r="U78" s="79">
        <f ca="1"/>
        <v>1</v>
      </c>
      <c r="V78" s="79">
        <f ca="1"/>
        <v>1</v>
      </c>
      <c r="W78" s="78">
        <f t="shared" ca="1" si="12"/>
        <v>0.93131779905350109</v>
      </c>
      <c r="X78" s="4" cm="1">
        <f t="array" aca="1" ref="X78" ca="1">MIN(SUM((Q78:V78&lt;W78)+0)+1,6)</f>
        <v>3</v>
      </c>
      <c r="Y78" s="4" t="str">
        <f t="shared" ca="1" si="21"/>
        <v>C_</v>
      </c>
      <c r="AA78" s="97">
        <v>19.110465115345264</v>
      </c>
      <c r="AB78" s="98">
        <v>9.7965619907102646</v>
      </c>
      <c r="AC78" s="99">
        <v>187.21685617378586</v>
      </c>
      <c r="AG78" s="78"/>
      <c r="AH78" s="4">
        <f t="shared" si="18"/>
        <v>0.01</v>
      </c>
      <c r="AI78" s="8">
        <f t="shared" ca="1" si="19"/>
        <v>0.02</v>
      </c>
      <c r="AJ78" s="4">
        <f t="shared" ca="1" si="22"/>
        <v>0.01</v>
      </c>
      <c r="AK78" s="4">
        <f t="shared" ca="1" si="20"/>
        <v>-1.8721685617378585</v>
      </c>
    </row>
    <row r="79" spans="2:37" x14ac:dyDescent="0.2">
      <c r="B79" s="4" t="s">
        <v>56</v>
      </c>
      <c r="C79" s="4">
        <v>0.33312080808404332</v>
      </c>
      <c r="D79" s="4" t="s">
        <v>36</v>
      </c>
      <c r="E79" s="4" t="s">
        <v>261</v>
      </c>
      <c r="P79" s="4" t="str">
        <f ca="1"/>
        <v>C_</v>
      </c>
      <c r="Q79" s="79" cm="1">
        <f t="array" aca="1" ref="Q79:V79" ca="1">INDIRECT(P79)</f>
        <v>0</v>
      </c>
      <c r="R79" s="79">
        <f ca="1"/>
        <v>9.5238095238095233E-2</v>
      </c>
      <c r="S79" s="79">
        <f ca="1"/>
        <v>0.2857142857142857</v>
      </c>
      <c r="T79" s="79">
        <f ca="1"/>
        <v>0.71428571428571419</v>
      </c>
      <c r="U79" s="79">
        <f ca="1"/>
        <v>0.99999999999999989</v>
      </c>
      <c r="V79" s="79">
        <f ca="1"/>
        <v>0.99999999999999989</v>
      </c>
      <c r="W79" s="78">
        <f t="shared" ca="1" si="12"/>
        <v>0.85637435589380639</v>
      </c>
      <c r="X79" s="4" cm="1">
        <f t="array" aca="1" ref="X79" ca="1">MIN(SUM((Q79:V79&lt;W79)+0)+1,6)</f>
        <v>5</v>
      </c>
      <c r="Y79" s="4" t="str">
        <f t="shared" ca="1" si="21"/>
        <v>E</v>
      </c>
      <c r="AA79" s="97">
        <v>85.908216451236967</v>
      </c>
      <c r="AB79" s="98">
        <v>9.8371193831294672</v>
      </c>
      <c r="AC79" s="99">
        <v>845.08938122254494</v>
      </c>
      <c r="AG79" s="78"/>
      <c r="AH79" s="4">
        <f t="shared" si="18"/>
        <v>0.01</v>
      </c>
      <c r="AI79" s="8">
        <f t="shared" ca="1" si="19"/>
        <v>0.08</v>
      </c>
      <c r="AJ79" s="4">
        <f t="shared" ca="1" si="22"/>
        <v>7.0000000000000007E-2</v>
      </c>
      <c r="AK79" s="4">
        <f t="shared" ca="1" si="20"/>
        <v>-59.15625668557815</v>
      </c>
    </row>
    <row r="80" spans="2:37" x14ac:dyDescent="0.2">
      <c r="B80" s="4" t="s">
        <v>55</v>
      </c>
      <c r="C80" s="4">
        <v>0.4576175646538907</v>
      </c>
      <c r="D80" s="4" t="s">
        <v>21</v>
      </c>
      <c r="E80" s="4" t="s">
        <v>20</v>
      </c>
      <c r="P80" s="4" t="str">
        <f ca="1"/>
        <v>D</v>
      </c>
      <c r="Q80" s="79" cm="1">
        <f t="array" aca="1" ref="Q80:V80" ca="1">INDIRECT(P80)</f>
        <v>0</v>
      </c>
      <c r="R80" s="79">
        <f ca="1"/>
        <v>0</v>
      </c>
      <c r="S80" s="79">
        <f ca="1"/>
        <v>0.1</v>
      </c>
      <c r="T80" s="79">
        <f ca="1"/>
        <v>0.5</v>
      </c>
      <c r="U80" s="79">
        <f ca="1"/>
        <v>0.85</v>
      </c>
      <c r="V80" s="79">
        <f ca="1"/>
        <v>1</v>
      </c>
      <c r="W80" s="78">
        <f t="shared" ca="1" si="12"/>
        <v>0.37153925728181647</v>
      </c>
      <c r="X80" s="4" cm="1">
        <f t="array" aca="1" ref="X80" ca="1">MIN(SUM((Q80:V80&lt;W80)+0)+1,6)</f>
        <v>4</v>
      </c>
      <c r="Y80" s="4" t="str">
        <f t="shared" ca="1" si="21"/>
        <v>D</v>
      </c>
      <c r="AA80" s="97">
        <v>68.68157858891864</v>
      </c>
      <c r="AB80" s="98">
        <v>6.4155090821084286</v>
      </c>
      <c r="AC80" s="99">
        <v>440.62729121075131</v>
      </c>
      <c r="AG80" s="78"/>
      <c r="AH80" s="4">
        <f t="shared" si="18"/>
        <v>0.02</v>
      </c>
      <c r="AI80" s="8">
        <f t="shared" ca="1" si="19"/>
        <v>0.04</v>
      </c>
      <c r="AJ80" s="4">
        <f t="shared" ca="1" si="22"/>
        <v>0.02</v>
      </c>
      <c r="AK80" s="4">
        <f t="shared" ca="1" si="20"/>
        <v>-8.812545824215027</v>
      </c>
    </row>
    <row r="81" spans="2:37" x14ac:dyDescent="0.2">
      <c r="B81" s="4" t="s">
        <v>54</v>
      </c>
      <c r="C81" s="4">
        <v>0.98714157385309476</v>
      </c>
      <c r="D81" s="4" t="s">
        <v>31</v>
      </c>
      <c r="E81" s="4" t="s">
        <v>27</v>
      </c>
      <c r="P81" s="4" t="str">
        <f ca="1"/>
        <v>F</v>
      </c>
      <c r="Q81" s="79" cm="1">
        <f t="array" aca="1" ref="Q81:V81" ca="1">INDIRECT(P81)</f>
        <v>0</v>
      </c>
      <c r="R81" s="79">
        <f ca="1"/>
        <v>0</v>
      </c>
      <c r="S81" s="79">
        <f ca="1"/>
        <v>0</v>
      </c>
      <c r="T81" s="79">
        <f ca="1"/>
        <v>0</v>
      </c>
      <c r="U81" s="79">
        <f ca="1"/>
        <v>0</v>
      </c>
      <c r="V81" s="79">
        <f ca="1"/>
        <v>0</v>
      </c>
      <c r="W81" s="78">
        <f t="shared" ca="1" si="12"/>
        <v>0.81513898564745468</v>
      </c>
      <c r="X81" s="4" cm="1">
        <f t="array" aca="1" ref="X81" ca="1">MIN(SUM((Q81:V81&lt;W81)+0)+1,6)</f>
        <v>6</v>
      </c>
      <c r="Y81" s="4" t="str">
        <f t="shared" ca="1" si="21"/>
        <v>F</v>
      </c>
      <c r="AA81" s="97">
        <v>42.387915278252429</v>
      </c>
      <c r="AB81" s="98">
        <v>2.1207756298389895</v>
      </c>
      <c r="AC81" s="99">
        <v>89.89525772179752</v>
      </c>
      <c r="AG81" s="78"/>
      <c r="AH81" s="4">
        <f t="shared" si="18"/>
        <v>0.08</v>
      </c>
      <c r="AI81" s="8" t="str">
        <f t="shared" ca="1" si="19"/>
        <v>N/A</v>
      </c>
      <c r="AJ81" s="4">
        <f t="shared" ca="1" si="22"/>
        <v>0</v>
      </c>
      <c r="AK81" s="4">
        <f t="shared" ca="1" si="20"/>
        <v>0</v>
      </c>
    </row>
    <row r="82" spans="2:37" x14ac:dyDescent="0.2">
      <c r="B82" s="4" t="s">
        <v>53</v>
      </c>
      <c r="C82" s="4">
        <v>0.10380078292225448</v>
      </c>
      <c r="D82" s="4" t="s">
        <v>23</v>
      </c>
      <c r="E82" s="4" t="s">
        <v>36</v>
      </c>
      <c r="P82" s="4" t="str">
        <f ca="1"/>
        <v>B</v>
      </c>
      <c r="Q82" s="79" cm="1">
        <f t="array" aca="1" ref="Q82:V82" ca="1">INDIRECT(P82)</f>
        <v>9.5238095238095233E-2</v>
      </c>
      <c r="R82" s="79">
        <f ca="1"/>
        <v>0.61904761904761907</v>
      </c>
      <c r="S82" s="79">
        <f ca="1"/>
        <v>0.90476190476190477</v>
      </c>
      <c r="T82" s="79">
        <f ca="1"/>
        <v>1</v>
      </c>
      <c r="U82" s="79">
        <f ca="1"/>
        <v>1</v>
      </c>
      <c r="V82" s="79">
        <f ca="1"/>
        <v>1</v>
      </c>
      <c r="W82" s="78">
        <f t="shared" ca="1" si="12"/>
        <v>0.89277018200181812</v>
      </c>
      <c r="X82" s="4" cm="1">
        <f t="array" aca="1" ref="X82" ca="1">MIN(SUM((Q82:V82&lt;W82)+0)+1,6)</f>
        <v>3</v>
      </c>
      <c r="Y82" s="4" t="str">
        <f t="shared" ca="1" si="21"/>
        <v>C_</v>
      </c>
      <c r="AA82" s="97">
        <v>51.804975968572073</v>
      </c>
      <c r="AB82" s="98">
        <v>10.738439564341935</v>
      </c>
      <c r="AC82" s="99">
        <v>556.30460357069751</v>
      </c>
      <c r="AG82" s="78"/>
      <c r="AH82" s="4">
        <f t="shared" si="18"/>
        <v>5.0000000000000001E-3</v>
      </c>
      <c r="AI82" s="8">
        <f t="shared" ca="1" si="19"/>
        <v>0.02</v>
      </c>
      <c r="AJ82" s="4">
        <f t="shared" ca="1" si="22"/>
        <v>1.4999999999999999E-2</v>
      </c>
      <c r="AK82" s="4">
        <f t="shared" ca="1" si="20"/>
        <v>-8.3445690535604626</v>
      </c>
    </row>
    <row r="83" spans="2:37" x14ac:dyDescent="0.2">
      <c r="B83" s="4" t="s">
        <v>52</v>
      </c>
      <c r="C83" s="4">
        <v>6.2017494817444563E-2</v>
      </c>
      <c r="D83" s="4" t="s">
        <v>23</v>
      </c>
      <c r="E83" s="4" t="s">
        <v>23</v>
      </c>
      <c r="P83" s="4" t="str">
        <f ca="1"/>
        <v>A</v>
      </c>
      <c r="Q83" s="79" cm="1">
        <f t="array" aca="1" ref="Q83:V83" ca="1">INDIRECT(P83)</f>
        <v>0.53846153846153844</v>
      </c>
      <c r="R83" s="79">
        <f ca="1"/>
        <v>0.84615384615384615</v>
      </c>
      <c r="S83" s="79">
        <f ca="1"/>
        <v>1</v>
      </c>
      <c r="T83" s="79">
        <f ca="1"/>
        <v>1</v>
      </c>
      <c r="U83" s="79">
        <f ca="1"/>
        <v>1</v>
      </c>
      <c r="V83" s="79">
        <f ca="1"/>
        <v>1</v>
      </c>
      <c r="W83" s="78">
        <f t="shared" ca="1" si="12"/>
        <v>0.71755051000745906</v>
      </c>
      <c r="X83" s="4" cm="1">
        <f t="array" aca="1" ref="X83" ca="1">MIN(SUM((Q83:V83&lt;W83)+0)+1,6)</f>
        <v>2</v>
      </c>
      <c r="Y83" s="4" t="str">
        <f t="shared" ca="1" si="21"/>
        <v>B</v>
      </c>
      <c r="AA83" s="97">
        <v>8.2783903108533679</v>
      </c>
      <c r="AB83" s="98">
        <v>8.7050140143292065</v>
      </c>
      <c r="AC83" s="99">
        <v>72.063503672065679</v>
      </c>
      <c r="AG83" s="78"/>
      <c r="AH83" s="4">
        <f t="shared" si="18"/>
        <v>5.0000000000000001E-3</v>
      </c>
      <c r="AI83" s="8">
        <f t="shared" ca="1" si="19"/>
        <v>0.01</v>
      </c>
      <c r="AJ83" s="4">
        <f t="shared" ca="1" si="22"/>
        <v>5.0000000000000001E-3</v>
      </c>
      <c r="AK83" s="4">
        <f t="shared" ca="1" si="20"/>
        <v>-0.36031751836032838</v>
      </c>
    </row>
    <row r="84" spans="2:37" x14ac:dyDescent="0.2">
      <c r="B84" s="4" t="s">
        <v>51</v>
      </c>
      <c r="C84" s="4">
        <v>0.78450070831783014</v>
      </c>
      <c r="D84" s="4" t="s">
        <v>20</v>
      </c>
      <c r="E84" s="4" t="s">
        <v>20</v>
      </c>
      <c r="P84" s="4" t="str">
        <f ca="1"/>
        <v>D</v>
      </c>
      <c r="Q84" s="79" cm="1">
        <f t="array" aca="1" ref="Q84:V84" ca="1">INDIRECT(P84)</f>
        <v>0</v>
      </c>
      <c r="R84" s="79">
        <f ca="1"/>
        <v>0</v>
      </c>
      <c r="S84" s="79">
        <f ca="1"/>
        <v>0.1</v>
      </c>
      <c r="T84" s="79">
        <f ca="1"/>
        <v>0.5</v>
      </c>
      <c r="U84" s="79">
        <f ca="1"/>
        <v>0.85</v>
      </c>
      <c r="V84" s="79">
        <f ca="1"/>
        <v>1</v>
      </c>
      <c r="W84" s="78">
        <f t="shared" ref="W84:W109" ca="1" si="23">RAND()</f>
        <v>6.5813939993085935E-2</v>
      </c>
      <c r="X84" s="4" cm="1">
        <f t="array" aca="1" ref="X84" ca="1">MIN(SUM((Q84:V84&lt;W84)+0)+1,6)</f>
        <v>3</v>
      </c>
      <c r="Y84" s="4" t="str">
        <f t="shared" ca="1" si="21"/>
        <v>C_</v>
      </c>
      <c r="AA84" s="97">
        <v>90.243705402323087</v>
      </c>
      <c r="AB84" s="98">
        <v>5.7083338289998258</v>
      </c>
      <c r="AC84" s="99">
        <v>515.14119640237516</v>
      </c>
      <c r="AG84" s="78"/>
      <c r="AH84" s="4">
        <f t="shared" si="18"/>
        <v>0.04</v>
      </c>
      <c r="AI84" s="8">
        <f t="shared" ca="1" si="19"/>
        <v>0.02</v>
      </c>
      <c r="AJ84" s="4">
        <f t="shared" ca="1" si="22"/>
        <v>-0.02</v>
      </c>
      <c r="AK84" s="4">
        <f t="shared" ca="1" si="20"/>
        <v>10.302823928047504</v>
      </c>
    </row>
    <row r="85" spans="2:37" x14ac:dyDescent="0.2">
      <c r="B85" s="4" t="s">
        <v>50</v>
      </c>
      <c r="C85" s="4">
        <v>0.22724111322015161</v>
      </c>
      <c r="D85" s="4" t="s">
        <v>36</v>
      </c>
      <c r="E85" s="4" t="s">
        <v>36</v>
      </c>
      <c r="P85" s="4" t="str">
        <f ca="1"/>
        <v>B</v>
      </c>
      <c r="Q85" s="79" cm="1">
        <f t="array" aca="1" ref="Q85:V85" ca="1">INDIRECT(P85)</f>
        <v>9.5238095238095233E-2</v>
      </c>
      <c r="R85" s="79">
        <f ca="1"/>
        <v>0.61904761904761907</v>
      </c>
      <c r="S85" s="79">
        <f ca="1"/>
        <v>0.90476190476190477</v>
      </c>
      <c r="T85" s="79">
        <f ca="1"/>
        <v>1</v>
      </c>
      <c r="U85" s="79">
        <f ca="1"/>
        <v>1</v>
      </c>
      <c r="V85" s="79">
        <f ca="1"/>
        <v>1</v>
      </c>
      <c r="W85" s="78">
        <f t="shared" ca="1" si="23"/>
        <v>0.81963933141502909</v>
      </c>
      <c r="X85" s="4" cm="1">
        <f t="array" aca="1" ref="X85" ca="1">MIN(SUM((Q85:V85&lt;W85)+0)+1,6)</f>
        <v>3</v>
      </c>
      <c r="Y85" s="4" t="str">
        <f t="shared" ca="1" si="21"/>
        <v>C_</v>
      </c>
      <c r="AA85" s="97">
        <v>78.506579465083945</v>
      </c>
      <c r="AB85" s="98">
        <v>9.2567581635757588</v>
      </c>
      <c r="AC85" s="99">
        <v>726.71642035782486</v>
      </c>
      <c r="AG85" s="78"/>
      <c r="AH85" s="4">
        <f t="shared" si="18"/>
        <v>0.01</v>
      </c>
      <c r="AI85" s="8">
        <f t="shared" ca="1" si="19"/>
        <v>0.02</v>
      </c>
      <c r="AJ85" s="4">
        <f t="shared" ca="1" si="22"/>
        <v>0.01</v>
      </c>
      <c r="AK85" s="4">
        <f t="shared" ca="1" si="20"/>
        <v>-7.2671642035782487</v>
      </c>
    </row>
    <row r="86" spans="2:37" x14ac:dyDescent="0.2">
      <c r="B86" s="4" t="s">
        <v>49</v>
      </c>
      <c r="C86" s="4">
        <v>0.98565679401413675</v>
      </c>
      <c r="D86" s="4" t="s">
        <v>31</v>
      </c>
      <c r="E86" s="4" t="s">
        <v>27</v>
      </c>
      <c r="P86" s="4" t="str">
        <f ca="1"/>
        <v>F</v>
      </c>
      <c r="Q86" s="79" cm="1">
        <f t="array" aca="1" ref="Q86:V86" ca="1">INDIRECT(P86)</f>
        <v>0</v>
      </c>
      <c r="R86" s="79">
        <f ca="1"/>
        <v>0</v>
      </c>
      <c r="S86" s="79">
        <f ca="1"/>
        <v>0</v>
      </c>
      <c r="T86" s="79">
        <f ca="1"/>
        <v>0</v>
      </c>
      <c r="U86" s="79">
        <f ca="1"/>
        <v>0</v>
      </c>
      <c r="V86" s="79">
        <f ca="1"/>
        <v>0</v>
      </c>
      <c r="W86" s="78">
        <f t="shared" ca="1" si="23"/>
        <v>0.62461635878650679</v>
      </c>
      <c r="X86" s="4" cm="1">
        <f t="array" aca="1" ref="X86" ca="1">MIN(SUM((Q86:V86&lt;W86)+0)+1,6)</f>
        <v>6</v>
      </c>
      <c r="Y86" s="4" t="str">
        <f t="shared" ca="1" si="21"/>
        <v>F</v>
      </c>
      <c r="AA86" s="97">
        <v>19.031860118986621</v>
      </c>
      <c r="AB86" s="98">
        <v>2.8787209093899961</v>
      </c>
      <c r="AC86" s="99">
        <v>54.787413669112368</v>
      </c>
      <c r="AG86" s="78"/>
      <c r="AH86" s="4">
        <f t="shared" si="18"/>
        <v>0.08</v>
      </c>
      <c r="AI86" s="8" t="str">
        <f t="shared" ca="1" si="19"/>
        <v>N/A</v>
      </c>
      <c r="AJ86" s="4">
        <f t="shared" ca="1" si="22"/>
        <v>0</v>
      </c>
      <c r="AK86" s="4">
        <f t="shared" ca="1" si="20"/>
        <v>0</v>
      </c>
    </row>
    <row r="87" spans="2:37" x14ac:dyDescent="0.2">
      <c r="B87" s="4" t="s">
        <v>48</v>
      </c>
      <c r="C87" s="4">
        <v>0.56165831800490862</v>
      </c>
      <c r="D87" s="4" t="s">
        <v>21</v>
      </c>
      <c r="E87" s="4" t="s">
        <v>31</v>
      </c>
      <c r="P87" s="4" t="str">
        <f ca="1"/>
        <v>E</v>
      </c>
      <c r="Q87" s="79" cm="1">
        <f t="array" aca="1" ref="Q87:V87" ca="1">INDIRECT(P87)</f>
        <v>0</v>
      </c>
      <c r="R87" s="79">
        <f ca="1"/>
        <v>0</v>
      </c>
      <c r="S87" s="79">
        <f ca="1"/>
        <v>0</v>
      </c>
      <c r="T87" s="79">
        <f ca="1"/>
        <v>0.12</v>
      </c>
      <c r="U87" s="79">
        <f ca="1"/>
        <v>0.36</v>
      </c>
      <c r="V87" s="79">
        <f ca="1"/>
        <v>1</v>
      </c>
      <c r="W87" s="78">
        <f t="shared" ca="1" si="23"/>
        <v>0.85594273683673971</v>
      </c>
      <c r="X87" s="4" cm="1">
        <f t="array" aca="1" ref="X87" ca="1">MIN(SUM((Q87:V87&lt;W87)+0)+1,6)</f>
        <v>6</v>
      </c>
      <c r="Y87" s="4" t="str">
        <f t="shared" ca="1" si="21"/>
        <v>F</v>
      </c>
      <c r="AA87" s="97">
        <v>16.766483343881809</v>
      </c>
      <c r="AB87" s="98">
        <v>2.3133062556866202</v>
      </c>
      <c r="AC87" s="99">
        <v>38.78601080526731</v>
      </c>
      <c r="AG87" s="78"/>
      <c r="AH87" s="4">
        <f t="shared" si="18"/>
        <v>0.02</v>
      </c>
      <c r="AI87" s="8" t="str">
        <f t="shared" ca="1" si="19"/>
        <v>N/A</v>
      </c>
      <c r="AJ87" s="4">
        <f t="shared" ca="1" si="22"/>
        <v>0</v>
      </c>
      <c r="AK87" s="4">
        <f t="shared" ca="1" si="20"/>
        <v>0</v>
      </c>
    </row>
    <row r="88" spans="2:37" x14ac:dyDescent="0.2">
      <c r="B88" s="4" t="s">
        <v>47</v>
      </c>
      <c r="C88" s="4">
        <v>0.78028204907125442</v>
      </c>
      <c r="D88" s="4" t="s">
        <v>20</v>
      </c>
      <c r="E88" s="4" t="s">
        <v>31</v>
      </c>
      <c r="P88" s="4" t="str">
        <f ca="1"/>
        <v>E</v>
      </c>
      <c r="Q88" s="79" cm="1">
        <f t="array" aca="1" ref="Q88:V88" ca="1">INDIRECT(P88)</f>
        <v>0</v>
      </c>
      <c r="R88" s="79">
        <f ca="1"/>
        <v>0</v>
      </c>
      <c r="S88" s="79">
        <f ca="1"/>
        <v>0</v>
      </c>
      <c r="T88" s="79">
        <f ca="1"/>
        <v>0.12</v>
      </c>
      <c r="U88" s="79">
        <f ca="1"/>
        <v>0.36</v>
      </c>
      <c r="V88" s="79">
        <f ca="1"/>
        <v>1</v>
      </c>
      <c r="W88" s="78">
        <f t="shared" ca="1" si="23"/>
        <v>0.40986091562323246</v>
      </c>
      <c r="X88" s="4" cm="1">
        <f t="array" aca="1" ref="X88" ca="1">MIN(SUM((Q88:V88&lt;W88)+0)+1,6)</f>
        <v>6</v>
      </c>
      <c r="Y88" s="4" t="str">
        <f t="shared" ca="1" si="21"/>
        <v>F</v>
      </c>
      <c r="AA88" s="97">
        <v>42.295637722709913</v>
      </c>
      <c r="AB88" s="98">
        <v>3.5445228141367422</v>
      </c>
      <c r="AC88" s="99">
        <v>149.9178528466079</v>
      </c>
      <c r="AG88" s="78"/>
      <c r="AH88" s="4">
        <f t="shared" si="18"/>
        <v>0.04</v>
      </c>
      <c r="AI88" s="8" t="str">
        <f t="shared" ca="1" si="19"/>
        <v>N/A</v>
      </c>
      <c r="AJ88" s="4">
        <f t="shared" ca="1" si="22"/>
        <v>0</v>
      </c>
      <c r="AK88" s="4">
        <f t="shared" ca="1" si="20"/>
        <v>0</v>
      </c>
    </row>
    <row r="89" spans="2:37" x14ac:dyDescent="0.2">
      <c r="B89" s="4" t="s">
        <v>46</v>
      </c>
      <c r="C89" s="4">
        <v>0.434984899765402</v>
      </c>
      <c r="D89" s="4" t="s">
        <v>21</v>
      </c>
      <c r="E89" s="4" t="s">
        <v>36</v>
      </c>
      <c r="P89" s="4" t="str">
        <f ca="1"/>
        <v>B</v>
      </c>
      <c r="Q89" s="79" cm="1">
        <f t="array" aca="1" ref="Q89:V89" ca="1">INDIRECT(P89)</f>
        <v>9.5238095238095233E-2</v>
      </c>
      <c r="R89" s="79">
        <f ca="1"/>
        <v>0.61904761904761907</v>
      </c>
      <c r="S89" s="79">
        <f ca="1"/>
        <v>0.90476190476190477</v>
      </c>
      <c r="T89" s="79">
        <f ca="1"/>
        <v>1</v>
      </c>
      <c r="U89" s="79">
        <f ca="1"/>
        <v>1</v>
      </c>
      <c r="V89" s="79">
        <f ca="1"/>
        <v>1</v>
      </c>
      <c r="W89" s="78">
        <f t="shared" ca="1" si="23"/>
        <v>0.36926510821865366</v>
      </c>
      <c r="X89" s="4" cm="1">
        <f t="array" aca="1" ref="X89" ca="1">MIN(SUM((Q89:V89&lt;W89)+0)+1,6)</f>
        <v>2</v>
      </c>
      <c r="Y89" s="4" t="str">
        <f t="shared" ca="1" si="21"/>
        <v>B</v>
      </c>
      <c r="AA89" s="97">
        <v>0.47752840883801273</v>
      </c>
      <c r="AB89" s="98">
        <v>9.3846887639024654</v>
      </c>
      <c r="AC89" s="99">
        <v>4.4814554928663206</v>
      </c>
      <c r="AG89" s="78"/>
      <c r="AH89" s="4">
        <f t="shared" si="18"/>
        <v>0.02</v>
      </c>
      <c r="AI89" s="8">
        <f t="shared" ca="1" si="19"/>
        <v>0.01</v>
      </c>
      <c r="AJ89" s="4">
        <f t="shared" ca="1" si="22"/>
        <v>-0.01</v>
      </c>
      <c r="AK89" s="4">
        <f t="shared" ca="1" si="20"/>
        <v>4.4814554928663208E-2</v>
      </c>
    </row>
    <row r="90" spans="2:37" x14ac:dyDescent="0.2">
      <c r="B90" s="4" t="s">
        <v>45</v>
      </c>
      <c r="C90" s="4">
        <v>0.83827533834394208</v>
      </c>
      <c r="D90" s="4" t="s">
        <v>31</v>
      </c>
      <c r="E90" s="4" t="s">
        <v>31</v>
      </c>
      <c r="P90" s="4" t="str">
        <f ca="1"/>
        <v>E</v>
      </c>
      <c r="Q90" s="79" cm="1">
        <f t="array" aca="1" ref="Q90:V90" ca="1">INDIRECT(P90)</f>
        <v>0</v>
      </c>
      <c r="R90" s="79">
        <f ca="1"/>
        <v>0</v>
      </c>
      <c r="S90" s="79">
        <f ca="1"/>
        <v>0</v>
      </c>
      <c r="T90" s="79">
        <f ca="1"/>
        <v>0.12</v>
      </c>
      <c r="U90" s="79">
        <f ca="1"/>
        <v>0.36</v>
      </c>
      <c r="V90" s="79">
        <f ca="1"/>
        <v>1</v>
      </c>
      <c r="W90" s="78">
        <f t="shared" ca="1" si="23"/>
        <v>0.1317329836425235</v>
      </c>
      <c r="X90" s="4" cm="1">
        <f t="array" aca="1" ref="X90" ca="1">MIN(SUM((Q90:V90&lt;W90)+0)+1,6)</f>
        <v>5</v>
      </c>
      <c r="Y90" s="4" t="str">
        <f t="shared" ca="1" si="21"/>
        <v>E</v>
      </c>
      <c r="AA90" s="97">
        <v>63.85261731434678</v>
      </c>
      <c r="AB90" s="98">
        <v>2.6562703793921041</v>
      </c>
      <c r="AC90" s="99">
        <v>169.60981601875875</v>
      </c>
      <c r="AG90" s="78"/>
      <c r="AH90" s="4">
        <f t="shared" si="18"/>
        <v>0.08</v>
      </c>
      <c r="AI90" s="8">
        <f t="shared" ca="1" si="19"/>
        <v>0.08</v>
      </c>
      <c r="AJ90" s="4">
        <f t="shared" ca="1" si="22"/>
        <v>0</v>
      </c>
      <c r="AK90" s="4">
        <f t="shared" ca="1" si="20"/>
        <v>0</v>
      </c>
    </row>
    <row r="91" spans="2:37" x14ac:dyDescent="0.2">
      <c r="B91" s="4" t="s">
        <v>44</v>
      </c>
      <c r="C91" s="4">
        <v>0.53822666933083452</v>
      </c>
      <c r="D91" s="4" t="s">
        <v>21</v>
      </c>
      <c r="E91" s="4" t="s">
        <v>31</v>
      </c>
      <c r="P91" s="4" t="str">
        <f ca="1"/>
        <v>E</v>
      </c>
      <c r="Q91" s="79" cm="1">
        <f t="array" aca="1" ref="Q91:V91" ca="1">INDIRECT(P91)</f>
        <v>0</v>
      </c>
      <c r="R91" s="79">
        <f ca="1"/>
        <v>0</v>
      </c>
      <c r="S91" s="79">
        <f ca="1"/>
        <v>0</v>
      </c>
      <c r="T91" s="79">
        <f ca="1"/>
        <v>0.12</v>
      </c>
      <c r="U91" s="79">
        <f ca="1"/>
        <v>0.36</v>
      </c>
      <c r="V91" s="79">
        <f ca="1"/>
        <v>1</v>
      </c>
      <c r="W91" s="78">
        <f t="shared" ca="1" si="23"/>
        <v>0.90798875775777055</v>
      </c>
      <c r="X91" s="4" cm="1">
        <f t="array" aca="1" ref="X91" ca="1">MIN(SUM((Q91:V91&lt;W91)+0)+1,6)</f>
        <v>6</v>
      </c>
      <c r="Y91" s="4" t="str">
        <f t="shared" ca="1" si="21"/>
        <v>F</v>
      </c>
      <c r="AA91" s="97">
        <v>74.484454613584461</v>
      </c>
      <c r="AB91" s="98">
        <v>3.5853906193890581</v>
      </c>
      <c r="AC91" s="99">
        <v>267.05586486185575</v>
      </c>
      <c r="AG91" s="78"/>
      <c r="AH91" s="4">
        <f t="shared" si="18"/>
        <v>0.02</v>
      </c>
      <c r="AI91" s="8" t="str">
        <f t="shared" ca="1" si="19"/>
        <v>N/A</v>
      </c>
      <c r="AJ91" s="4">
        <f t="shared" ca="1" si="22"/>
        <v>0</v>
      </c>
      <c r="AK91" s="4">
        <f t="shared" ca="1" si="20"/>
        <v>0</v>
      </c>
    </row>
    <row r="92" spans="2:37" x14ac:dyDescent="0.2">
      <c r="B92" s="4" t="s">
        <v>43</v>
      </c>
      <c r="C92" s="4">
        <v>0.78100542885218072</v>
      </c>
      <c r="D92" s="4" t="s">
        <v>20</v>
      </c>
      <c r="E92" s="4" t="s">
        <v>31</v>
      </c>
      <c r="P92" s="4" t="str">
        <f ca="1"/>
        <v>E</v>
      </c>
      <c r="Q92" s="79" cm="1">
        <f t="array" aca="1" ref="Q92:V92" ca="1">INDIRECT(P92)</f>
        <v>0</v>
      </c>
      <c r="R92" s="79">
        <f ca="1"/>
        <v>0</v>
      </c>
      <c r="S92" s="79">
        <f ca="1"/>
        <v>0</v>
      </c>
      <c r="T92" s="79">
        <f ca="1"/>
        <v>0.12</v>
      </c>
      <c r="U92" s="79">
        <f ca="1"/>
        <v>0.36</v>
      </c>
      <c r="V92" s="79">
        <f ca="1"/>
        <v>1</v>
      </c>
      <c r="W92" s="78">
        <f t="shared" ca="1" si="23"/>
        <v>0.98428148538354288</v>
      </c>
      <c r="X92" s="4" cm="1">
        <f t="array" aca="1" ref="X92" ca="1">MIN(SUM((Q92:V92&lt;W92)+0)+1,6)</f>
        <v>6</v>
      </c>
      <c r="Y92" s="4" t="str">
        <f t="shared" ca="1" si="21"/>
        <v>F</v>
      </c>
      <c r="AA92" s="97">
        <v>96.724609382262159</v>
      </c>
      <c r="AB92" s="98">
        <v>2.6262341414169561</v>
      </c>
      <c r="AC92" s="99">
        <v>254.02147147491573</v>
      </c>
      <c r="AG92" s="78"/>
      <c r="AH92" s="4">
        <f t="shared" si="18"/>
        <v>0.04</v>
      </c>
      <c r="AI92" s="8" t="str">
        <f t="shared" ca="1" si="19"/>
        <v>N/A</v>
      </c>
      <c r="AJ92" s="4">
        <f t="shared" ca="1" si="22"/>
        <v>0</v>
      </c>
      <c r="AK92" s="4">
        <f t="shared" ca="1" si="20"/>
        <v>0</v>
      </c>
    </row>
    <row r="93" spans="2:37" x14ac:dyDescent="0.2">
      <c r="B93" s="4" t="s">
        <v>42</v>
      </c>
      <c r="C93" s="4">
        <v>0.36391068529626602</v>
      </c>
      <c r="D93" s="4" t="s">
        <v>36</v>
      </c>
      <c r="E93" s="4" t="s">
        <v>36</v>
      </c>
      <c r="P93" s="4" t="str">
        <f ca="1"/>
        <v>B</v>
      </c>
      <c r="Q93" s="79" cm="1">
        <f t="array" aca="1" ref="Q93:V93" ca="1">INDIRECT(P93)</f>
        <v>9.5238095238095233E-2</v>
      </c>
      <c r="R93" s="79">
        <f ca="1"/>
        <v>0.61904761904761907</v>
      </c>
      <c r="S93" s="79">
        <f ca="1"/>
        <v>0.90476190476190477</v>
      </c>
      <c r="T93" s="79">
        <f ca="1"/>
        <v>1</v>
      </c>
      <c r="U93" s="79">
        <f ca="1"/>
        <v>1</v>
      </c>
      <c r="V93" s="79">
        <f ca="1"/>
        <v>1</v>
      </c>
      <c r="W93" s="78">
        <f t="shared" ca="1" si="23"/>
        <v>0.65388062090045151</v>
      </c>
      <c r="X93" s="4" cm="1">
        <f t="array" aca="1" ref="X93" ca="1">MIN(SUM((Q93:V93&lt;W93)+0)+1,6)</f>
        <v>3</v>
      </c>
      <c r="Y93" s="4" t="str">
        <f t="shared" ca="1" si="21"/>
        <v>C_</v>
      </c>
      <c r="AA93" s="97">
        <v>80.864704132654879</v>
      </c>
      <c r="AB93" s="98">
        <v>8.1598692452692294</v>
      </c>
      <c r="AC93" s="99">
        <v>659.84541227984607</v>
      </c>
      <c r="AG93" s="78"/>
      <c r="AH93" s="4">
        <f t="shared" si="18"/>
        <v>0.01</v>
      </c>
      <c r="AI93" s="8">
        <f t="shared" ca="1" si="19"/>
        <v>0.02</v>
      </c>
      <c r="AJ93" s="4">
        <f t="shared" ca="1" si="22"/>
        <v>0.01</v>
      </c>
      <c r="AK93" s="4">
        <f t="shared" ca="1" si="20"/>
        <v>-6.5984541227984606</v>
      </c>
    </row>
    <row r="94" spans="2:37" x14ac:dyDescent="0.2">
      <c r="B94" s="4" t="s">
        <v>41</v>
      </c>
      <c r="C94" s="4">
        <v>0.87143062788127279</v>
      </c>
      <c r="D94" s="4" t="s">
        <v>31</v>
      </c>
      <c r="E94" s="4" t="s">
        <v>27</v>
      </c>
      <c r="P94" s="4" t="str">
        <f ca="1"/>
        <v>F</v>
      </c>
      <c r="Q94" s="79" cm="1">
        <f t="array" aca="1" ref="Q94:V94" ca="1">INDIRECT(P94)</f>
        <v>0</v>
      </c>
      <c r="R94" s="79">
        <f ca="1"/>
        <v>0</v>
      </c>
      <c r="S94" s="79">
        <f ca="1"/>
        <v>0</v>
      </c>
      <c r="T94" s="79">
        <f ca="1"/>
        <v>0</v>
      </c>
      <c r="U94" s="79">
        <f ca="1"/>
        <v>0</v>
      </c>
      <c r="V94" s="79">
        <f ca="1"/>
        <v>0</v>
      </c>
      <c r="W94" s="78">
        <f t="shared" ca="1" si="23"/>
        <v>2.8560388154034166E-2</v>
      </c>
      <c r="X94" s="4" cm="1">
        <f t="array" aca="1" ref="X94" ca="1">MIN(SUM((Q94:V94&lt;W94)+0)+1,6)</f>
        <v>6</v>
      </c>
      <c r="Y94" s="4" t="str">
        <f t="shared" ca="1" si="21"/>
        <v>F</v>
      </c>
      <c r="AA94" s="97">
        <v>47.641729430050354</v>
      </c>
      <c r="AB94" s="98">
        <v>1.2026504189420528E-2</v>
      </c>
      <c r="AC94" s="99">
        <v>0.57296345858173992</v>
      </c>
      <c r="AG94" s="78"/>
      <c r="AH94" s="4">
        <f t="shared" si="18"/>
        <v>0.08</v>
      </c>
      <c r="AI94" s="8" t="str">
        <f t="shared" ca="1" si="19"/>
        <v>N/A</v>
      </c>
      <c r="AJ94" s="4">
        <f t="shared" ca="1" si="22"/>
        <v>0</v>
      </c>
      <c r="AK94" s="4">
        <f t="shared" ca="1" si="20"/>
        <v>0</v>
      </c>
    </row>
    <row r="95" spans="2:37" x14ac:dyDescent="0.2">
      <c r="B95" s="4" t="s">
        <v>40</v>
      </c>
      <c r="C95" s="4">
        <v>0.67461747316541898</v>
      </c>
      <c r="D95" s="4" t="s">
        <v>20</v>
      </c>
      <c r="E95" s="4" t="s">
        <v>31</v>
      </c>
      <c r="P95" s="4" t="str">
        <f ca="1"/>
        <v>E</v>
      </c>
      <c r="Q95" s="79" cm="1">
        <f t="array" aca="1" ref="Q95:V95" ca="1">INDIRECT(P95)</f>
        <v>0</v>
      </c>
      <c r="R95" s="79">
        <f ca="1"/>
        <v>0</v>
      </c>
      <c r="S95" s="79">
        <f ca="1"/>
        <v>0</v>
      </c>
      <c r="T95" s="79">
        <f ca="1"/>
        <v>0.12</v>
      </c>
      <c r="U95" s="79">
        <f ca="1"/>
        <v>0.36</v>
      </c>
      <c r="V95" s="79">
        <f ca="1"/>
        <v>1</v>
      </c>
      <c r="W95" s="78">
        <f t="shared" ca="1" si="23"/>
        <v>0.47373874266683103</v>
      </c>
      <c r="X95" s="4" cm="1">
        <f t="array" aca="1" ref="X95" ca="1">MIN(SUM((Q95:V95&lt;W95)+0)+1,6)</f>
        <v>6</v>
      </c>
      <c r="Y95" s="4" t="str">
        <f t="shared" ca="1" si="21"/>
        <v>F</v>
      </c>
      <c r="AA95" s="97">
        <v>27.892599466123869</v>
      </c>
      <c r="AB95" s="98">
        <v>2.5937053053895949</v>
      </c>
      <c r="AC95" s="99">
        <v>72.345183216392456</v>
      </c>
      <c r="AG95" s="78"/>
      <c r="AH95" s="4">
        <f t="shared" si="18"/>
        <v>0.04</v>
      </c>
      <c r="AI95" s="8" t="str">
        <f t="shared" ca="1" si="19"/>
        <v>N/A</v>
      </c>
      <c r="AJ95" s="4">
        <f t="shared" ca="1" si="22"/>
        <v>0</v>
      </c>
      <c r="AK95" s="4">
        <f t="shared" ca="1" si="20"/>
        <v>0</v>
      </c>
    </row>
    <row r="96" spans="2:37" x14ac:dyDescent="0.2">
      <c r="B96" s="4" t="s">
        <v>39</v>
      </c>
      <c r="C96" s="4">
        <v>0.190127743072105</v>
      </c>
      <c r="D96" s="4" t="s">
        <v>23</v>
      </c>
      <c r="E96" s="4" t="s">
        <v>23</v>
      </c>
      <c r="P96" s="4" t="str">
        <f ca="1"/>
        <v>A</v>
      </c>
      <c r="Q96" s="79" cm="1">
        <f t="array" aca="1" ref="Q96:V96" ca="1">INDIRECT(P96)</f>
        <v>0.53846153846153844</v>
      </c>
      <c r="R96" s="79">
        <f ca="1"/>
        <v>0.84615384615384615</v>
      </c>
      <c r="S96" s="79">
        <f ca="1"/>
        <v>1</v>
      </c>
      <c r="T96" s="79">
        <f ca="1"/>
        <v>1</v>
      </c>
      <c r="U96" s="79">
        <f ca="1"/>
        <v>1</v>
      </c>
      <c r="V96" s="79">
        <f ca="1"/>
        <v>1</v>
      </c>
      <c r="W96" s="78">
        <f t="shared" ca="1" si="23"/>
        <v>0.69696652947565807</v>
      </c>
      <c r="X96" s="4" cm="1">
        <f t="array" aca="1" ref="X96" ca="1">MIN(SUM((Q96:V96&lt;W96)+0)+1,6)</f>
        <v>2</v>
      </c>
      <c r="Y96" s="4" t="str">
        <f t="shared" ca="1" si="21"/>
        <v>B</v>
      </c>
      <c r="AA96" s="97">
        <v>67.106419204318897</v>
      </c>
      <c r="AB96" s="98">
        <v>9.6544124807289879</v>
      </c>
      <c r="AC96" s="99">
        <v>647.87305110320779</v>
      </c>
      <c r="AG96" s="78"/>
      <c r="AH96" s="4">
        <f t="shared" si="18"/>
        <v>5.0000000000000001E-3</v>
      </c>
      <c r="AI96" s="8">
        <f t="shared" ca="1" si="19"/>
        <v>0.01</v>
      </c>
      <c r="AJ96" s="4">
        <f t="shared" ca="1" si="22"/>
        <v>5.0000000000000001E-3</v>
      </c>
      <c r="AK96" s="4">
        <f t="shared" ca="1" si="20"/>
        <v>-3.2393652555160388</v>
      </c>
    </row>
    <row r="97" spans="2:37" x14ac:dyDescent="0.2">
      <c r="B97" s="4" t="s">
        <v>38</v>
      </c>
      <c r="C97" s="4">
        <v>0.3015815400587385</v>
      </c>
      <c r="D97" s="4" t="s">
        <v>36</v>
      </c>
      <c r="E97" s="4" t="s">
        <v>36</v>
      </c>
      <c r="P97" s="4" t="str">
        <f ca="1"/>
        <v>B</v>
      </c>
      <c r="Q97" s="79" cm="1">
        <f t="array" aca="1" ref="Q97:V97" ca="1">INDIRECT(P97)</f>
        <v>9.5238095238095233E-2</v>
      </c>
      <c r="R97" s="79">
        <f ca="1"/>
        <v>0.61904761904761907</v>
      </c>
      <c r="S97" s="79">
        <f ca="1"/>
        <v>0.90476190476190477</v>
      </c>
      <c r="T97" s="79">
        <f ca="1"/>
        <v>1</v>
      </c>
      <c r="U97" s="79">
        <f ca="1"/>
        <v>1</v>
      </c>
      <c r="V97" s="79">
        <f ca="1"/>
        <v>1</v>
      </c>
      <c r="W97" s="78">
        <f t="shared" ca="1" si="23"/>
        <v>0.57314554956378561</v>
      </c>
      <c r="X97" s="4" cm="1">
        <f t="array" aca="1" ref="X97" ca="1">MIN(SUM((Q97:V97&lt;W97)+0)+1,6)</f>
        <v>2</v>
      </c>
      <c r="Y97" s="4" t="str">
        <f t="shared" ca="1" si="21"/>
        <v>B</v>
      </c>
      <c r="AA97" s="97">
        <v>88.907176996272412</v>
      </c>
      <c r="AB97" s="98">
        <v>8.5336396769490115</v>
      </c>
      <c r="AC97" s="99">
        <v>758.70181318091863</v>
      </c>
      <c r="AG97" s="78"/>
      <c r="AH97" s="4">
        <f t="shared" si="18"/>
        <v>0.01</v>
      </c>
      <c r="AI97" s="8">
        <f t="shared" ca="1" si="19"/>
        <v>0.01</v>
      </c>
      <c r="AJ97" s="4">
        <f t="shared" ca="1" si="22"/>
        <v>0</v>
      </c>
      <c r="AK97" s="4">
        <f t="shared" ca="1" si="20"/>
        <v>0</v>
      </c>
    </row>
    <row r="98" spans="2:37" x14ac:dyDescent="0.2">
      <c r="B98" s="4" t="s">
        <v>37</v>
      </c>
      <c r="C98" s="4">
        <v>0.33749567042133943</v>
      </c>
      <c r="D98" s="4" t="s">
        <v>36</v>
      </c>
      <c r="E98" s="4" t="s">
        <v>261</v>
      </c>
      <c r="P98" s="4" t="str">
        <f ca="1"/>
        <v>C_</v>
      </c>
      <c r="Q98" s="79" cm="1">
        <f t="array" aca="1" ref="Q98:V98" ca="1">INDIRECT(P98)</f>
        <v>0</v>
      </c>
      <c r="R98" s="79">
        <f ca="1"/>
        <v>9.5238095238095233E-2</v>
      </c>
      <c r="S98" s="79">
        <f ca="1"/>
        <v>0.2857142857142857</v>
      </c>
      <c r="T98" s="79">
        <f ca="1"/>
        <v>0.71428571428571419</v>
      </c>
      <c r="U98" s="79">
        <f ca="1"/>
        <v>0.99999999999999989</v>
      </c>
      <c r="V98" s="79">
        <f ca="1"/>
        <v>0.99999999999999989</v>
      </c>
      <c r="W98" s="78">
        <f t="shared" ca="1" si="23"/>
        <v>0.30692202897806942</v>
      </c>
      <c r="X98" s="4" cm="1">
        <f t="array" aca="1" ref="X98" ca="1">MIN(SUM((Q98:V98&lt;W98)+0)+1,6)</f>
        <v>4</v>
      </c>
      <c r="Y98" s="4" t="str">
        <f t="shared" ca="1" si="21"/>
        <v>D</v>
      </c>
      <c r="AA98" s="97">
        <v>47.654324325615626</v>
      </c>
      <c r="AB98" s="98">
        <v>8.4951872297418731</v>
      </c>
      <c r="AC98" s="99">
        <v>404.83240745294739</v>
      </c>
      <c r="AG98" s="78"/>
      <c r="AH98" s="4">
        <f t="shared" si="18"/>
        <v>0.01</v>
      </c>
      <c r="AI98" s="8">
        <f t="shared" ca="1" si="19"/>
        <v>0.04</v>
      </c>
      <c r="AJ98" s="4">
        <f t="shared" ca="1" si="22"/>
        <v>0.03</v>
      </c>
      <c r="AK98" s="4">
        <f t="shared" ca="1" si="20"/>
        <v>-12.144972223588422</v>
      </c>
    </row>
    <row r="99" spans="2:37" x14ac:dyDescent="0.2">
      <c r="B99" s="4" t="s">
        <v>35</v>
      </c>
      <c r="C99" s="4">
        <v>0.41743570679011921</v>
      </c>
      <c r="D99" s="4" t="s">
        <v>21</v>
      </c>
      <c r="E99" s="4" t="s">
        <v>261</v>
      </c>
      <c r="P99" s="4" t="str">
        <f ca="1"/>
        <v>C_</v>
      </c>
      <c r="Q99" s="79" cm="1">
        <f t="array" aca="1" ref="Q99:V99" ca="1">INDIRECT(P99)</f>
        <v>0</v>
      </c>
      <c r="R99" s="79">
        <f ca="1"/>
        <v>9.5238095238095233E-2</v>
      </c>
      <c r="S99" s="79">
        <f ca="1"/>
        <v>0.2857142857142857</v>
      </c>
      <c r="T99" s="79">
        <f ca="1"/>
        <v>0.71428571428571419</v>
      </c>
      <c r="U99" s="79">
        <f ca="1"/>
        <v>0.99999999999999989</v>
      </c>
      <c r="V99" s="79">
        <f ca="1"/>
        <v>0.99999999999999989</v>
      </c>
      <c r="W99" s="78">
        <f t="shared" ca="1" si="23"/>
        <v>0.59724322603940905</v>
      </c>
      <c r="X99" s="4" cm="1">
        <f t="array" aca="1" ref="X99" ca="1">MIN(SUM((Q99:V99&lt;W99)+0)+1,6)</f>
        <v>4</v>
      </c>
      <c r="Y99" s="4" t="str">
        <f t="shared" ca="1" si="21"/>
        <v>D</v>
      </c>
      <c r="AA99" s="97">
        <v>47.441377081877768</v>
      </c>
      <c r="AB99" s="98">
        <v>7.4091104969574344</v>
      </c>
      <c r="AC99" s="99">
        <v>351.49840492745642</v>
      </c>
      <c r="AG99" s="78"/>
      <c r="AH99" s="4">
        <f t="shared" si="18"/>
        <v>0.02</v>
      </c>
      <c r="AI99" s="8">
        <f t="shared" ca="1" si="19"/>
        <v>0.04</v>
      </c>
      <c r="AJ99" s="4">
        <f t="shared" ca="1" si="22"/>
        <v>0.02</v>
      </c>
      <c r="AK99" s="4">
        <f t="shared" ca="1" si="20"/>
        <v>-7.0299680985491282</v>
      </c>
    </row>
    <row r="100" spans="2:37" x14ac:dyDescent="0.2">
      <c r="B100" s="4" t="s">
        <v>34</v>
      </c>
      <c r="C100" s="4">
        <v>0.87620699852378636</v>
      </c>
      <c r="D100" s="4" t="s">
        <v>31</v>
      </c>
      <c r="E100" s="4" t="s">
        <v>20</v>
      </c>
      <c r="P100" s="4" t="str">
        <f ca="1"/>
        <v>D</v>
      </c>
      <c r="Q100" s="79" cm="1">
        <f t="array" aca="1" ref="Q100:V100" ca="1">INDIRECT(P100)</f>
        <v>0</v>
      </c>
      <c r="R100" s="79">
        <f ca="1"/>
        <v>0</v>
      </c>
      <c r="S100" s="79">
        <f ca="1"/>
        <v>0.1</v>
      </c>
      <c r="T100" s="79">
        <f ca="1"/>
        <v>0.5</v>
      </c>
      <c r="U100" s="79">
        <f ca="1"/>
        <v>0.85</v>
      </c>
      <c r="V100" s="79">
        <f ca="1"/>
        <v>1</v>
      </c>
      <c r="W100" s="78">
        <f t="shared" ca="1" si="23"/>
        <v>0.24641746626907512</v>
      </c>
      <c r="X100" s="4" cm="1">
        <f t="array" aca="1" ref="X100" ca="1">MIN(SUM((Q100:V100&lt;W100)+0)+1,6)</f>
        <v>4</v>
      </c>
      <c r="Y100" s="4" t="str">
        <f t="shared" ca="1" si="21"/>
        <v>D</v>
      </c>
      <c r="AA100" s="97">
        <v>58.929210125533857</v>
      </c>
      <c r="AB100" s="98">
        <v>5.3269695800033627</v>
      </c>
      <c r="AC100" s="99">
        <v>313.91410971234501</v>
      </c>
      <c r="AG100" s="78"/>
      <c r="AH100" s="4">
        <f t="shared" si="18"/>
        <v>0.08</v>
      </c>
      <c r="AI100" s="8">
        <f t="shared" ca="1" si="19"/>
        <v>0.04</v>
      </c>
      <c r="AJ100" s="4">
        <f t="shared" ca="1" si="22"/>
        <v>-0.04</v>
      </c>
      <c r="AK100" s="4">
        <f t="shared" ca="1" si="20"/>
        <v>12.556564388493801</v>
      </c>
    </row>
    <row r="101" spans="2:37" x14ac:dyDescent="0.2">
      <c r="B101" s="4" t="s">
        <v>33</v>
      </c>
      <c r="C101" s="4">
        <v>0.93159355039564817</v>
      </c>
      <c r="D101" s="4" t="s">
        <v>31</v>
      </c>
      <c r="E101" s="4" t="s">
        <v>27</v>
      </c>
      <c r="P101" s="4" t="str">
        <f ca="1"/>
        <v>F</v>
      </c>
      <c r="Q101" s="79" cm="1">
        <f t="array" aca="1" ref="Q101:V101" ca="1">INDIRECT(P101)</f>
        <v>0</v>
      </c>
      <c r="R101" s="79">
        <f ca="1"/>
        <v>0</v>
      </c>
      <c r="S101" s="79">
        <f ca="1"/>
        <v>0</v>
      </c>
      <c r="T101" s="79">
        <f ca="1"/>
        <v>0</v>
      </c>
      <c r="U101" s="79">
        <f ca="1"/>
        <v>0</v>
      </c>
      <c r="V101" s="79">
        <f ca="1"/>
        <v>0</v>
      </c>
      <c r="W101" s="78">
        <f t="shared" ca="1" si="23"/>
        <v>0.63889796297623613</v>
      </c>
      <c r="X101" s="4" cm="1">
        <f t="array" aca="1" ref="X101" ca="1">MIN(SUM((Q101:V101&lt;W101)+0)+1,6)</f>
        <v>6</v>
      </c>
      <c r="Y101" s="4" t="str">
        <f t="shared" ca="1" si="21"/>
        <v>F</v>
      </c>
      <c r="AA101" s="97">
        <v>11.092231390635309</v>
      </c>
      <c r="AB101" s="98">
        <v>2.0084027892347884</v>
      </c>
      <c r="AC101" s="99">
        <v>22.277668463789631</v>
      </c>
      <c r="AG101" s="78"/>
      <c r="AH101" s="4">
        <f t="shared" si="18"/>
        <v>0.08</v>
      </c>
      <c r="AI101" s="8" t="str">
        <f t="shared" ca="1" si="19"/>
        <v>N/A</v>
      </c>
      <c r="AJ101" s="4">
        <f t="shared" ca="1" si="22"/>
        <v>0</v>
      </c>
      <c r="AK101" s="4">
        <f t="shared" ca="1" si="20"/>
        <v>0</v>
      </c>
    </row>
    <row r="102" spans="2:37" x14ac:dyDescent="0.2">
      <c r="B102" s="4" t="s">
        <v>32</v>
      </c>
      <c r="C102" s="4">
        <v>0.5974665198857787</v>
      </c>
      <c r="D102" s="4" t="s">
        <v>21</v>
      </c>
      <c r="E102" s="4" t="s">
        <v>31</v>
      </c>
      <c r="P102" s="4" t="str">
        <f ca="1"/>
        <v>E</v>
      </c>
      <c r="Q102" s="79" cm="1">
        <f t="array" aca="1" ref="Q102:V102" ca="1">INDIRECT(P102)</f>
        <v>0</v>
      </c>
      <c r="R102" s="79">
        <f ca="1"/>
        <v>0</v>
      </c>
      <c r="S102" s="79">
        <f ca="1"/>
        <v>0</v>
      </c>
      <c r="T102" s="79">
        <f ca="1"/>
        <v>0.12</v>
      </c>
      <c r="U102" s="79">
        <f ca="1"/>
        <v>0.36</v>
      </c>
      <c r="V102" s="79">
        <f ca="1"/>
        <v>1</v>
      </c>
      <c r="W102" s="78">
        <f t="shared" ca="1" si="23"/>
        <v>0.63527955895995192</v>
      </c>
      <c r="X102" s="4" cm="1">
        <f t="array" aca="1" ref="X102" ca="1">MIN(SUM((Q102:V102&lt;W102)+0)+1,6)</f>
        <v>6</v>
      </c>
      <c r="Y102" s="4" t="str">
        <f t="shared" ca="1" si="21"/>
        <v>F</v>
      </c>
      <c r="AA102" s="97">
        <v>76.097769585438584</v>
      </c>
      <c r="AB102" s="98">
        <v>3.3711337325898234</v>
      </c>
      <c r="AC102" s="99">
        <v>256.53575802431993</v>
      </c>
      <c r="AG102" s="78"/>
      <c r="AH102" s="4">
        <f t="shared" si="18"/>
        <v>0.02</v>
      </c>
      <c r="AI102" s="8" t="str">
        <f t="shared" ca="1" si="19"/>
        <v>N/A</v>
      </c>
      <c r="AJ102" s="4">
        <f t="shared" ca="1" si="22"/>
        <v>0</v>
      </c>
      <c r="AK102" s="4">
        <f t="shared" ca="1" si="20"/>
        <v>0</v>
      </c>
    </row>
    <row r="103" spans="2:37" x14ac:dyDescent="0.2">
      <c r="B103" s="4" t="s">
        <v>30</v>
      </c>
      <c r="C103" s="4">
        <v>0.47410685578653822</v>
      </c>
      <c r="D103" s="4" t="s">
        <v>21</v>
      </c>
      <c r="E103" s="4" t="s">
        <v>20</v>
      </c>
      <c r="P103" s="4" t="str">
        <f ca="1"/>
        <v>D</v>
      </c>
      <c r="Q103" s="79" cm="1">
        <f t="array" aca="1" ref="Q103:V103" ca="1">INDIRECT(P103)</f>
        <v>0</v>
      </c>
      <c r="R103" s="79">
        <f ca="1"/>
        <v>0</v>
      </c>
      <c r="S103" s="79">
        <f ca="1"/>
        <v>0.1</v>
      </c>
      <c r="T103" s="79">
        <f ca="1"/>
        <v>0.5</v>
      </c>
      <c r="U103" s="79">
        <f ca="1"/>
        <v>0.85</v>
      </c>
      <c r="V103" s="79">
        <f ca="1"/>
        <v>1</v>
      </c>
      <c r="W103" s="78">
        <f t="shared" ca="1" si="23"/>
        <v>0.4154622830396939</v>
      </c>
      <c r="X103" s="4" cm="1">
        <f t="array" aca="1" ref="X103" ca="1">MIN(SUM((Q103:V103&lt;W103)+0)+1,6)</f>
        <v>4</v>
      </c>
      <c r="Y103" s="4" t="str">
        <f t="shared" ca="1" si="21"/>
        <v>D</v>
      </c>
      <c r="AA103" s="97">
        <v>81.022779930552375</v>
      </c>
      <c r="AB103" s="98">
        <v>5.1587719180004612</v>
      </c>
      <c r="AC103" s="99">
        <v>417.97804182406497</v>
      </c>
      <c r="AG103" s="78"/>
      <c r="AH103" s="4">
        <f t="shared" si="18"/>
        <v>0.02</v>
      </c>
      <c r="AI103" s="8">
        <f t="shared" ca="1" si="19"/>
        <v>0.04</v>
      </c>
      <c r="AJ103" s="4">
        <f t="shared" ca="1" si="22"/>
        <v>0.02</v>
      </c>
      <c r="AK103" s="4">
        <f t="shared" ca="1" si="20"/>
        <v>-8.3595608364813003</v>
      </c>
    </row>
    <row r="104" spans="2:37" x14ac:dyDescent="0.2">
      <c r="B104" s="4" t="s">
        <v>29</v>
      </c>
      <c r="C104" s="4">
        <v>0.65559589565764997</v>
      </c>
      <c r="D104" s="4" t="s">
        <v>20</v>
      </c>
      <c r="E104" s="4" t="s">
        <v>27</v>
      </c>
      <c r="P104" s="4" t="str">
        <f ca="1"/>
        <v>F</v>
      </c>
      <c r="Q104" s="79" cm="1">
        <f t="array" aca="1" ref="Q104:V104" ca="1">INDIRECT(P104)</f>
        <v>0</v>
      </c>
      <c r="R104" s="79">
        <f ca="1"/>
        <v>0</v>
      </c>
      <c r="S104" s="79">
        <f ca="1"/>
        <v>0</v>
      </c>
      <c r="T104" s="79">
        <f ca="1"/>
        <v>0</v>
      </c>
      <c r="U104" s="79">
        <f ca="1"/>
        <v>0</v>
      </c>
      <c r="V104" s="79">
        <f ca="1"/>
        <v>0</v>
      </c>
      <c r="W104" s="78">
        <f t="shared" ca="1" si="23"/>
        <v>0.23726284206798842</v>
      </c>
      <c r="X104" s="4" cm="1">
        <f t="array" aca="1" ref="X104" ca="1">MIN(SUM((Q104:V104&lt;W104)+0)+1,6)</f>
        <v>6</v>
      </c>
      <c r="Y104" s="4" t="str">
        <f t="shared" ca="1" si="21"/>
        <v>F</v>
      </c>
      <c r="AA104" s="97">
        <v>42.636145159749503</v>
      </c>
      <c r="AB104" s="98">
        <v>1.1133427327017777</v>
      </c>
      <c r="AC104" s="99">
        <v>47.468642364025186</v>
      </c>
      <c r="AG104" s="78"/>
      <c r="AH104" s="4">
        <f t="shared" si="18"/>
        <v>0.04</v>
      </c>
      <c r="AI104" s="8" t="str">
        <f t="shared" ca="1" si="19"/>
        <v>N/A</v>
      </c>
      <c r="AJ104" s="4">
        <f t="shared" ca="1" si="22"/>
        <v>0</v>
      </c>
      <c r="AK104" s="4">
        <f t="shared" ca="1" si="20"/>
        <v>0</v>
      </c>
    </row>
    <row r="105" spans="2:37" x14ac:dyDescent="0.2">
      <c r="B105" s="4" t="s">
        <v>28</v>
      </c>
      <c r="C105" s="4">
        <v>0.76356759394203066</v>
      </c>
      <c r="D105" s="4" t="s">
        <v>20</v>
      </c>
      <c r="E105" s="4" t="s">
        <v>27</v>
      </c>
      <c r="P105" s="4" t="str">
        <f ca="1"/>
        <v>F</v>
      </c>
      <c r="Q105" s="79" cm="1">
        <f t="array" aca="1" ref="Q105:V105" ca="1">INDIRECT(P105)</f>
        <v>0</v>
      </c>
      <c r="R105" s="79">
        <f ca="1"/>
        <v>0</v>
      </c>
      <c r="S105" s="79">
        <f ca="1"/>
        <v>0</v>
      </c>
      <c r="T105" s="79">
        <f ca="1"/>
        <v>0</v>
      </c>
      <c r="U105" s="79">
        <f ca="1"/>
        <v>0</v>
      </c>
      <c r="V105" s="79">
        <f ca="1"/>
        <v>0</v>
      </c>
      <c r="W105" s="78">
        <f t="shared" ca="1" si="23"/>
        <v>0.32286036656384176</v>
      </c>
      <c r="X105" s="4" cm="1">
        <f t="array" aca="1" ref="X105" ca="1">MIN(SUM((Q105:V105&lt;W105)+0)+1,6)</f>
        <v>6</v>
      </c>
      <c r="Y105" s="4" t="str">
        <f t="shared" ca="1" si="21"/>
        <v>F</v>
      </c>
      <c r="AA105" s="97">
        <v>17.533405807868935</v>
      </c>
      <c r="AB105" s="98">
        <v>2.5759835494768506</v>
      </c>
      <c r="AC105" s="99">
        <v>45.165764927372244</v>
      </c>
      <c r="AG105" s="78"/>
      <c r="AH105" s="4">
        <f t="shared" si="18"/>
        <v>0.04</v>
      </c>
      <c r="AI105" s="8" t="str">
        <f t="shared" ca="1" si="19"/>
        <v>N/A</v>
      </c>
      <c r="AJ105" s="4">
        <f t="shared" ca="1" si="22"/>
        <v>0</v>
      </c>
      <c r="AK105" s="4">
        <f t="shared" ca="1" si="20"/>
        <v>0</v>
      </c>
    </row>
    <row r="106" spans="2:37" x14ac:dyDescent="0.2">
      <c r="B106" s="4" t="s">
        <v>26</v>
      </c>
      <c r="C106" s="4">
        <v>0.42212135662889816</v>
      </c>
      <c r="D106" s="4" t="s">
        <v>21</v>
      </c>
      <c r="E106" s="4" t="s">
        <v>261</v>
      </c>
      <c r="P106" s="4" t="str">
        <f ca="1"/>
        <v>C_</v>
      </c>
      <c r="Q106" s="79" cm="1">
        <f t="array" aca="1" ref="Q106:V106" ca="1">INDIRECT(P106)</f>
        <v>0</v>
      </c>
      <c r="R106" s="79">
        <f ca="1"/>
        <v>9.5238095238095233E-2</v>
      </c>
      <c r="S106" s="79">
        <f ca="1"/>
        <v>0.2857142857142857</v>
      </c>
      <c r="T106" s="79">
        <f ca="1"/>
        <v>0.71428571428571419</v>
      </c>
      <c r="U106" s="79">
        <f ca="1"/>
        <v>0.99999999999999989</v>
      </c>
      <c r="V106" s="79">
        <f ca="1"/>
        <v>0.99999999999999989</v>
      </c>
      <c r="W106" s="78">
        <f t="shared" ca="1" si="23"/>
        <v>0.31380066968220066</v>
      </c>
      <c r="X106" s="4" cm="1">
        <f t="array" aca="1" ref="X106" ca="1">MIN(SUM((Q106:V106&lt;W106)+0)+1,6)</f>
        <v>4</v>
      </c>
      <c r="Y106" s="4" t="str">
        <f t="shared" ca="1" si="21"/>
        <v>D</v>
      </c>
      <c r="AA106" s="97">
        <v>41.515905431460766</v>
      </c>
      <c r="AB106" s="98">
        <v>7.8158847513967515</v>
      </c>
      <c r="AC106" s="99">
        <v>324.48353220218377</v>
      </c>
      <c r="AG106" s="78"/>
      <c r="AH106" s="4">
        <f t="shared" si="18"/>
        <v>0.02</v>
      </c>
      <c r="AI106" s="8">
        <f t="shared" ca="1" si="19"/>
        <v>0.04</v>
      </c>
      <c r="AJ106" s="4">
        <f t="shared" ca="1" si="22"/>
        <v>0.02</v>
      </c>
      <c r="AK106" s="4">
        <f t="shared" ca="1" si="20"/>
        <v>-6.4896706440436756</v>
      </c>
    </row>
    <row r="107" spans="2:37" x14ac:dyDescent="0.2">
      <c r="B107" s="4" t="s">
        <v>25</v>
      </c>
      <c r="C107" s="4">
        <v>0.607187631368174</v>
      </c>
      <c r="D107" s="4" t="s">
        <v>20</v>
      </c>
      <c r="E107" s="4" t="s">
        <v>20</v>
      </c>
      <c r="P107" s="4" t="str">
        <f ca="1"/>
        <v>D</v>
      </c>
      <c r="Q107" s="79" cm="1">
        <f t="array" aca="1" ref="Q107:V107" ca="1">INDIRECT(P107)</f>
        <v>0</v>
      </c>
      <c r="R107" s="79">
        <f ca="1"/>
        <v>0</v>
      </c>
      <c r="S107" s="79">
        <f ca="1"/>
        <v>0.1</v>
      </c>
      <c r="T107" s="79">
        <f ca="1"/>
        <v>0.5</v>
      </c>
      <c r="U107" s="79">
        <f ca="1"/>
        <v>0.85</v>
      </c>
      <c r="V107" s="79">
        <f ca="1"/>
        <v>1</v>
      </c>
      <c r="W107" s="78">
        <f t="shared" ca="1" si="23"/>
        <v>0.51544717768638204</v>
      </c>
      <c r="X107" s="4" cm="1">
        <f t="array" aca="1" ref="X107" ca="1">MIN(SUM((Q107:V107&lt;W107)+0)+1,6)</f>
        <v>5</v>
      </c>
      <c r="Y107" s="4" t="str">
        <f t="shared" ca="1" si="21"/>
        <v>E</v>
      </c>
      <c r="AA107" s="97">
        <v>83.136272627126687</v>
      </c>
      <c r="AB107" s="98">
        <v>6.6269269721391648</v>
      </c>
      <c r="AC107" s="99">
        <v>550.93800743582074</v>
      </c>
      <c r="AG107" s="78"/>
      <c r="AH107" s="4">
        <f t="shared" si="18"/>
        <v>0.04</v>
      </c>
      <c r="AI107" s="8">
        <f t="shared" ca="1" si="19"/>
        <v>0.08</v>
      </c>
      <c r="AJ107" s="4">
        <f t="shared" ca="1" si="22"/>
        <v>0.04</v>
      </c>
      <c r="AK107" s="4">
        <f t="shared" ca="1" si="20"/>
        <v>-22.037520297432831</v>
      </c>
    </row>
    <row r="108" spans="2:37" x14ac:dyDescent="0.2">
      <c r="B108" s="4" t="s">
        <v>24</v>
      </c>
      <c r="C108" s="4">
        <v>0.19009590420046663</v>
      </c>
      <c r="D108" s="4" t="s">
        <v>23</v>
      </c>
      <c r="E108" s="4" t="s">
        <v>23</v>
      </c>
      <c r="P108" s="4" t="str">
        <f ca="1"/>
        <v>A</v>
      </c>
      <c r="Q108" s="79" cm="1">
        <f t="array" aca="1" ref="Q108:V108" ca="1">INDIRECT(P108)</f>
        <v>0.53846153846153844</v>
      </c>
      <c r="R108" s="79">
        <f ca="1"/>
        <v>0.84615384615384615</v>
      </c>
      <c r="S108" s="79">
        <f ca="1"/>
        <v>1</v>
      </c>
      <c r="T108" s="79">
        <f ca="1"/>
        <v>1</v>
      </c>
      <c r="U108" s="79">
        <f ca="1"/>
        <v>1</v>
      </c>
      <c r="V108" s="79">
        <f ca="1"/>
        <v>1</v>
      </c>
      <c r="W108" s="78">
        <f t="shared" ca="1" si="23"/>
        <v>0.49011937186075405</v>
      </c>
      <c r="X108" s="4" cm="1">
        <f t="array" aca="1" ref="X108" ca="1">MIN(SUM((Q108:V108&lt;W108)+0)+1,6)</f>
        <v>1</v>
      </c>
      <c r="Y108" s="4" t="str">
        <f t="shared" ca="1" si="21"/>
        <v>A</v>
      </c>
      <c r="AA108" s="97">
        <v>10.212803353244038</v>
      </c>
      <c r="AB108" s="98">
        <v>10.648524912587206</v>
      </c>
      <c r="AC108" s="99">
        <v>108.75129093437329</v>
      </c>
      <c r="AG108" s="78"/>
      <c r="AH108" s="4">
        <f t="shared" si="18"/>
        <v>5.0000000000000001E-3</v>
      </c>
      <c r="AI108" s="8">
        <f t="shared" ca="1" si="19"/>
        <v>5.0000000000000001E-3</v>
      </c>
      <c r="AJ108" s="4">
        <f t="shared" ca="1" si="22"/>
        <v>0</v>
      </c>
      <c r="AK108" s="4">
        <f t="shared" ca="1" si="20"/>
        <v>0</v>
      </c>
    </row>
    <row r="109" spans="2:37" x14ac:dyDescent="0.2">
      <c r="B109" s="4" t="s">
        <v>22</v>
      </c>
      <c r="C109" s="4">
        <v>0.54256136479850625</v>
      </c>
      <c r="D109" s="4" t="s">
        <v>21</v>
      </c>
      <c r="E109" s="4" t="s">
        <v>20</v>
      </c>
      <c r="P109" s="4" t="str">
        <f ca="1"/>
        <v>D</v>
      </c>
      <c r="Q109" s="79" cm="1">
        <f t="array" aca="1" ref="Q109:V109" ca="1">INDIRECT(P109)</f>
        <v>0</v>
      </c>
      <c r="R109" s="79">
        <f ca="1"/>
        <v>0</v>
      </c>
      <c r="S109" s="79">
        <f ca="1"/>
        <v>0.1</v>
      </c>
      <c r="T109" s="79">
        <f ca="1"/>
        <v>0.5</v>
      </c>
      <c r="U109" s="79">
        <f ca="1"/>
        <v>0.85</v>
      </c>
      <c r="V109" s="79">
        <f ca="1"/>
        <v>1</v>
      </c>
      <c r="W109" s="78">
        <f t="shared" ca="1" si="23"/>
        <v>0.26245954947877281</v>
      </c>
      <c r="X109" s="4" cm="1">
        <f t="array" aca="1" ref="X109" ca="1">MIN(SUM((Q109:V109&lt;W109)+0)+1,6)</f>
        <v>4</v>
      </c>
      <c r="Y109" s="4" t="str">
        <f t="shared" ca="1" si="21"/>
        <v>D</v>
      </c>
      <c r="AA109" s="97">
        <v>41.373074335162165</v>
      </c>
      <c r="AB109" s="98">
        <v>7.3745421523699548</v>
      </c>
      <c r="AC109" s="99">
        <v>305.10748065778893</v>
      </c>
      <c r="AG109" s="78"/>
      <c r="AH109" s="4">
        <f t="shared" si="18"/>
        <v>0.02</v>
      </c>
      <c r="AI109" s="8">
        <f t="shared" ca="1" si="19"/>
        <v>0.04</v>
      </c>
      <c r="AJ109" s="4">
        <f t="shared" ca="1" si="22"/>
        <v>0.02</v>
      </c>
      <c r="AK109" s="4">
        <f t="shared" ca="1" si="20"/>
        <v>-6.1021496131557784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F2E01-B121-C342-87F2-F98151792B9D}">
  <sheetPr codeName="Sheet11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03"/>
  </cols>
  <sheetData>
    <row r="1" spans="1:1" x14ac:dyDescent="0.3">
      <c r="A1" s="103" t="s">
        <v>274</v>
      </c>
    </row>
    <row r="2" spans="1:1" x14ac:dyDescent="0.3">
      <c r="A2" s="103" t="s">
        <v>275</v>
      </c>
    </row>
    <row r="3" spans="1:1" x14ac:dyDescent="0.3">
      <c r="A3" s="103" t="s">
        <v>280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A4877-26F8-804B-835D-C4421F2CCE8B}">
  <sheetPr codeName="Sheet12">
    <tabColor rgb="FFFF0000"/>
  </sheetPr>
  <dimension ref="B2:D7"/>
  <sheetViews>
    <sheetView workbookViewId="0"/>
  </sheetViews>
  <sheetFormatPr baseColWidth="10" defaultRowHeight="26" x14ac:dyDescent="0.3"/>
  <cols>
    <col min="1" max="16384" width="10.83203125" style="32"/>
  </cols>
  <sheetData>
    <row r="2" spans="2:4" x14ac:dyDescent="0.3">
      <c r="B2" s="33" t="s">
        <v>135</v>
      </c>
      <c r="C2" s="2"/>
      <c r="D2" s="2"/>
    </row>
    <row r="3" spans="2:4" x14ac:dyDescent="0.3">
      <c r="B3" s="2"/>
      <c r="C3" s="33" t="s">
        <v>136</v>
      </c>
      <c r="D3" s="2"/>
    </row>
    <row r="4" spans="2:4" x14ac:dyDescent="0.3">
      <c r="B4" s="2"/>
      <c r="C4" s="2"/>
      <c r="D4" s="33" t="s">
        <v>137</v>
      </c>
    </row>
    <row r="5" spans="2:4" x14ac:dyDescent="0.3">
      <c r="B5" s="2"/>
      <c r="C5" s="2"/>
      <c r="D5" s="33" t="s">
        <v>138</v>
      </c>
    </row>
    <row r="6" spans="2:4" x14ac:dyDescent="0.3">
      <c r="B6" s="2"/>
      <c r="C6" s="2"/>
      <c r="D6" s="33" t="s">
        <v>139</v>
      </c>
    </row>
    <row r="7" spans="2:4" x14ac:dyDescent="0.3">
      <c r="B7" s="2"/>
      <c r="C7" s="33" t="s">
        <v>140</v>
      </c>
      <c r="D7" s="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FF0000"/>
  </sheetPr>
  <dimension ref="B2:E23"/>
  <sheetViews>
    <sheetView workbookViewId="0">
      <selection activeCell="A2" sqref="A2"/>
    </sheetView>
  </sheetViews>
  <sheetFormatPr baseColWidth="10" defaultColWidth="8.83203125" defaultRowHeight="29" x14ac:dyDescent="0.35"/>
  <cols>
    <col min="1" max="1" width="8.83203125" style="1"/>
    <col min="2" max="2" width="13.5" style="1" bestFit="1" customWidth="1"/>
    <col min="3" max="16384" width="8.83203125" style="1"/>
  </cols>
  <sheetData>
    <row r="2" spans="2:5" x14ac:dyDescent="0.35">
      <c r="B2" s="1" t="s">
        <v>19</v>
      </c>
    </row>
    <row r="4" spans="2:5" x14ac:dyDescent="0.35">
      <c r="B4" s="1" t="s">
        <v>18</v>
      </c>
    </row>
    <row r="5" spans="2:5" x14ac:dyDescent="0.35">
      <c r="C5" s="1" t="s">
        <v>17</v>
      </c>
    </row>
    <row r="6" spans="2:5" x14ac:dyDescent="0.35">
      <c r="D6" s="1" t="s">
        <v>16</v>
      </c>
    </row>
    <row r="7" spans="2:5" x14ac:dyDescent="0.35">
      <c r="D7" s="1" t="s">
        <v>15</v>
      </c>
    </row>
    <row r="8" spans="2:5" x14ac:dyDescent="0.35">
      <c r="D8" s="1" t="s">
        <v>14</v>
      </c>
    </row>
    <row r="9" spans="2:5" x14ac:dyDescent="0.35">
      <c r="D9" s="1" t="s">
        <v>13</v>
      </c>
    </row>
    <row r="10" spans="2:5" x14ac:dyDescent="0.35">
      <c r="D10" s="1" t="s">
        <v>12</v>
      </c>
    </row>
    <row r="11" spans="2:5" x14ac:dyDescent="0.35">
      <c r="D11" s="1" t="s">
        <v>11</v>
      </c>
    </row>
    <row r="12" spans="2:5" x14ac:dyDescent="0.35">
      <c r="E12" s="1" t="s">
        <v>10</v>
      </c>
    </row>
    <row r="13" spans="2:5" x14ac:dyDescent="0.35">
      <c r="E13" s="1" t="s">
        <v>9</v>
      </c>
    </row>
    <row r="14" spans="2:5" x14ac:dyDescent="0.35">
      <c r="E14" s="1" t="s">
        <v>8</v>
      </c>
    </row>
    <row r="15" spans="2:5" x14ac:dyDescent="0.35">
      <c r="D15" s="1" t="s">
        <v>7</v>
      </c>
    </row>
    <row r="16" spans="2:5" x14ac:dyDescent="0.35">
      <c r="E16" s="1" t="s">
        <v>6</v>
      </c>
    </row>
    <row r="17" spans="3:5" x14ac:dyDescent="0.35">
      <c r="E17" s="1" t="s">
        <v>5</v>
      </c>
    </row>
    <row r="18" spans="3:5" x14ac:dyDescent="0.35">
      <c r="C18" s="1" t="s">
        <v>4</v>
      </c>
    </row>
    <row r="19" spans="3:5" x14ac:dyDescent="0.35">
      <c r="D19" s="1" t="s">
        <v>3</v>
      </c>
    </row>
    <row r="20" spans="3:5" x14ac:dyDescent="0.35">
      <c r="D20" s="1" t="s">
        <v>2</v>
      </c>
    </row>
    <row r="21" spans="3:5" x14ac:dyDescent="0.35">
      <c r="D21" s="1" t="s">
        <v>1</v>
      </c>
    </row>
    <row r="23" spans="3:5" x14ac:dyDescent="0.35">
      <c r="C23" s="1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461A7-DC04-2943-8E8F-2969455387E4}">
  <sheetPr codeName="Sheet14">
    <tabColor rgb="FFFF0000"/>
  </sheetPr>
  <dimension ref="B2:C13"/>
  <sheetViews>
    <sheetView workbookViewId="0"/>
  </sheetViews>
  <sheetFormatPr baseColWidth="10" defaultRowHeight="29" x14ac:dyDescent="0.35"/>
  <cols>
    <col min="1" max="16384" width="10.83203125" style="34"/>
  </cols>
  <sheetData>
    <row r="2" spans="2:3" x14ac:dyDescent="0.35">
      <c r="B2" s="34" t="s">
        <v>147</v>
      </c>
    </row>
    <row r="5" spans="2:3" x14ac:dyDescent="0.35">
      <c r="B5" s="34" t="s">
        <v>148</v>
      </c>
    </row>
    <row r="6" spans="2:3" x14ac:dyDescent="0.35">
      <c r="C6" s="34" t="s">
        <v>149</v>
      </c>
    </row>
    <row r="7" spans="2:3" x14ac:dyDescent="0.35">
      <c r="C7" s="34" t="s">
        <v>150</v>
      </c>
    </row>
    <row r="8" spans="2:3" x14ac:dyDescent="0.35">
      <c r="C8" s="34" t="s">
        <v>151</v>
      </c>
    </row>
    <row r="10" spans="2:3" x14ac:dyDescent="0.35">
      <c r="B10" s="34" t="s">
        <v>152</v>
      </c>
    </row>
    <row r="11" spans="2:3" x14ac:dyDescent="0.35">
      <c r="C11" s="34" t="s">
        <v>153</v>
      </c>
    </row>
    <row r="12" spans="2:3" x14ac:dyDescent="0.35">
      <c r="C12" s="34" t="s">
        <v>154</v>
      </c>
    </row>
    <row r="13" spans="2:3" x14ac:dyDescent="0.35">
      <c r="C13" s="34" t="s">
        <v>155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2B140-34AE-3A40-AB90-4EEE0EC809DD}">
  <sheetPr codeName="Sheet15">
    <tabColor rgb="FF002060"/>
  </sheetPr>
  <dimension ref="A1:A3"/>
  <sheetViews>
    <sheetView workbookViewId="0">
      <selection sqref="A1:A3"/>
    </sheetView>
  </sheetViews>
  <sheetFormatPr baseColWidth="10" defaultRowHeight="26" x14ac:dyDescent="0.3"/>
  <cols>
    <col min="1" max="16384" width="10.83203125" style="103"/>
  </cols>
  <sheetData>
    <row r="1" spans="1:1" x14ac:dyDescent="0.3">
      <c r="A1" s="103" t="s">
        <v>276</v>
      </c>
    </row>
    <row r="2" spans="1:1" x14ac:dyDescent="0.3">
      <c r="A2" s="103" t="s">
        <v>277</v>
      </c>
    </row>
    <row r="3" spans="1:1" x14ac:dyDescent="0.3">
      <c r="A3" s="103" t="s">
        <v>278</v>
      </c>
    </row>
  </sheetData>
  <phoneticPr fontId="2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80363-80A4-1240-931A-79584F118D1F}">
  <sheetPr codeName="Sheet16">
    <tabColor rgb="FFFF0000"/>
  </sheetPr>
  <dimension ref="A1:L26"/>
  <sheetViews>
    <sheetView workbookViewId="0">
      <selection activeCell="C23" sqref="C23"/>
    </sheetView>
  </sheetViews>
  <sheetFormatPr baseColWidth="10" defaultRowHeight="24" x14ac:dyDescent="0.3"/>
  <cols>
    <col min="1" max="2" width="10.83203125" style="62"/>
    <col min="3" max="3" width="11.33203125" style="62" bestFit="1" customWidth="1"/>
    <col min="4" max="12" width="11" style="62" bestFit="1" customWidth="1"/>
    <col min="13" max="16384" width="10.83203125" style="62"/>
  </cols>
  <sheetData>
    <row r="1" spans="1:12" x14ac:dyDescent="0.3">
      <c r="A1" s="62" t="s">
        <v>214</v>
      </c>
    </row>
    <row r="2" spans="1:12" x14ac:dyDescent="0.3">
      <c r="B2" s="62" t="s">
        <v>215</v>
      </c>
    </row>
    <row r="3" spans="1:12" x14ac:dyDescent="0.3">
      <c r="B3" s="62" t="s">
        <v>216</v>
      </c>
    </row>
    <row r="5" spans="1:12" x14ac:dyDescent="0.3">
      <c r="C5" s="62" t="s">
        <v>217</v>
      </c>
    </row>
    <row r="6" spans="1:12" x14ac:dyDescent="0.3">
      <c r="D6" s="62">
        <v>1</v>
      </c>
      <c r="E6" s="62">
        <v>2</v>
      </c>
      <c r="F6" s="62">
        <v>3</v>
      </c>
      <c r="G6" s="62">
        <v>4</v>
      </c>
      <c r="H6" s="62">
        <v>5</v>
      </c>
      <c r="I6" s="62">
        <v>7</v>
      </c>
      <c r="J6" s="62">
        <v>10</v>
      </c>
      <c r="K6" s="62">
        <v>15</v>
      </c>
      <c r="L6" s="62">
        <v>20</v>
      </c>
    </row>
    <row r="7" spans="1:12" x14ac:dyDescent="0.3">
      <c r="C7" s="62" t="s">
        <v>218</v>
      </c>
      <c r="D7" s="63">
        <v>0</v>
      </c>
      <c r="E7" s="63">
        <v>1.0999999999999999E-2</v>
      </c>
      <c r="F7" s="63">
        <v>1.0999999999999999E-2</v>
      </c>
      <c r="G7" s="63">
        <v>3.1E-2</v>
      </c>
      <c r="H7" s="63">
        <v>8.5000000000000006E-2</v>
      </c>
      <c r="I7" s="63">
        <v>0.19500000000000001</v>
      </c>
      <c r="J7" s="63">
        <v>0.38600000000000001</v>
      </c>
      <c r="K7" s="63">
        <v>0.70499999999999996</v>
      </c>
      <c r="L7" s="63">
        <v>0.82399999999999995</v>
      </c>
    </row>
    <row r="8" spans="1:12" x14ac:dyDescent="0.3">
      <c r="C8" s="62" t="s">
        <v>219</v>
      </c>
      <c r="D8" s="63">
        <v>2.1000000000000001E-2</v>
      </c>
      <c r="E8" s="63">
        <v>0.06</v>
      </c>
      <c r="F8" s="63">
        <v>0.11</v>
      </c>
      <c r="G8" s="63">
        <v>0.192</v>
      </c>
      <c r="H8" s="63">
        <v>0.29799999999999999</v>
      </c>
      <c r="I8" s="63">
        <v>0.52500000000000002</v>
      </c>
      <c r="J8" s="63">
        <v>0.77800000000000002</v>
      </c>
      <c r="K8" s="63">
        <v>1.3360000000000001</v>
      </c>
      <c r="L8" s="63">
        <v>2.1509999999999998</v>
      </c>
    </row>
    <row r="9" spans="1:12" x14ac:dyDescent="0.3">
      <c r="C9" s="62" t="s">
        <v>220</v>
      </c>
      <c r="D9" s="63">
        <v>5.5E-2</v>
      </c>
      <c r="E9" s="63">
        <v>0.16500000000000001</v>
      </c>
      <c r="F9" s="63">
        <v>0.34499999999999997</v>
      </c>
      <c r="G9" s="63">
        <v>0.53600000000000003</v>
      </c>
      <c r="H9" s="63">
        <v>0.76600000000000001</v>
      </c>
      <c r="I9" s="63">
        <v>1.2969999999999999</v>
      </c>
      <c r="J9" s="63">
        <v>2.2240000000000002</v>
      </c>
      <c r="K9" s="63">
        <v>3.8759999999999999</v>
      </c>
      <c r="L9" s="63">
        <v>5.7930000000000001</v>
      </c>
    </row>
    <row r="10" spans="1:12" x14ac:dyDescent="0.3">
      <c r="C10" s="62" t="s">
        <v>221</v>
      </c>
      <c r="D10" s="63">
        <v>0.17699999999999999</v>
      </c>
      <c r="E10" s="63">
        <v>0.46100000000000002</v>
      </c>
      <c r="F10" s="63">
        <v>0.80400000000000005</v>
      </c>
      <c r="G10" s="63">
        <v>1.216</v>
      </c>
      <c r="H10" s="63">
        <v>1.6279999999999999</v>
      </c>
      <c r="I10" s="63">
        <v>2.472</v>
      </c>
      <c r="J10" s="63">
        <v>3.9249999999999998</v>
      </c>
      <c r="K10" s="63">
        <v>7.0060000000000002</v>
      </c>
      <c r="L10" s="63">
        <v>10.236000000000001</v>
      </c>
    </row>
    <row r="11" spans="1:12" x14ac:dyDescent="0.3">
      <c r="C11" s="62" t="s">
        <v>222</v>
      </c>
      <c r="D11" s="63">
        <v>0.94499999999999995</v>
      </c>
      <c r="E11" s="63">
        <v>2.5830000000000002</v>
      </c>
      <c r="F11" s="63">
        <v>4.492</v>
      </c>
      <c r="G11" s="63">
        <v>6.5179999999999998</v>
      </c>
      <c r="H11" s="63">
        <v>8.3919999999999995</v>
      </c>
      <c r="I11" s="63">
        <v>11.667</v>
      </c>
      <c r="J11" s="63">
        <v>16.283000000000001</v>
      </c>
      <c r="K11" s="63">
        <v>23.576000000000001</v>
      </c>
      <c r="L11" s="63">
        <v>29.733000000000001</v>
      </c>
    </row>
    <row r="12" spans="1:12" x14ac:dyDescent="0.3">
      <c r="C12" s="62" t="s">
        <v>223</v>
      </c>
      <c r="D12" s="63">
        <v>3.573</v>
      </c>
      <c r="E12" s="63">
        <v>8.4359999999999999</v>
      </c>
      <c r="F12" s="63">
        <v>13.377000000000001</v>
      </c>
      <c r="G12" s="63">
        <v>17.827999999999999</v>
      </c>
      <c r="H12" s="63">
        <v>21.908000000000001</v>
      </c>
      <c r="I12" s="63">
        <v>28.856999999999999</v>
      </c>
      <c r="J12" s="63">
        <v>36.177</v>
      </c>
      <c r="K12" s="63">
        <v>43.658000000000001</v>
      </c>
      <c r="L12" s="63">
        <v>48.643999999999998</v>
      </c>
    </row>
    <row r="13" spans="1:12" x14ac:dyDescent="0.3">
      <c r="C13" s="62" t="s">
        <v>224</v>
      </c>
      <c r="D13" s="63">
        <v>10.624000000000001</v>
      </c>
      <c r="E13" s="63">
        <v>18.670000000000002</v>
      </c>
      <c r="F13" s="63">
        <v>25.443000000000001</v>
      </c>
      <c r="G13" s="63">
        <v>30.974</v>
      </c>
      <c r="H13" s="63">
        <v>35.542999999999999</v>
      </c>
      <c r="I13" s="63">
        <v>42.131999999999998</v>
      </c>
      <c r="J13" s="63">
        <v>50.258000000000003</v>
      </c>
      <c r="K13" s="63">
        <v>53.377000000000002</v>
      </c>
      <c r="L13" s="63">
        <v>53.93</v>
      </c>
    </row>
    <row r="16" spans="1:12" x14ac:dyDescent="0.3">
      <c r="C16" s="64" t="s">
        <v>225</v>
      </c>
      <c r="D16" s="64" t="s">
        <v>226</v>
      </c>
    </row>
    <row r="17" spans="3:4" x14ac:dyDescent="0.3">
      <c r="C17" s="64" t="s">
        <v>227</v>
      </c>
      <c r="D17" s="64">
        <v>3</v>
      </c>
    </row>
    <row r="19" spans="3:4" x14ac:dyDescent="0.3">
      <c r="C19" s="65" t="s">
        <v>228</v>
      </c>
    </row>
    <row r="20" spans="3:4" x14ac:dyDescent="0.3">
      <c r="C20" s="66">
        <f>(F13-E13)/100</f>
        <v>6.7729999999999999E-2</v>
      </c>
    </row>
    <row r="22" spans="3:4" x14ac:dyDescent="0.3">
      <c r="C22" s="62" t="s">
        <v>229</v>
      </c>
    </row>
    <row r="23" spans="3:4" x14ac:dyDescent="0.3">
      <c r="C23" s="67">
        <f>1-E13/100</f>
        <v>0.81330000000000002</v>
      </c>
    </row>
    <row r="25" spans="3:4" x14ac:dyDescent="0.3">
      <c r="C25" s="62" t="s">
        <v>230</v>
      </c>
    </row>
    <row r="26" spans="3:4" x14ac:dyDescent="0.3">
      <c r="C26" s="67">
        <f>C20/C23</f>
        <v>8.3278003196852329E-2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502E7-E061-A24D-B784-CB6AA0BDA011}">
  <sheetPr codeName="Sheet17">
    <tabColor rgb="FFFF0000"/>
  </sheetPr>
  <dimension ref="B2:G21"/>
  <sheetViews>
    <sheetView workbookViewId="0"/>
  </sheetViews>
  <sheetFormatPr baseColWidth="10" defaultRowHeight="26" x14ac:dyDescent="0.3"/>
  <cols>
    <col min="1" max="16384" width="10.83203125" style="68"/>
  </cols>
  <sheetData>
    <row r="2" spans="2:7" x14ac:dyDescent="0.3">
      <c r="B2" s="68" t="s">
        <v>215</v>
      </c>
    </row>
    <row r="3" spans="2:7" x14ac:dyDescent="0.3">
      <c r="B3" s="68" t="s">
        <v>231</v>
      </c>
    </row>
    <row r="5" spans="2:7" x14ac:dyDescent="0.3">
      <c r="B5" s="68" t="s">
        <v>232</v>
      </c>
    </row>
    <row r="7" spans="2:7" x14ac:dyDescent="0.3">
      <c r="C7" s="69" t="s">
        <v>233</v>
      </c>
    </row>
    <row r="9" spans="2:7" x14ac:dyDescent="0.3">
      <c r="C9" s="69" t="s">
        <v>234</v>
      </c>
    </row>
    <row r="10" spans="2:7" x14ac:dyDescent="0.3">
      <c r="C10" s="70">
        <v>1.4999999999999999E-2</v>
      </c>
    </row>
    <row r="12" spans="2:7" x14ac:dyDescent="0.3">
      <c r="B12" s="71" t="s">
        <v>235</v>
      </c>
      <c r="C12" s="68">
        <v>1</v>
      </c>
      <c r="D12" s="68">
        <v>2</v>
      </c>
      <c r="E12" s="68">
        <v>3</v>
      </c>
      <c r="F12" s="68">
        <v>4</v>
      </c>
      <c r="G12" s="68">
        <v>5</v>
      </c>
    </row>
    <row r="14" spans="2:7" x14ac:dyDescent="0.3">
      <c r="C14" s="68" t="s">
        <v>236</v>
      </c>
    </row>
    <row r="15" spans="2:7" x14ac:dyDescent="0.3">
      <c r="C15" s="72" cm="1">
        <f t="array" ref="C15:G15">1 - EXP(-avg_hazard_rate*t)</f>
        <v>1.4888060396937353E-2</v>
      </c>
      <c r="D15" s="73">
        <v>2.9554466451491845E-2</v>
      </c>
      <c r="E15" s="73">
        <v>4.400251816690004E-2</v>
      </c>
      <c r="F15" s="73">
        <v>5.823546641575128E-2</v>
      </c>
      <c r="G15" s="73">
        <v>7.2256513671447142E-2</v>
      </c>
    </row>
    <row r="17" spans="3:7" x14ac:dyDescent="0.3">
      <c r="C17" s="68" t="s">
        <v>237</v>
      </c>
    </row>
    <row r="18" spans="3:7" x14ac:dyDescent="0.3">
      <c r="C18" s="73">
        <f>C15-B15</f>
        <v>1.4888060396937353E-2</v>
      </c>
      <c r="D18" s="73">
        <f t="shared" ref="D18:G18" si="0">D15-C15</f>
        <v>1.4666406054554493E-2</v>
      </c>
      <c r="E18" s="73">
        <f t="shared" si="0"/>
        <v>1.4448051715408194E-2</v>
      </c>
      <c r="F18" s="73">
        <f t="shared" si="0"/>
        <v>1.423294824885124E-2</v>
      </c>
      <c r="G18" s="73">
        <f t="shared" si="0"/>
        <v>1.4021047255695862E-2</v>
      </c>
    </row>
    <row r="20" spans="3:7" x14ac:dyDescent="0.3">
      <c r="C20" s="68" t="s">
        <v>238</v>
      </c>
    </row>
    <row r="21" spans="3:7" x14ac:dyDescent="0.3">
      <c r="C21" s="73">
        <f>C18/(1-B15)</f>
        <v>1.4888060396937353E-2</v>
      </c>
      <c r="D21" s="73">
        <f>D18/(1-C15)</f>
        <v>1.4888060396937347E-2</v>
      </c>
      <c r="E21" s="73">
        <f t="shared" ref="E21:G21" si="1">E18/(1-D15)</f>
        <v>1.4888060396937261E-2</v>
      </c>
      <c r="F21" s="73">
        <f t="shared" si="1"/>
        <v>1.4888060396937382E-2</v>
      </c>
      <c r="G21" s="73">
        <f t="shared" si="1"/>
        <v>1.4888060396937386E-2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A287A-6D9F-C74A-90BA-192FB6D7B6DF}">
  <sheetPr codeName="Sheet18">
    <tabColor rgb="FF7030A0"/>
  </sheetPr>
  <dimension ref="A1:B19"/>
  <sheetViews>
    <sheetView workbookViewId="0"/>
  </sheetViews>
  <sheetFormatPr baseColWidth="10" defaultRowHeight="26" x14ac:dyDescent="0.3"/>
  <cols>
    <col min="1" max="16384" width="10.83203125" style="68"/>
  </cols>
  <sheetData>
    <row r="1" spans="1:2" x14ac:dyDescent="0.3">
      <c r="A1" s="68" t="s">
        <v>214</v>
      </c>
    </row>
    <row r="2" spans="1:2" x14ac:dyDescent="0.3">
      <c r="B2" s="68" t="s">
        <v>215</v>
      </c>
    </row>
    <row r="3" spans="1:2" x14ac:dyDescent="0.3">
      <c r="B3" s="68" t="s">
        <v>239</v>
      </c>
    </row>
    <row r="5" spans="1:2" x14ac:dyDescent="0.3">
      <c r="B5" s="68" t="s">
        <v>240</v>
      </c>
    </row>
    <row r="7" spans="1:2" x14ac:dyDescent="0.3">
      <c r="B7" s="68" t="s">
        <v>241</v>
      </c>
    </row>
    <row r="9" spans="1:2" x14ac:dyDescent="0.3">
      <c r="B9" s="68" t="s">
        <v>242</v>
      </c>
    </row>
    <row r="11" spans="1:2" x14ac:dyDescent="0.3">
      <c r="B11" s="68" t="s">
        <v>243</v>
      </c>
    </row>
    <row r="13" spans="1:2" ht="29" x14ac:dyDescent="0.3">
      <c r="B13" s="68" t="s">
        <v>244</v>
      </c>
    </row>
    <row r="15" spans="1:2" x14ac:dyDescent="0.3">
      <c r="B15" s="68" t="s">
        <v>245</v>
      </c>
    </row>
    <row r="17" spans="2:2" ht="29" x14ac:dyDescent="0.3">
      <c r="B17" s="68" t="s">
        <v>246</v>
      </c>
    </row>
    <row r="19" spans="2:2" ht="29" x14ac:dyDescent="0.3">
      <c r="B19" s="68" t="s">
        <v>247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272CC-2EA5-B043-AF1B-83FB41E5C170}">
  <sheetPr codeName="Sheet19">
    <tabColor rgb="FF00B050"/>
  </sheetPr>
  <dimension ref="B2:C12"/>
  <sheetViews>
    <sheetView workbookViewId="0"/>
  </sheetViews>
  <sheetFormatPr baseColWidth="10" defaultRowHeight="26" x14ac:dyDescent="0.3"/>
  <cols>
    <col min="1" max="16384" width="10.83203125" style="59"/>
  </cols>
  <sheetData>
    <row r="2" spans="2:3" x14ac:dyDescent="0.3">
      <c r="B2" s="59" t="s">
        <v>213</v>
      </c>
    </row>
    <row r="5" spans="2:3" x14ac:dyDescent="0.3">
      <c r="B5" s="59" t="s">
        <v>258</v>
      </c>
    </row>
    <row r="7" spans="2:3" x14ac:dyDescent="0.3">
      <c r="C7" s="59" t="s">
        <v>209</v>
      </c>
    </row>
    <row r="8" spans="2:3" x14ac:dyDescent="0.3">
      <c r="C8" s="60" t="s">
        <v>210</v>
      </c>
    </row>
    <row r="9" spans="2:3" x14ac:dyDescent="0.3">
      <c r="C9" s="60" t="s">
        <v>211</v>
      </c>
    </row>
    <row r="11" spans="2:3" x14ac:dyDescent="0.3">
      <c r="C11" s="59" t="s">
        <v>212</v>
      </c>
    </row>
    <row r="12" spans="2:3" x14ac:dyDescent="0.3">
      <c r="C12" s="59" t="s">
        <v>259</v>
      </c>
    </row>
  </sheetData>
  <hyperlinks>
    <hyperlink ref="C8" r:id="rId1" xr:uid="{E45DF117-D7A0-E945-BA9B-53E4DF5BCF71}"/>
    <hyperlink ref="C9" r:id="rId2" xr:uid="{745A4E49-5341-3B4D-AE56-643D40AA5F2D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7207B-C8FD-D745-90C4-2E4CEA5105F3}">
  <sheetPr codeName="Sheet20">
    <tabColor rgb="FFFFFF00"/>
  </sheetPr>
  <dimension ref="B2:D4"/>
  <sheetViews>
    <sheetView workbookViewId="0"/>
  </sheetViews>
  <sheetFormatPr baseColWidth="10" defaultRowHeight="26" x14ac:dyDescent="0.3"/>
  <cols>
    <col min="1" max="2" width="10.83203125" style="75"/>
    <col min="3" max="3" width="19.83203125" style="75" bestFit="1" customWidth="1"/>
    <col min="4" max="16384" width="10.83203125" style="75"/>
  </cols>
  <sheetData>
    <row r="2" spans="2:4" x14ac:dyDescent="0.3">
      <c r="C2" s="75" t="s">
        <v>251</v>
      </c>
      <c r="D2" s="75" t="s">
        <v>252</v>
      </c>
    </row>
    <row r="3" spans="2:4" x14ac:dyDescent="0.3">
      <c r="B3" s="75">
        <v>1</v>
      </c>
      <c r="C3" s="75" t="s">
        <v>194</v>
      </c>
      <c r="D3" s="75">
        <v>5</v>
      </c>
    </row>
    <row r="4" spans="2:4" x14ac:dyDescent="0.3">
      <c r="B4" s="75">
        <v>2</v>
      </c>
      <c r="C4" s="75" t="s">
        <v>215</v>
      </c>
      <c r="D4" s="75">
        <v>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C48AB-A66E-6243-BF92-F98BCC6BD061}">
  <sheetPr codeName="Sheet21">
    <tabColor rgb="FFFFFF00"/>
  </sheetPr>
  <dimension ref="B2:B9"/>
  <sheetViews>
    <sheetView workbookViewId="0"/>
  </sheetViews>
  <sheetFormatPr baseColWidth="10" defaultRowHeight="26" x14ac:dyDescent="0.3"/>
  <cols>
    <col min="1" max="16384" width="10.83203125" style="61"/>
  </cols>
  <sheetData>
    <row r="2" spans="2:2" x14ac:dyDescent="0.3">
      <c r="B2" s="61" t="s">
        <v>205</v>
      </c>
    </row>
    <row r="3" spans="2:2" x14ac:dyDescent="0.3">
      <c r="B3" s="61" t="s">
        <v>207</v>
      </c>
    </row>
    <row r="4" spans="2:2" x14ac:dyDescent="0.3">
      <c r="B4" s="61" t="s">
        <v>206</v>
      </c>
    </row>
    <row r="6" spans="2:2" x14ac:dyDescent="0.3">
      <c r="B6" s="61" t="s">
        <v>208</v>
      </c>
    </row>
    <row r="8" spans="2:2" x14ac:dyDescent="0.3">
      <c r="B8" s="61" t="s">
        <v>250</v>
      </c>
    </row>
    <row r="9" spans="2:2" x14ac:dyDescent="0.3">
      <c r="B9" s="74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9F89B-D3CE-EA4F-B19D-39EFC2EE3FDD}">
  <sheetPr codeName="Sheet22">
    <tabColor rgb="FFFFFF00"/>
  </sheetPr>
  <dimension ref="B2:D24"/>
  <sheetViews>
    <sheetView workbookViewId="0"/>
  </sheetViews>
  <sheetFormatPr baseColWidth="10" defaultRowHeight="24" x14ac:dyDescent="0.3"/>
  <cols>
    <col min="1" max="16384" width="10.83203125" style="76"/>
  </cols>
  <sheetData>
    <row r="2" spans="2:4" x14ac:dyDescent="0.3">
      <c r="B2" s="76" t="s">
        <v>253</v>
      </c>
    </row>
    <row r="3" spans="2:4" x14ac:dyDescent="0.3">
      <c r="B3" s="76" t="s">
        <v>248</v>
      </c>
    </row>
    <row r="5" spans="2:4" x14ac:dyDescent="0.3">
      <c r="B5" s="76" t="s">
        <v>256</v>
      </c>
    </row>
    <row r="6" spans="2:4" x14ac:dyDescent="0.3">
      <c r="B6" s="76">
        <v>1</v>
      </c>
      <c r="C6" s="76">
        <v>2</v>
      </c>
      <c r="D6" s="76">
        <v>3</v>
      </c>
    </row>
    <row r="7" spans="2:4" x14ac:dyDescent="0.3">
      <c r="B7" s="77"/>
      <c r="C7" s="77"/>
      <c r="D7" s="77"/>
    </row>
    <row r="9" spans="2:4" x14ac:dyDescent="0.3">
      <c r="B9" s="76" t="s">
        <v>257</v>
      </c>
    </row>
    <row r="10" spans="2:4" x14ac:dyDescent="0.3">
      <c r="B10" s="76">
        <v>1</v>
      </c>
      <c r="C10" s="76">
        <v>2</v>
      </c>
      <c r="D10" s="76">
        <v>3</v>
      </c>
    </row>
    <row r="11" spans="2:4" x14ac:dyDescent="0.3">
      <c r="B11" s="77"/>
      <c r="C11" s="77"/>
      <c r="D11" s="77"/>
    </row>
    <row r="13" spans="2:4" x14ac:dyDescent="0.3">
      <c r="B13" s="76" t="s">
        <v>249</v>
      </c>
    </row>
    <row r="14" spans="2:4" x14ac:dyDescent="0.3">
      <c r="B14" s="76">
        <v>1</v>
      </c>
      <c r="C14" s="76">
        <v>2</v>
      </c>
      <c r="D14" s="76">
        <v>3</v>
      </c>
    </row>
    <row r="15" spans="2:4" x14ac:dyDescent="0.3">
      <c r="B15" s="77"/>
      <c r="C15" s="77"/>
      <c r="D15" s="77"/>
    </row>
    <row r="17" spans="2:2" x14ac:dyDescent="0.3">
      <c r="B17" s="76" t="s">
        <v>279</v>
      </c>
    </row>
    <row r="18" spans="2:2" x14ac:dyDescent="0.3">
      <c r="B18" s="77"/>
    </row>
    <row r="20" spans="2:2" x14ac:dyDescent="0.3">
      <c r="B20" s="76" t="s">
        <v>254</v>
      </c>
    </row>
    <row r="21" spans="2:2" x14ac:dyDescent="0.3">
      <c r="B21" s="77"/>
    </row>
    <row r="23" spans="2:2" x14ac:dyDescent="0.3">
      <c r="B23" s="76" t="s">
        <v>255</v>
      </c>
    </row>
    <row r="24" spans="2:2" x14ac:dyDescent="0.3">
      <c r="B24" s="77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"/>
  <sheetViews>
    <sheetView workbookViewId="0"/>
  </sheetViews>
  <sheetFormatPr baseColWidth="10" defaultRowHeight="15" x14ac:dyDescent="0.2"/>
  <cols>
    <col min="1" max="16384" width="10.83203125" style="2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68</vt:i4>
      </vt:variant>
    </vt:vector>
  </HeadingPairs>
  <TitlesOfParts>
    <vt:vector size="91" baseType="lpstr">
      <vt:lpstr>Class7</vt:lpstr>
      <vt:lpstr>Spreads</vt:lpstr>
      <vt:lpstr>CDS</vt:lpstr>
      <vt:lpstr>ELoss</vt:lpstr>
      <vt:lpstr>Spread2PD</vt:lpstr>
      <vt:lpstr>CreditMetrics</vt:lpstr>
      <vt:lpstr>Tables</vt:lpstr>
      <vt:lpstr>TransSim</vt:lpstr>
      <vt:lpstr>Data</vt:lpstr>
      <vt:lpstr>Spread_PnL</vt:lpstr>
      <vt:lpstr>Loan_Management</vt:lpstr>
      <vt:lpstr>LoanCovenants</vt:lpstr>
      <vt:lpstr>LoanSegmentation</vt:lpstr>
      <vt:lpstr>CashVsProfit</vt:lpstr>
      <vt:lpstr>HazardRates</vt:lpstr>
      <vt:lpstr>HazardRate1</vt:lpstr>
      <vt:lpstr>HazardRate2</vt:lpstr>
      <vt:lpstr>HazardRate_Appendix</vt:lpstr>
      <vt:lpstr>Prep4NextClass</vt:lpstr>
      <vt:lpstr>Questions</vt:lpstr>
      <vt:lpstr>1_Spread2PD</vt:lpstr>
      <vt:lpstr>2_HazardRates</vt:lpstr>
      <vt:lpstr>Remember</vt:lpstr>
      <vt:lpstr>Data!A</vt:lpstr>
      <vt:lpstr>Spread_PnL!A</vt:lpstr>
      <vt:lpstr>TransSim!A</vt:lpstr>
      <vt:lpstr>avg_hazard_rate</vt:lpstr>
      <vt:lpstr>Data!B</vt:lpstr>
      <vt:lpstr>Spread_PnL!B</vt:lpstr>
      <vt:lpstr>TransSim!B</vt:lpstr>
      <vt:lpstr>Spread2PD!Bond_Value</vt:lpstr>
      <vt:lpstr>Data!C_</vt:lpstr>
      <vt:lpstr>Spread_PnL!C_</vt:lpstr>
      <vt:lpstr>TransSim!C_</vt:lpstr>
      <vt:lpstr>Spread2PD!CouponPmt</vt:lpstr>
      <vt:lpstr>Spread2PD!CouponRate</vt:lpstr>
      <vt:lpstr>Data!D</vt:lpstr>
      <vt:lpstr>Spread_PnL!D</vt:lpstr>
      <vt:lpstr>TransSim!D</vt:lpstr>
      <vt:lpstr>Data!Duration_</vt:lpstr>
      <vt:lpstr>Spread_PnL!Duration_</vt:lpstr>
      <vt:lpstr>Data!E</vt:lpstr>
      <vt:lpstr>Spread_PnL!E</vt:lpstr>
      <vt:lpstr>TransSim!E</vt:lpstr>
      <vt:lpstr>Spread2PD!Eloss</vt:lpstr>
      <vt:lpstr>Data!F</vt:lpstr>
      <vt:lpstr>Spread_PnL!F</vt:lpstr>
      <vt:lpstr>TransSim!F</vt:lpstr>
      <vt:lpstr>Spread2PD!Face</vt:lpstr>
      <vt:lpstr>Spread2PD!Frequency</vt:lpstr>
      <vt:lpstr>Spread2PD!Loss</vt:lpstr>
      <vt:lpstr>Spread2PD!lossAmount</vt:lpstr>
      <vt:lpstr>Spread2PD!n</vt:lpstr>
      <vt:lpstr>Data!NumTable1</vt:lpstr>
      <vt:lpstr>Spread_PnL!NumTable1</vt:lpstr>
      <vt:lpstr>NumTable1</vt:lpstr>
      <vt:lpstr>Data!p_d</vt:lpstr>
      <vt:lpstr>Spread_PnL!p_d</vt:lpstr>
      <vt:lpstr>Spread2PD!Period</vt:lpstr>
      <vt:lpstr>Spread2PD!pmt</vt:lpstr>
      <vt:lpstr>Data!Price_</vt:lpstr>
      <vt:lpstr>Spread_PnL!Price_</vt:lpstr>
      <vt:lpstr>Spread2PD!pv</vt:lpstr>
      <vt:lpstr>Spread2PD!pv_rf</vt:lpstr>
      <vt:lpstr>Spread2PD!pv_rf_</vt:lpstr>
      <vt:lpstr>Spread2PD!pv_rf_pmt</vt:lpstr>
      <vt:lpstr>Data!RatingLast</vt:lpstr>
      <vt:lpstr>Spread_PnL!RatingLast</vt:lpstr>
      <vt:lpstr>Tables!RatingLast</vt:lpstr>
      <vt:lpstr>TransSim!RatingLast</vt:lpstr>
      <vt:lpstr>Data!RatingNow</vt:lpstr>
      <vt:lpstr>Spread_PnL!RatingNow</vt:lpstr>
      <vt:lpstr>Tables!RatingNow</vt:lpstr>
      <vt:lpstr>TransSim!RatingNow</vt:lpstr>
      <vt:lpstr>Spread_PnL!RatingSim</vt:lpstr>
      <vt:lpstr>RatingSim</vt:lpstr>
      <vt:lpstr>Data!ratingsTbl</vt:lpstr>
      <vt:lpstr>Spread_PnL!ratingsTbl</vt:lpstr>
      <vt:lpstr>Tables!ratingsTbl</vt:lpstr>
      <vt:lpstr>TransSim!ratingsTbl</vt:lpstr>
      <vt:lpstr>Spread2PD!Recovery</vt:lpstr>
      <vt:lpstr>SpreadCh</vt:lpstr>
      <vt:lpstr>SpreadLast</vt:lpstr>
      <vt:lpstr>SpreadNew</vt:lpstr>
      <vt:lpstr>t</vt:lpstr>
      <vt:lpstr>Spread2PD!Time_</vt:lpstr>
      <vt:lpstr>Spread2PD!TimeR</vt:lpstr>
      <vt:lpstr>Spread2PD!value_rf_</vt:lpstr>
      <vt:lpstr>ValueCh</vt:lpstr>
      <vt:lpstr>Spread2PD!YTM</vt:lpstr>
      <vt:lpstr>Spread2PD!YTM_rf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2017-06-30T04:35:20Z</dcterms:created>
  <dcterms:modified xsi:type="dcterms:W3CDTF">2024-02-19T20:35:52Z</dcterms:modified>
</cp:coreProperties>
</file>