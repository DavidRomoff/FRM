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07"/>
  <workbookPr/>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A7FE5680-BAD3-F84A-8690-6F8E122484BB}" xr6:coauthVersionLast="47" xr6:coauthVersionMax="47" xr10:uidLastSave="{00000000-0000-0000-0000-000000000000}"/>
  <bookViews>
    <workbookView xWindow="0" yWindow="0" windowWidth="28800" windowHeight="16260" tabRatio="500" xr2:uid="{00000000-000D-0000-FFFF-FFFF00000000}"/>
  </bookViews>
  <sheets>
    <sheet name="Class7" sheetId="5" r:id="rId1"/>
    <sheet name="CDS" sheetId="18" r:id="rId2"/>
    <sheet name="ELoss" sheetId="21" r:id="rId3"/>
    <sheet name="Spread2PD" sheetId="20" r:id="rId4"/>
    <sheet name="CreditMetrics" sheetId="6" r:id="rId5"/>
    <sheet name="CreditMetrics_Example" sheetId="7" r:id="rId6"/>
    <sheet name="LoanCovenants" sheetId="8" r:id="rId7"/>
    <sheet name="LoanSegmentation" sheetId="2" r:id="rId8"/>
    <sheet name="CashVsProfit" sheetId="17" state="hidden" r:id="rId9"/>
    <sheet name="HazardRate1" sheetId="28" r:id="rId10"/>
    <sheet name="HazardRate2" sheetId="29" r:id="rId11"/>
    <sheet name="HazardRate_Appendix" sheetId="30" r:id="rId12"/>
    <sheet name="Prep4NextClass" sheetId="23" r:id="rId13"/>
    <sheet name="Questions" sheetId="32" r:id="rId14"/>
    <sheet name="1_Spread2PD" sheetId="25" r:id="rId15"/>
    <sheet name="2_HazardRates" sheetId="31" r:id="rId16"/>
    <sheet name="Remember" sheetId="4" r:id="rId17"/>
    <sheet name="7.1" sheetId="12" state="hidden" r:id="rId18"/>
    <sheet name="InternalRatings" sheetId="11" state="hidden" r:id="rId19"/>
    <sheet name="7.1 EL_alt_FX" sheetId="13" state="hidden" r:id="rId20"/>
    <sheet name="7.1 EL" sheetId="14" state="hidden" r:id="rId21"/>
    <sheet name="7.2" sheetId="15" state="hidden" r:id="rId22"/>
    <sheet name="7.2 Sbprm loans hedged by CIS" sheetId="16" state="hidden"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_2_15_2017">[1]VaR3!$D$11:$H$11</definedName>
    <definedName name="a">[2]Liquidity1!$B$7:$B$23</definedName>
    <definedName name="AccrualPMT" localSheetId="2">[3]PD2Spread!$I$23:$I$27</definedName>
    <definedName name="AccrualPMT" localSheetId="3">#REF!</definedName>
    <definedName name="AccrualPMT">#REF!</definedName>
    <definedName name="ad">#REF!</definedName>
    <definedName name="alan">[4]Excel!$C$10</definedName>
    <definedName name="alpha">[2]Liquidity1!$G$28</definedName>
    <definedName name="avg_hazard_rate">HazardRate2!$C$10</definedName>
    <definedName name="bid">[2]Liquidity1!$C$7:$C$23</definedName>
    <definedName name="Bins">#REF!</definedName>
    <definedName name="Bond_Value" localSheetId="8">#REF!</definedName>
    <definedName name="Bond_Value" localSheetId="2">#REF!</definedName>
    <definedName name="Bond_Value" localSheetId="3">Spread2PD!$G$10:$G$19</definedName>
    <definedName name="Bond_Value">#REF!</definedName>
    <definedName name="Bond_Value_" localSheetId="8">#REF!</definedName>
    <definedName name="Bond_Value_" localSheetId="2">#REF!</definedName>
    <definedName name="Bond_Value_" localSheetId="3">#REF!</definedName>
    <definedName name="Bond_Value_">#REF!</definedName>
    <definedName name="Borrowing_Rate">[5]MyCo4!$B$20</definedName>
    <definedName name="C_">[6]OptionsHW!$C$20:$E$20</definedName>
    <definedName name="Capex">[5]MyCo5!$V$12:$Z$12</definedName>
    <definedName name="Cash">[5]MyCo3!$L$5</definedName>
    <definedName name="Cash_Flow">[5]MyCo5!$V$26:$Z$26</definedName>
    <definedName name="Cd" localSheetId="8">[7]Options2!#REF!</definedName>
    <definedName name="Cd" localSheetId="2">[7]Options2!#REF!</definedName>
    <definedName name="Cd" localSheetId="3">[8]Options2!#REF!</definedName>
    <definedName name="Cd">[7]Options2!#REF!</definedName>
    <definedName name="Cd_">[9]BOPM3!#REF!</definedName>
    <definedName name="CF_from_Financing">[5]MyCo5!$V$18:$Z$18</definedName>
    <definedName name="CF_from_Investments">[5]MyCo5!$V$13:$Z$13</definedName>
    <definedName name="Change" localSheetId="8">[4]VaR0!#REF!</definedName>
    <definedName name="Change" localSheetId="2">[4]VaR0!#REF!</definedName>
    <definedName name="Change">[4]VaR0!#REF!</definedName>
    <definedName name="CI" localSheetId="8">#REF!</definedName>
    <definedName name="CI" localSheetId="0">#REF!</definedName>
    <definedName name="CI" localSheetId="4">#REF!</definedName>
    <definedName name="CI" localSheetId="5">#REF!</definedName>
    <definedName name="CI" localSheetId="2">#REF!</definedName>
    <definedName name="CI" localSheetId="3">#REF!</definedName>
    <definedName name="CI">#REF!</definedName>
    <definedName name="CI_lo" localSheetId="8">#REF!</definedName>
    <definedName name="CI_lo" localSheetId="0">#REF!</definedName>
    <definedName name="CI_lo" localSheetId="4">#REF!</definedName>
    <definedName name="CI_lo" localSheetId="5">#REF!</definedName>
    <definedName name="CI_lo" localSheetId="2">#REF!</definedName>
    <definedName name="CI_lo" localSheetId="3">#REF!</definedName>
    <definedName name="CI_lo">#REF!</definedName>
    <definedName name="COGS">[5]MyCo3!$O$12</definedName>
    <definedName name="cogs_table">[10]Definitions!$A$2:$B$5</definedName>
    <definedName name="contracts">[6]OptionsHW!$C$26:$E$26</definedName>
    <definedName name="corrmat">[11]VaR4!$M$43:$Q$47</definedName>
    <definedName name="CouponPmt" localSheetId="8">#REF!</definedName>
    <definedName name="CouponPmt" localSheetId="2">#REF!</definedName>
    <definedName name="CouponPmt" localSheetId="3">Spread2PD!$C$15</definedName>
    <definedName name="CouponPmt">#REF!</definedName>
    <definedName name="CouponRate" localSheetId="8">#REF!</definedName>
    <definedName name="CouponRate" localSheetId="2">#REF!</definedName>
    <definedName name="CouponRate" localSheetId="3">Spread2PD!$C$10</definedName>
    <definedName name="CouponRate">#REF!</definedName>
    <definedName name="couponrate_ctd">[12]A4_2_1!$C$18</definedName>
    <definedName name="covmat">[1]VaR3!$D$43:$H$47</definedName>
    <definedName name="covmat_calc">[11]VaR4!$M$59:$Q$63</definedName>
    <definedName name="Cu" localSheetId="8">[7]Options2!#REF!</definedName>
    <definedName name="Cu" localSheetId="2">[7]Options2!#REF!</definedName>
    <definedName name="Cu" localSheetId="3">[8]Options2!#REF!</definedName>
    <definedName name="Cu">[7]Options2!#REF!</definedName>
    <definedName name="d" localSheetId="3">[8]Options2!$C$7</definedName>
    <definedName name="d">[7]Options2!$C$7</definedName>
    <definedName name="d1_" localSheetId="8">#REF!</definedName>
    <definedName name="d1_" localSheetId="0">#REF!</definedName>
    <definedName name="d1_" localSheetId="4">#REF!</definedName>
    <definedName name="d1_" localSheetId="5">#REF!</definedName>
    <definedName name="d1_" localSheetId="2">#REF!</definedName>
    <definedName name="d1_" localSheetId="3">#REF!</definedName>
    <definedName name="d1_">#REF!</definedName>
    <definedName name="d2_" localSheetId="8">#REF!</definedName>
    <definedName name="d2_" localSheetId="0">#REF!</definedName>
    <definedName name="d2_" localSheetId="4">#REF!</definedName>
    <definedName name="d2_" localSheetId="5">#REF!</definedName>
    <definedName name="d2_" localSheetId="2">#REF!</definedName>
    <definedName name="d2_" localSheetId="3">#REF!</definedName>
    <definedName name="d2_">#REF!</definedName>
    <definedName name="Debt_issued">[5]MyCo5!$V$16:$Z$16</definedName>
    <definedName name="Denomination_F">[12]A4_2_1!$C$24</definedName>
    <definedName name="Depreciation">[5]MyCo3!$O$13</definedName>
    <definedName name="df">#REF!</definedName>
    <definedName name="dollar_rate" localSheetId="3">#REF!</definedName>
    <definedName name="dollar_rate">[13]FX_Intro!$C$67</definedName>
    <definedName name="dr">CreditMetrics_Example!$Y$31:$Y$36</definedName>
    <definedName name="Duration">CreditMetrics_Example!$T$31:$T$36</definedName>
    <definedName name="Duration_">CreditMetrics_Example!$G$10:$G$109</definedName>
    <definedName name="Duration_ctd">[12]A4_2_1!$C$21</definedName>
    <definedName name="Earnings_per_Share">[5]MyCo3!$O$26</definedName>
    <definedName name="EBIT">[5]MyCo3!$O$16</definedName>
    <definedName name="Eloss" localSheetId="2">[3]Spread2PD!$C$18</definedName>
    <definedName name="Eloss" localSheetId="3">Spread2PD!$C$18</definedName>
    <definedName name="Eloss">#REF!</definedName>
    <definedName name="Epayoff" localSheetId="2">[3]PD2Spread!$E$23:$E$27</definedName>
    <definedName name="Epayoff" localSheetId="3">#REF!</definedName>
    <definedName name="Epayoff">#REF!</definedName>
    <definedName name="EPS">[5]MyCo7!$AK$8:$AO$8</definedName>
    <definedName name="Equity_issued">[5]MyCo5!$V$17:$Z$17</definedName>
    <definedName name="F">[14]CentralLimitTheorem!$E$8</definedName>
    <definedName name="F_Draw">[14]FnS!$B$7:$B$106</definedName>
    <definedName name="F_Row">[14]CentralLimitTheorem!$E$10:$P$10</definedName>
    <definedName name="Face" localSheetId="8">#REF!</definedName>
    <definedName name="Face" localSheetId="2">#REF!</definedName>
    <definedName name="Face" localSheetId="3">Spread2PD!$C$9</definedName>
    <definedName name="Face">#REF!</definedName>
    <definedName name="Factories">[5]MyCo4!$O$7:$S$7</definedName>
    <definedName name="Fixed_Assets">[5]MyCo3!$L$6</definedName>
    <definedName name="forward_rate" localSheetId="3">#REF!</definedName>
    <definedName name="forward_rate">[13]FX_Intro!$C$68</definedName>
    <definedName name="Frequency" localSheetId="8">#REF!</definedName>
    <definedName name="Frequency" localSheetId="2">#REF!</definedName>
    <definedName name="Frequency" localSheetId="3">Spread2PD!$C$11</definedName>
    <definedName name="Frequency">#REF!</definedName>
    <definedName name="Futures">[12]A4_2_1!$C$25</definedName>
    <definedName name="Goodwill">[5]MyCo3!$L$8</definedName>
    <definedName name="Gross_Margin">[5]MyCo4!$O$28:$S$28</definedName>
    <definedName name="hazard" localSheetId="2">[3]PD2Spread!$B$9:$B$9</definedName>
    <definedName name="hazard" localSheetId="3">#REF!</definedName>
    <definedName name="hazard">#REF!</definedName>
    <definedName name="idx" localSheetId="3">Spread2PD!#REF!</definedName>
    <definedName name="idx">[3]Spread2PD!$P$24:$P$28</definedName>
    <definedName name="Interest_Expense">[5]MyCo3!$O$18</definedName>
    <definedName name="Inventory">[5]MyCo3!$L$7</definedName>
    <definedName name="K">[6]OptionsHW!$C$3</definedName>
    <definedName name="Labor">[5]MyCo3!$O$14</definedName>
    <definedName name="LN_Sim">#REF!</definedName>
    <definedName name="loss" localSheetId="0">#REF!</definedName>
    <definedName name="loss" localSheetId="4">#REF!</definedName>
    <definedName name="loss" localSheetId="5">#REF!</definedName>
    <definedName name="Loss" localSheetId="2">[3]Spread2PD!$E$41:$E$46</definedName>
    <definedName name="Loss" localSheetId="3">Spread2PD!$E$32:$E$36</definedName>
    <definedName name="Loss">#REF!</definedName>
    <definedName name="loss_30" localSheetId="8">#REF!</definedName>
    <definedName name="loss_30" localSheetId="2">#REF!</definedName>
    <definedName name="loss_30" localSheetId="3">#REF!</definedName>
    <definedName name="loss_30">#REF!</definedName>
    <definedName name="loss_t" localSheetId="8">#REF!</definedName>
    <definedName name="loss_t" localSheetId="2">#REF!</definedName>
    <definedName name="loss_t" localSheetId="3">#REF!</definedName>
    <definedName name="loss_t">#REF!</definedName>
    <definedName name="lossAmount" localSheetId="2">[3]Spread2PD!$G$47</definedName>
    <definedName name="lossAmount" localSheetId="3">Spread2PD!$G$37</definedName>
    <definedName name="lossAmount">#REF!</definedName>
    <definedName name="maturityDate">[15]semi!$C$13</definedName>
    <definedName name="maturityDate_ctd">[12]A4_2_1!$C$17</definedName>
    <definedName name="max">CreditMetrics_Example!$AD$40</definedName>
    <definedName name="Mean" localSheetId="8">#REF!</definedName>
    <definedName name="Mean" localSheetId="0">#REF!</definedName>
    <definedName name="Mean" localSheetId="4">#REF!</definedName>
    <definedName name="Mean" localSheetId="5">#REF!</definedName>
    <definedName name="Mean" localSheetId="2">#REF!</definedName>
    <definedName name="Mean" localSheetId="3">#REF!</definedName>
    <definedName name="Mean">#REF!</definedName>
    <definedName name="midprice">[2]Liquidity1!$E$7:$E$23</definedName>
    <definedName name="min">CreditMetrics_Example!$AD$39</definedName>
    <definedName name="mu">[2]Liquidity1!$G$25</definedName>
    <definedName name="MyBank">#REF!</definedName>
    <definedName name="MyBankDeposits">#REF!</definedName>
    <definedName name="MyFriendsBank">#REF!</definedName>
    <definedName name="MyFriendsDeposits">#REF!</definedName>
    <definedName name="n" localSheetId="8">#REF!</definedName>
    <definedName name="n" localSheetId="2">#REF!</definedName>
    <definedName name="n" localSheetId="3">Spread2PD!$C$12</definedName>
    <definedName name="n">#REF!</definedName>
    <definedName name="n_">[6]Date0Check1!$H$4:$H$23</definedName>
    <definedName name="N__d1">[6]OptionsHW!$C$14:$E$14</definedName>
    <definedName name="N__d2">[6]OptionsHW!$C$15:$E$15</definedName>
    <definedName name="N_d1">[6]OptionsHW!$C$12:$E$12</definedName>
    <definedName name="N_d2">[6]OptionsHW!$C$13:$E$13</definedName>
    <definedName name="Net_Income">[5]MyCo3!$O$25</definedName>
    <definedName name="NewSpread">CreditMetrics_Example!$X$31:$X$36</definedName>
    <definedName name="notional" localSheetId="4">[6]OptionsHW!$C$25:$E$25</definedName>
    <definedName name="notional" localSheetId="2">[6]OptionsHW!$C$25:$E$25</definedName>
    <definedName name="notional" localSheetId="3">[6]OptionsHW!$C$25:$E$25</definedName>
    <definedName name="Notional">CreditMetrics_Example!$U$31:$U$36</definedName>
    <definedName name="offer">[2]Liquidity1!$D$7:$D$23</definedName>
    <definedName name="OldSpread">CreditMetrics_Example!$W$31:$W$36</definedName>
    <definedName name="p">[16]Bond!$F$6</definedName>
    <definedName name="PD" localSheetId="2">[3]PD2Spread!$C$23:$C$27</definedName>
    <definedName name="PD" localSheetId="3">#REF!</definedName>
    <definedName name="PD">#REF!</definedName>
    <definedName name="PE">[5]MyCo7!$AK$5</definedName>
    <definedName name="Period" localSheetId="8">#REF!</definedName>
    <definedName name="Period" localSheetId="2">#REF!</definedName>
    <definedName name="Period" localSheetId="3">Spread2PD!$F$10:$F$19</definedName>
    <definedName name="Period">#REF!</definedName>
    <definedName name="peso_rate" localSheetId="3">#REF!</definedName>
    <definedName name="peso_rate">[13]FX_Intro!$C$66</definedName>
    <definedName name="pmt" localSheetId="8">#REF!</definedName>
    <definedName name="pmt" localSheetId="2">#REF!</definedName>
    <definedName name="pmt" localSheetId="3">Spread2PD!$H$10:$H$19</definedName>
    <definedName name="pmt">#REF!</definedName>
    <definedName name="pmt_">[6]Date0Check2!$F$4</definedName>
    <definedName name="pmtperyear">[16]Bond!$C$6</definedName>
    <definedName name="pmtperyear_ctd">[12]A4_2_1!$C$20</definedName>
    <definedName name="pmts">[16]Bond!$E$12:$E$25</definedName>
    <definedName name="PPS">[5]MyCo3!$L$17</definedName>
    <definedName name="Pretax_Earnings">[5]MyCo4!$O$20:$S$20</definedName>
    <definedName name="Price" localSheetId="8">[4]VaR0!#REF!</definedName>
    <definedName name="Price" localSheetId="2">[4]VaR0!#REF!</definedName>
    <definedName name="Price">[4]VaR0!#REF!</definedName>
    <definedName name="Price_">CreditMetrics_Example!$F$10:$F$109</definedName>
    <definedName name="Price_F">[12]A4_2_1!#REF!</definedName>
    <definedName name="Price_per_unit">[5]MyCo3!$O$9</definedName>
    <definedName name="PS" localSheetId="2">[3]PD2Spread!$C$13:$C$17</definedName>
    <definedName name="PS" localSheetId="3">#REF!</definedName>
    <definedName name="PS">#REF!</definedName>
    <definedName name="PurchasePrice">[17]O1_Intro!$F$15:$F$20</definedName>
    <definedName name="pv" localSheetId="8">#REF!</definedName>
    <definedName name="pv" localSheetId="2">#REF!</definedName>
    <definedName name="pv" localSheetId="3">Spread2PD!$I$10:$I$19</definedName>
    <definedName name="pv">#REF!</definedName>
    <definedName name="PV_" localSheetId="2">[3]PD2Spread!$F$23:$F$27</definedName>
    <definedName name="PV_" localSheetId="3">#REF!</definedName>
    <definedName name="PV_">#REF!</definedName>
    <definedName name="pv_rf" localSheetId="2">[3]Spread2PD!$F$22:$F$31</definedName>
    <definedName name="pv_rf" localSheetId="3">Spread2PD!$J$10:$J$19</definedName>
    <definedName name="pv_rf">#REF!</definedName>
    <definedName name="pv_rf_" localSheetId="2">[3]Spread2PD!$F$42:$F$46</definedName>
    <definedName name="pv_rf_" localSheetId="3">Spread2PD!$F$32:$F$36</definedName>
    <definedName name="pv_rf_">#REF!</definedName>
    <definedName name="pv_rf_pmt" localSheetId="3">Spread2PD!$G$21:$G$21</definedName>
    <definedName name="pv_rf_pmt">[3]Spread2PD!$G$22:$G$31</definedName>
    <definedName name="pv2_">[16]Dur2!$G$12:$G$25</definedName>
    <definedName name="PVA">[16]InstallmentLoan!$F$3</definedName>
    <definedName name="PVPayoff">[3]PD2Spread!$G$23:$G$27</definedName>
    <definedName name="PVPMT">[3]PD2Spread!$F$13:$F$17</definedName>
    <definedName name="PVPMT_A" localSheetId="2">[3]PD2Spread!$J$23:$J$27</definedName>
    <definedName name="PVPMT_A" localSheetId="3">#REF!</definedName>
    <definedName name="PVPMT_A">#REF!</definedName>
    <definedName name="q" localSheetId="8">#REF!</definedName>
    <definedName name="q" localSheetId="0">#REF!</definedName>
    <definedName name="q" localSheetId="4">#REF!</definedName>
    <definedName name="q" localSheetId="5">#REF!</definedName>
    <definedName name="q" localSheetId="2">#REF!</definedName>
    <definedName name="q" localSheetId="3">#REF!</definedName>
    <definedName name="q">#REF!</definedName>
    <definedName name="r_" localSheetId="8">#REF!</definedName>
    <definedName name="r_" localSheetId="0">#REF!</definedName>
    <definedName name="r_" localSheetId="4">#REF!</definedName>
    <definedName name="r_" localSheetId="5">#REF!</definedName>
    <definedName name="r_" localSheetId="2">#REF!</definedName>
    <definedName name="r_" localSheetId="3">#REF!</definedName>
    <definedName name="r_">#REF!</definedName>
    <definedName name="range">CreditMetrics_Example!$AD$41</definedName>
    <definedName name="rate">[6]Date0Check2!$E$4</definedName>
    <definedName name="rated">[6]fxHW!$F$4:$H$4</definedName>
    <definedName name="ratef">[6]fxHW!$F$5:$H$5</definedName>
    <definedName name="RatingLast" localSheetId="0">[18]CreditMatrix!$D$10:$D$109</definedName>
    <definedName name="RatingLast" localSheetId="4">CreditMetrics!$D$10:$D$109</definedName>
    <definedName name="RatingLast" localSheetId="5">CreditMetrics_Example!$D$10:$D$109</definedName>
    <definedName name="RatingLast" localSheetId="2">[19]CreditMatrix!$D$10:$D$109</definedName>
    <definedName name="RatingLast" localSheetId="3">[20]CreditMatrix!$D$10:$D$109</definedName>
    <definedName name="RatingLast">[21]CreditMatrix!$D$10:$D$109</definedName>
    <definedName name="RatingNow" localSheetId="0">[18]CreditMatrix!$E$10:$E$109</definedName>
    <definedName name="RatingNow" localSheetId="4">CreditMetrics!$E$10:$E$109</definedName>
    <definedName name="RatingNow" localSheetId="5">CreditMetrics_Example!$E$10:$E$109</definedName>
    <definedName name="RatingNow" localSheetId="2">[19]CreditMatrix!$E$10:$E$109</definedName>
    <definedName name="RatingNow" localSheetId="3">[20]CreditMatrix!$E$10:$E$109</definedName>
    <definedName name="RatingNow">[21]CreditMatrix!$E$10:$E$109</definedName>
    <definedName name="ratingsTbl" localSheetId="0">[18]CreditMatrix!$B$2:$C$7</definedName>
    <definedName name="ratingsTbl" localSheetId="4">CreditMetrics!$B$2:$C$7</definedName>
    <definedName name="ratingsTbl" localSheetId="5">CreditMetrics_Example!$B$2:$C$7</definedName>
    <definedName name="ratingsTbl" localSheetId="2">[19]CreditMatrix!$B$2:$C$7</definedName>
    <definedName name="ratingsTbl" localSheetId="3">[20]CreditMatrix!$B$2:$C$7</definedName>
    <definedName name="ratingsTbl">[21]CreditMatrix!$B$2:$C$7</definedName>
    <definedName name="Recovery" localSheetId="2">[3]Spread2PD!$D$42:$D$46</definedName>
    <definedName name="Recovery" localSheetId="3">Spread2PD!$D$32:$D$36</definedName>
    <definedName name="Recovery">#REF!</definedName>
    <definedName name="Revenue">[5]MyCo3!$O$10</definedName>
    <definedName name="s" localSheetId="8">#REF!</definedName>
    <definedName name="s" localSheetId="0">#REF!</definedName>
    <definedName name="s" localSheetId="4">#REF!</definedName>
    <definedName name="s" localSheetId="5">#REF!</definedName>
    <definedName name="s" localSheetId="2">#REF!</definedName>
    <definedName name="s" localSheetId="3">#REF!</definedName>
    <definedName name="s">#REF!</definedName>
    <definedName name="S0" localSheetId="8">#REF!</definedName>
    <definedName name="S0" localSheetId="0">#REF!</definedName>
    <definedName name="S0" localSheetId="4">#REF!</definedName>
    <definedName name="S0" localSheetId="5">#REF!</definedName>
    <definedName name="S0" localSheetId="2">#REF!</definedName>
    <definedName name="S0" localSheetId="3">#REF!</definedName>
    <definedName name="S0">#REF!</definedName>
    <definedName name="S0_e_qt">[6]OptionsHW!$C$17:$E$17</definedName>
    <definedName name="SD" localSheetId="8">#REF!</definedName>
    <definedName name="SD" localSheetId="0">#REF!</definedName>
    <definedName name="SD" localSheetId="4">#REF!</definedName>
    <definedName name="SD" localSheetId="5">#REF!</definedName>
    <definedName name="SD" localSheetId="2">#REF!</definedName>
    <definedName name="SD" localSheetId="3">#REF!</definedName>
    <definedName name="SD">#REF!</definedName>
    <definedName name="Sensitivity">CreditMetrics_Example!$AA$31:$AA$35</definedName>
    <definedName name="Sensitivity_F">[12]A4_2_1!$C$27</definedName>
    <definedName name="settlementDate">[15]semi!$C$12</definedName>
    <definedName name="settlementDate_ctd">[12]A4_2_1!$C$16</definedName>
    <definedName name="Shareholder_Equity">[5]MyCo5!$L$18</definedName>
    <definedName name="Shares" localSheetId="2">[5]MyCo3!$L$16</definedName>
    <definedName name="Shares">[2]Liquidity1!$I$7:$I$23</definedName>
    <definedName name="sigma">[2]Liquidity1!$G$26</definedName>
    <definedName name="simS">[2]Liquidity1!$G$29</definedName>
    <definedName name="sims_a" localSheetId="0">[22]VaR1!$I$17:$I$37</definedName>
    <definedName name="sims_a" localSheetId="4">[22]VaR1!$I$17:$I$37</definedName>
    <definedName name="sims_a" localSheetId="5">[22]VaR1!$I$17:$I$37</definedName>
    <definedName name="sims_a">[23]VaR1!$I$17:$I$37</definedName>
    <definedName name="sims_h" localSheetId="0">[22]VaR1!$H$17:$H$37</definedName>
    <definedName name="sims_h" localSheetId="4">[22]VaR1!$H$17:$H$37</definedName>
    <definedName name="sims_h" localSheetId="5">[22]VaR1!$H$17:$H$37</definedName>
    <definedName name="sims_h">[23]VaR1!$H$17:$H$37</definedName>
    <definedName name="simSpread">[2]Liquidity1!$J$7:$J$23</definedName>
    <definedName name="simSpreadPerShare">[2]Liquidity1!$H$7:$H$23</definedName>
    <definedName name="Spot">[6]fxHW!$F$3:$H$3</definedName>
    <definedName name="spread">[2]Liquidity1!$F$7:$F$23</definedName>
    <definedName name="StartingPortfolio">[2]ExporeInf!$C$29:$H$29</definedName>
    <definedName name="stdev">#REF!</definedName>
    <definedName name="Stock">[17]O1_Intro!$C$15:$C$20</definedName>
    <definedName name="Strike">[17]O1_Intro!$D$15:$D$20</definedName>
    <definedName name="Sum">[14]CentralLimitTheorem!$C$12:$C$111</definedName>
    <definedName name="t" localSheetId="8">#REF!</definedName>
    <definedName name="t" localSheetId="0">#REF!</definedName>
    <definedName name="t" localSheetId="4">#REF!</definedName>
    <definedName name="t" localSheetId="5">#REF!</definedName>
    <definedName name="t" localSheetId="2">#REF!</definedName>
    <definedName name="t" localSheetId="3">#REF!</definedName>
    <definedName name="t">HazardRate2!$C$12:$G$12</definedName>
    <definedName name="t_" localSheetId="2">[3]PD2Spread!$B$23:$B$27</definedName>
    <definedName name="t_" localSheetId="3">#REF!</definedName>
    <definedName name="t_">#REF!</definedName>
    <definedName name="Tax_Rate">[5]MyCo4!$O$22:$S$22</definedName>
    <definedName name="Taxes">[5]MyCo4!$O$23:$S$23</definedName>
    <definedName name="Time" localSheetId="8">#REF!</definedName>
    <definedName name="Time" localSheetId="0">#REF!</definedName>
    <definedName name="Time" localSheetId="4">#REF!</definedName>
    <definedName name="Time" localSheetId="5">#REF!</definedName>
    <definedName name="Time" localSheetId="2">#REF!</definedName>
    <definedName name="Time" localSheetId="3">#REF!</definedName>
    <definedName name="Time">#REF!</definedName>
    <definedName name="Time_" localSheetId="2">[3]Spread2PD!$B$42:$B$46</definedName>
    <definedName name="Time_" localSheetId="3">Spread2PD!$B$32:$B$36</definedName>
    <definedName name="Time_">#REF!</definedName>
    <definedName name="TimeR" localSheetId="3">Spread2PD!$C$25:$C$29</definedName>
    <definedName name="TimeR">[3]Spread2PD!$C$35:$C$39</definedName>
    <definedName name="tmat">[2]ExporeInf!$C$3:$H$8</definedName>
    <definedName name="tmat12" localSheetId="8">#REF!</definedName>
    <definedName name="tmat12" localSheetId="2">#REF!</definedName>
    <definedName name="tmat12" localSheetId="3">#REF!</definedName>
    <definedName name="tmat12">#REF!</definedName>
    <definedName name="tmat5">[2]ExporeInf!$C$12:$H$17</definedName>
    <definedName name="tmatInf">[2]ExporeInf!$C$21:$H$26</definedName>
    <definedName name="Total">[5]MyCo3!$L$18</definedName>
    <definedName name="Total_Liabilities">[5]MyCo3!$L$13</definedName>
    <definedName name="TotalValue">[1]VaR3!$D$52</definedName>
    <definedName name="u" localSheetId="3">[8]Options2!$C$6</definedName>
    <definedName name="u">[7]Options2!$C$6</definedName>
    <definedName name="usd_peso" localSheetId="3">#REF!</definedName>
    <definedName name="usd_peso">[13]FX_Intro!$C$65</definedName>
    <definedName name="v">[6]Date0Check1!$J$4:$J$23</definedName>
    <definedName name="value">[16]Curve0!$E$26</definedName>
    <definedName name="Value_">[17]O1_Intro!$E$15:$E$20</definedName>
    <definedName name="value_01">[16]Dur2!$I$12</definedName>
    <definedName name="Value_F">[12]A4_2_1!#REF!</definedName>
    <definedName name="value_lo" localSheetId="8">#REF!</definedName>
    <definedName name="value_lo" localSheetId="0">#REF!</definedName>
    <definedName name="value_lo" localSheetId="4">#REF!</definedName>
    <definedName name="value_lo" localSheetId="5">#REF!</definedName>
    <definedName name="value_lo" localSheetId="2">#REF!</definedName>
    <definedName name="value_lo" localSheetId="3">#REF!</definedName>
    <definedName name="value_lo">#REF!</definedName>
    <definedName name="value_rf_" localSheetId="2">[3]Spread2PD!$C$42:$C$46</definedName>
    <definedName name="value_rf_" localSheetId="3">Spread2PD!$C$32:$C$36</definedName>
    <definedName name="value_rf_">#REF!</definedName>
    <definedName name="Variance">[1]VaR3!$D$61</definedName>
    <definedName name="Variance_calc">[11]VaR4!$M$65</definedName>
    <definedName name="volmat">[11]VaR4!$M$52:$Q$56</definedName>
    <definedName name="vols">[11]VaR4!$J$52:$J$56</definedName>
    <definedName name="vols_">[11]VaR4!$M$49:$Q$49</definedName>
    <definedName name="weight" localSheetId="0">[18]CreditMatrix_Weighted!$F$10:$F$109</definedName>
    <definedName name="weight" localSheetId="2">[19]CreditMatrix_Weighted!$F$10:$F$109</definedName>
    <definedName name="weight" localSheetId="3">[20]CreditMatrix_Weighted!$F$10:$F$109</definedName>
    <definedName name="weight">[21]CreditMatrix_Weighted!$F$10:$F$109</definedName>
    <definedName name="weights">[1]VaR3!$C$55:$C$59</definedName>
    <definedName name="Widgets_sold">[5]MyCo3!$O$8</definedName>
    <definedName name="Widgets_sold_Per_Factory">[5]MyCo4!$O$8:$S$8</definedName>
    <definedName name="X" localSheetId="8">#REF!</definedName>
    <definedName name="X" localSheetId="0">#REF!</definedName>
    <definedName name="X" localSheetId="4">#REF!</definedName>
    <definedName name="X" localSheetId="5">#REF!</definedName>
    <definedName name="X" localSheetId="2">#REF!</definedName>
    <definedName name="X" localSheetId="3">#REF!</definedName>
    <definedName name="X">#REF!</definedName>
    <definedName name="X_e_rt">[6]OptionsHW!$C$18:$E$18</definedName>
    <definedName name="y">[16]Bond!$C$8</definedName>
    <definedName name="y_ctd">[12]A4_2_1!$C$19</definedName>
    <definedName name="years">[16]Bond!$C$7</definedName>
    <definedName name="Years_F">[12]A4_2_1!$C$23</definedName>
    <definedName name="YTM" localSheetId="8">#REF!</definedName>
    <definedName name="YTM" localSheetId="2">#REF!</definedName>
    <definedName name="YTM" localSheetId="3">Spread2PD!$C$13</definedName>
    <definedName name="YTM">#REF!</definedName>
    <definedName name="YTM_rf" localSheetId="8">#REF!</definedName>
    <definedName name="YTM_rf" localSheetId="2">#REF!</definedName>
    <definedName name="YTM_rf" localSheetId="3">Spread2PD!$C$14</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26" i="28" l="1"/>
  <c r="C15" i="29" a="1"/>
  <c r="C23" i="28"/>
  <c r="C20" i="28"/>
  <c r="T32" i="7" a="1"/>
  <c r="T32" i="7" s="1"/>
  <c r="T33" i="7" a="1"/>
  <c r="T33" i="7" s="1"/>
  <c r="T34" i="7" a="1"/>
  <c r="T34" i="7" s="1"/>
  <c r="T35" i="7" a="1"/>
  <c r="T35" i="7" s="1"/>
  <c r="T31" i="7" a="1"/>
  <c r="T31" i="7" s="1"/>
  <c r="U32" i="7"/>
  <c r="U33" i="7"/>
  <c r="U34" i="7"/>
  <c r="U35" i="7"/>
  <c r="U36" i="7"/>
  <c r="U31" i="7"/>
  <c r="T36" i="7"/>
  <c r="C15" i="29" l="1"/>
  <c r="C18" i="29" s="1"/>
  <c r="C21" i="29" s="1"/>
  <c r="E18" i="29"/>
  <c r="E21" i="29" s="1"/>
  <c r="F18" i="29"/>
  <c r="F21" i="29" s="1"/>
  <c r="G18" i="29"/>
  <c r="G21" i="29" s="1"/>
  <c r="AB36" i="7"/>
  <c r="D18" i="29" l="1"/>
  <c r="D21" i="29" s="1"/>
  <c r="F36" i="20"/>
  <c r="F35" i="20"/>
  <c r="F34" i="20"/>
  <c r="F33" i="20"/>
  <c r="F32" i="20"/>
  <c r="C29" i="20"/>
  <c r="D29" i="20" s="1"/>
  <c r="C28" i="20"/>
  <c r="D28" i="20" s="1"/>
  <c r="N28" i="20" s="1"/>
  <c r="C27" i="20"/>
  <c r="C26" i="20"/>
  <c r="D26" i="20" s="1"/>
  <c r="C25" i="20"/>
  <c r="M25" i="20" s="1"/>
  <c r="J19" i="20"/>
  <c r="I19" i="20"/>
  <c r="J18" i="20"/>
  <c r="I18" i="20"/>
  <c r="J17" i="20"/>
  <c r="I17" i="20"/>
  <c r="J16" i="20"/>
  <c r="I16" i="20"/>
  <c r="J15" i="20"/>
  <c r="I15" i="20"/>
  <c r="J14" i="20"/>
  <c r="I14" i="20"/>
  <c r="J13" i="20"/>
  <c r="I13" i="20"/>
  <c r="J12" i="20"/>
  <c r="I12" i="20"/>
  <c r="J11" i="20"/>
  <c r="I11" i="20"/>
  <c r="J10" i="20"/>
  <c r="I10" i="20"/>
  <c r="C15" i="20"/>
  <c r="H18" i="20" s="1"/>
  <c r="M28" i="20" l="1"/>
  <c r="M26" i="20"/>
  <c r="O29" i="20"/>
  <c r="E29" i="20"/>
  <c r="P29" i="20" s="1"/>
  <c r="N29" i="20"/>
  <c r="N27" i="20"/>
  <c r="N26" i="20"/>
  <c r="E26" i="20"/>
  <c r="O26" i="20" s="1"/>
  <c r="M29" i="20"/>
  <c r="D25" i="20"/>
  <c r="D27" i="20"/>
  <c r="E28" i="20"/>
  <c r="F28" i="20" s="1"/>
  <c r="M27" i="20"/>
  <c r="H17" i="20"/>
  <c r="H14" i="20"/>
  <c r="H13" i="20"/>
  <c r="H10" i="20"/>
  <c r="H12" i="20"/>
  <c r="H16" i="20"/>
  <c r="H11" i="20"/>
  <c r="H15" i="20"/>
  <c r="H19" i="20"/>
  <c r="F26" i="20" l="1"/>
  <c r="G26" i="20" s="1"/>
  <c r="F29" i="20"/>
  <c r="E25" i="20"/>
  <c r="F25" i="20" s="1"/>
  <c r="G25" i="20" s="1"/>
  <c r="Q25" i="20" s="1"/>
  <c r="O28" i="20"/>
  <c r="E27" i="20"/>
  <c r="F27" i="20" s="1"/>
  <c r="N25" i="20"/>
  <c r="C17" i="20" a="1"/>
  <c r="C17" i="20" s="1"/>
  <c r="C16" i="20" a="1"/>
  <c r="C16" i="20" s="1"/>
  <c r="G28" i="20"/>
  <c r="Q28" i="20"/>
  <c r="P28" i="20"/>
  <c r="Q29" i="20"/>
  <c r="G29" i="20"/>
  <c r="P26" i="20"/>
  <c r="P25" i="20" l="1"/>
  <c r="G27" i="20"/>
  <c r="Q27" i="20" s="1"/>
  <c r="O27" i="20"/>
  <c r="P27" i="20"/>
  <c r="O25" i="20"/>
  <c r="C18" i="20"/>
  <c r="H25" i="20"/>
  <c r="R25" i="20" s="1"/>
  <c r="H29" i="20"/>
  <c r="R29" i="20"/>
  <c r="H26" i="20"/>
  <c r="R26" i="20"/>
  <c r="H27" i="20"/>
  <c r="Q26" i="20"/>
  <c r="H28" i="20"/>
  <c r="R28" i="20"/>
  <c r="I28" i="20" l="1"/>
  <c r="S28" i="20"/>
  <c r="S27" i="20"/>
  <c r="I27" i="20"/>
  <c r="I29" i="20"/>
  <c r="S29" i="20"/>
  <c r="I26" i="20"/>
  <c r="S26" i="20" s="1"/>
  <c r="R27" i="20"/>
  <c r="I25" i="20"/>
  <c r="T29" i="20" l="1"/>
  <c r="J29" i="20"/>
  <c r="T27" i="20"/>
  <c r="J27" i="20"/>
  <c r="J25" i="20"/>
  <c r="T28" i="20"/>
  <c r="J28" i="20"/>
  <c r="S25" i="20"/>
  <c r="J26" i="20"/>
  <c r="K25" i="20" l="1"/>
  <c r="U25" i="20" s="1"/>
  <c r="K28" i="20"/>
  <c r="U28" i="20"/>
  <c r="T25" i="20"/>
  <c r="U26" i="20"/>
  <c r="K26" i="20"/>
  <c r="U27" i="20"/>
  <c r="K27" i="20"/>
  <c r="T26" i="20"/>
  <c r="K29" i="20"/>
  <c r="U29" i="20"/>
  <c r="L25" i="20" l="1"/>
  <c r="V25" i="20" s="1"/>
  <c r="C32" i="20" s="1"/>
  <c r="E32" i="20" s="1"/>
  <c r="G32" i="20" s="1"/>
  <c r="L29" i="20"/>
  <c r="V29" i="20"/>
  <c r="C36" i="20" s="1"/>
  <c r="E36" i="20" s="1"/>
  <c r="G36" i="20" s="1"/>
  <c r="L26" i="20"/>
  <c r="V26" i="20"/>
  <c r="C33" i="20" s="1"/>
  <c r="E33" i="20" s="1"/>
  <c r="G33" i="20" s="1"/>
  <c r="L28" i="20"/>
  <c r="V28" i="20"/>
  <c r="C35" i="20" s="1"/>
  <c r="E35" i="20" s="1"/>
  <c r="G35" i="20" s="1"/>
  <c r="L27" i="20"/>
  <c r="V27" i="20"/>
  <c r="C34" i="20" s="1"/>
  <c r="E34" i="20" s="1"/>
  <c r="G34" i="20" s="1"/>
  <c r="G37" i="20" l="1"/>
  <c r="I32" i="20" s="1"/>
  <c r="C22" i="16" l="1"/>
  <c r="V21" i="16"/>
  <c r="T21" i="16" s="1"/>
  <c r="D21" i="16"/>
  <c r="H21" i="16" s="1"/>
  <c r="V20" i="16"/>
  <c r="T20" i="16" s="1"/>
  <c r="D20" i="16"/>
  <c r="H20" i="16" s="1"/>
  <c r="V19" i="16"/>
  <c r="T19" i="16" s="1"/>
  <c r="J19" i="16"/>
  <c r="D19" i="16"/>
  <c r="H19" i="16" s="1"/>
  <c r="AG13" i="16"/>
  <c r="Y12" i="16"/>
  <c r="X12" i="16"/>
  <c r="J12" i="16" s="1"/>
  <c r="N12" i="16" s="1"/>
  <c r="Q12" i="16" s="1"/>
  <c r="V12" i="16"/>
  <c r="Y11" i="16"/>
  <c r="X11" i="16"/>
  <c r="J11" i="16" s="1"/>
  <c r="N11" i="16" s="1"/>
  <c r="V11" i="16"/>
  <c r="Y10" i="16"/>
  <c r="AA10" i="16" s="1"/>
  <c r="X10" i="16"/>
  <c r="J10" i="16" s="1"/>
  <c r="N10" i="16" s="1"/>
  <c r="Q10" i="16" s="1"/>
  <c r="V10" i="16"/>
  <c r="Y9" i="16"/>
  <c r="X9" i="16"/>
  <c r="J9" i="16" s="1"/>
  <c r="N9" i="16" s="1"/>
  <c r="Q9" i="16" s="1"/>
  <c r="V9" i="16"/>
  <c r="Y8" i="16"/>
  <c r="X8" i="16"/>
  <c r="J8" i="16" s="1"/>
  <c r="N8" i="16" s="1"/>
  <c r="Q8" i="16" s="1"/>
  <c r="V8" i="16"/>
  <c r="Y7" i="16"/>
  <c r="X7" i="16"/>
  <c r="J7" i="16" s="1"/>
  <c r="N7" i="16" s="1"/>
  <c r="Q7" i="16" s="1"/>
  <c r="V7" i="16"/>
  <c r="AA6" i="16"/>
  <c r="Y6" i="16"/>
  <c r="X6" i="16"/>
  <c r="V6" i="16"/>
  <c r="J6" i="16"/>
  <c r="N6" i="16" s="1"/>
  <c r="Q6" i="16" s="1"/>
  <c r="Y5" i="16"/>
  <c r="X5" i="16"/>
  <c r="V5" i="16"/>
  <c r="J5" i="16"/>
  <c r="AA4" i="16"/>
  <c r="N13" i="14"/>
  <c r="U10" i="14"/>
  <c r="M10" i="14"/>
  <c r="L10" i="14"/>
  <c r="K10" i="14"/>
  <c r="G10" i="14"/>
  <c r="U8" i="14"/>
  <c r="M8" i="14"/>
  <c r="K8" i="14"/>
  <c r="G8" i="14"/>
  <c r="L8" i="14" s="1"/>
  <c r="U6" i="14"/>
  <c r="M6" i="14" s="1"/>
  <c r="K6" i="14"/>
  <c r="G6" i="14"/>
  <c r="L6" i="14" s="1"/>
  <c r="U4" i="14"/>
  <c r="M4" i="14" s="1"/>
  <c r="K4" i="14"/>
  <c r="G4" i="14"/>
  <c r="L4" i="14" s="1"/>
  <c r="N13" i="13"/>
  <c r="U10" i="13"/>
  <c r="M10" i="13" s="1"/>
  <c r="K10" i="13"/>
  <c r="G10" i="13"/>
  <c r="L10" i="13" s="1"/>
  <c r="U8" i="13"/>
  <c r="M8" i="13" s="1"/>
  <c r="K8" i="13"/>
  <c r="G8" i="13"/>
  <c r="L8" i="13" s="1"/>
  <c r="U6" i="13"/>
  <c r="M6" i="13"/>
  <c r="K6" i="13"/>
  <c r="G6" i="13"/>
  <c r="L6" i="13" s="1"/>
  <c r="U4" i="13"/>
  <c r="M4" i="13" s="1"/>
  <c r="K4" i="13"/>
  <c r="G4" i="13"/>
  <c r="L4" i="13" s="1"/>
  <c r="AA8" i="16" l="1"/>
  <c r="AA9" i="16"/>
  <c r="AA11" i="16"/>
  <c r="P11" i="16" s="1"/>
  <c r="AA12" i="16"/>
  <c r="I12" i="16" s="1"/>
  <c r="L12" i="16" s="1"/>
  <c r="T22" i="16"/>
  <c r="AA5" i="16"/>
  <c r="H5" i="16" s="1"/>
  <c r="AA7" i="16"/>
  <c r="I7" i="16" s="1"/>
  <c r="L7" i="16" s="1"/>
  <c r="M7" i="16"/>
  <c r="M6" i="16"/>
  <c r="H22" i="16"/>
  <c r="M10" i="16"/>
  <c r="L13" i="13"/>
  <c r="L13" i="14"/>
  <c r="P8" i="16"/>
  <c r="H8" i="16"/>
  <c r="M8" i="16"/>
  <c r="I8" i="16"/>
  <c r="L8" i="16" s="1"/>
  <c r="P9" i="16"/>
  <c r="H9" i="16"/>
  <c r="I9" i="16"/>
  <c r="L9" i="16" s="1"/>
  <c r="M9" i="16"/>
  <c r="M11" i="16"/>
  <c r="I11" i="16"/>
  <c r="L11" i="16" s="1"/>
  <c r="H12" i="16"/>
  <c r="N5" i="16"/>
  <c r="H6" i="16"/>
  <c r="P6" i="16"/>
  <c r="H10" i="16"/>
  <c r="P10" i="16"/>
  <c r="I6" i="16"/>
  <c r="L6" i="16" s="1"/>
  <c r="I10" i="16"/>
  <c r="L10" i="16" s="1"/>
  <c r="M5" i="16" l="1"/>
  <c r="M15" i="16" s="1"/>
  <c r="I5" i="16"/>
  <c r="L5" i="16" s="1"/>
  <c r="P12" i="16"/>
  <c r="H7" i="16"/>
  <c r="K7" i="16" s="1"/>
  <c r="O7" i="16" s="1"/>
  <c r="M12" i="16"/>
  <c r="P7" i="16"/>
  <c r="H11" i="16"/>
  <c r="T11" i="16" s="1"/>
  <c r="T7" i="16"/>
  <c r="T10" i="16"/>
  <c r="K10" i="16"/>
  <c r="O10" i="16" s="1"/>
  <c r="K11" i="16"/>
  <c r="O11" i="16" s="1"/>
  <c r="Q5" i="16"/>
  <c r="K6" i="16"/>
  <c r="O6" i="16" s="1"/>
  <c r="T6" i="16"/>
  <c r="K12" i="16"/>
  <c r="O12" i="16" s="1"/>
  <c r="T12" i="16"/>
  <c r="K9" i="16"/>
  <c r="O9" i="16" s="1"/>
  <c r="T9" i="16"/>
  <c r="K8" i="16"/>
  <c r="O8" i="16" s="1"/>
  <c r="T8" i="16"/>
  <c r="K5" i="16"/>
  <c r="T5" i="16"/>
  <c r="O5" i="16" l="1"/>
  <c r="N15" i="16"/>
  <c r="I15" i="16"/>
  <c r="J15" i="16" s="1"/>
  <c r="T15" i="16"/>
  <c r="H15" i="16"/>
  <c r="X15" i="16" s="1"/>
  <c r="P5" i="16"/>
  <c r="P15" i="16" s="1"/>
  <c r="Q15" i="16" l="1"/>
  <c r="J10" i="7" l="1"/>
  <c r="K10" i="7"/>
  <c r="L10" i="7"/>
  <c r="M10" i="7"/>
  <c r="N10" i="7"/>
  <c r="O10" i="7"/>
  <c r="J11" i="7"/>
  <c r="K11" i="7"/>
  <c r="L11" i="7"/>
  <c r="M11" i="7"/>
  <c r="N11" i="7"/>
  <c r="O11" i="7"/>
  <c r="J12" i="7"/>
  <c r="K12" i="7"/>
  <c r="L12" i="7"/>
  <c r="M12" i="7"/>
  <c r="N12" i="7"/>
  <c r="O12" i="7"/>
  <c r="J13" i="7"/>
  <c r="K13" i="7"/>
  <c r="L13" i="7"/>
  <c r="M13" i="7"/>
  <c r="N13" i="7"/>
  <c r="O13" i="7"/>
  <c r="J14" i="7"/>
  <c r="K14" i="7"/>
  <c r="L14" i="7"/>
  <c r="M14" i="7"/>
  <c r="N14" i="7"/>
  <c r="O14" i="7"/>
  <c r="J15" i="7"/>
  <c r="K15" i="7"/>
  <c r="L15" i="7"/>
  <c r="M15" i="7"/>
  <c r="N15" i="7"/>
  <c r="O15" i="7"/>
  <c r="AD39" i="7"/>
  <c r="AD40" i="7"/>
  <c r="J10" i="6"/>
  <c r="K10" i="6"/>
  <c r="L10" i="6"/>
  <c r="M10" i="6"/>
  <c r="N10" i="6"/>
  <c r="O10" i="6"/>
  <c r="J11" i="6"/>
  <c r="K11" i="6"/>
  <c r="L11" i="6"/>
  <c r="M11" i="6"/>
  <c r="N11" i="6"/>
  <c r="O11" i="6"/>
  <c r="J12" i="6"/>
  <c r="K12" i="6"/>
  <c r="L12" i="6"/>
  <c r="M12" i="6"/>
  <c r="N12" i="6"/>
  <c r="O12" i="6"/>
  <c r="J13" i="6"/>
  <c r="K13" i="6"/>
  <c r="L13" i="6"/>
  <c r="M13" i="6"/>
  <c r="N13" i="6"/>
  <c r="O13" i="6"/>
  <c r="J14" i="6"/>
  <c r="K14" i="6"/>
  <c r="L14" i="6"/>
  <c r="M14" i="6"/>
  <c r="N14" i="6"/>
  <c r="O14" i="6"/>
  <c r="J15" i="6"/>
  <c r="K15" i="6"/>
  <c r="L15" i="6"/>
  <c r="M15" i="6"/>
  <c r="N15" i="6"/>
  <c r="O15" i="6"/>
  <c r="J24" i="7" l="1" a="1"/>
  <c r="J21" i="7" a="1"/>
  <c r="J23" i="7" a="1"/>
  <c r="L23" i="7" s="1"/>
  <c r="J22" i="7" a="1"/>
  <c r="L22" i="7" s="1"/>
  <c r="J20" i="7" a="1"/>
  <c r="J24" i="6" a="1"/>
  <c r="L24" i="6" s="1"/>
  <c r="J22" i="6" a="1"/>
  <c r="M22" i="6" s="1"/>
  <c r="J21" i="6" a="1"/>
  <c r="K21" i="6" s="1"/>
  <c r="J20" i="6" a="1"/>
  <c r="L20" i="6" s="1"/>
  <c r="J25" i="7" a="1"/>
  <c r="J25" i="7" s="1"/>
  <c r="J36" i="7" s="1"/>
  <c r="J25" i="6" a="1"/>
  <c r="N25" i="6" s="1"/>
  <c r="J21" i="7"/>
  <c r="J32" i="7" s="1"/>
  <c r="AD41" i="7"/>
  <c r="AG39" i="7" s="1"/>
  <c r="M23" i="7"/>
  <c r="K23" i="7"/>
  <c r="J23" i="7"/>
  <c r="J34" i="7" s="1"/>
  <c r="O23" i="7"/>
  <c r="M20" i="7"/>
  <c r="L20" i="7"/>
  <c r="J20" i="7"/>
  <c r="J31" i="7" s="1"/>
  <c r="N20" i="7"/>
  <c r="K20" i="7"/>
  <c r="O20" i="7"/>
  <c r="M24" i="7"/>
  <c r="J24" i="7"/>
  <c r="J35" i="7" s="1"/>
  <c r="N24" i="7"/>
  <c r="K24" i="7"/>
  <c r="O24" i="7"/>
  <c r="L24" i="7"/>
  <c r="J23" i="6" a="1"/>
  <c r="M21" i="7"/>
  <c r="L21" i="7"/>
  <c r="O21" i="7"/>
  <c r="K21" i="7"/>
  <c r="N21" i="7"/>
  <c r="N21" i="6" l="1"/>
  <c r="J21" i="6"/>
  <c r="J32" i="6" s="1"/>
  <c r="O20" i="6"/>
  <c r="K22" i="6"/>
  <c r="N20" i="6"/>
  <c r="L21" i="6"/>
  <c r="O22" i="6"/>
  <c r="J20" i="6"/>
  <c r="J31" i="6" s="1"/>
  <c r="K31" i="6" s="1"/>
  <c r="L31" i="6" s="1"/>
  <c r="Q31" i="6" s="1"/>
  <c r="K20" i="6"/>
  <c r="M21" i="6"/>
  <c r="J22" i="6"/>
  <c r="J33" i="6" s="1"/>
  <c r="M20" i="6"/>
  <c r="N22" i="6"/>
  <c r="O21" i="6"/>
  <c r="N24" i="6"/>
  <c r="L22" i="6"/>
  <c r="K32" i="7"/>
  <c r="J22" i="7"/>
  <c r="J33" i="7" s="1"/>
  <c r="K22" i="7"/>
  <c r="N22" i="7"/>
  <c r="O22" i="7"/>
  <c r="M22" i="7"/>
  <c r="N23" i="7"/>
  <c r="J24" i="6"/>
  <c r="J35" i="6" s="1"/>
  <c r="O24" i="6"/>
  <c r="M24" i="6"/>
  <c r="K24" i="6"/>
  <c r="L25" i="7"/>
  <c r="K25" i="7"/>
  <c r="K36" i="7" s="1"/>
  <c r="L25" i="6"/>
  <c r="K35" i="7"/>
  <c r="L35" i="7" s="1"/>
  <c r="O25" i="6"/>
  <c r="K34" i="7"/>
  <c r="L34" i="7" s="1"/>
  <c r="M34" i="7" s="1"/>
  <c r="K25" i="6"/>
  <c r="N25" i="7"/>
  <c r="O25" i="7"/>
  <c r="M25" i="7"/>
  <c r="J25" i="6"/>
  <c r="J36" i="6" s="1"/>
  <c r="AG51" i="7"/>
  <c r="AG41" i="7"/>
  <c r="AG52" i="7"/>
  <c r="AG42" i="7"/>
  <c r="AG46" i="7"/>
  <c r="AG50" i="7"/>
  <c r="AG36" i="7"/>
  <c r="AG49" i="7"/>
  <c r="AG38" i="7"/>
  <c r="AG34" i="7"/>
  <c r="AG47" i="7"/>
  <c r="AG32" i="7"/>
  <c r="AG44" i="7"/>
  <c r="AG37" i="7"/>
  <c r="AG43" i="7"/>
  <c r="M25" i="6"/>
  <c r="AG33" i="7"/>
  <c r="AG48" i="7"/>
  <c r="AG40" i="7"/>
  <c r="AG35" i="7"/>
  <c r="AG45" i="7"/>
  <c r="K32" i="6"/>
  <c r="K31" i="7"/>
  <c r="L31" i="7" s="1"/>
  <c r="L32" i="7"/>
  <c r="L23" i="6"/>
  <c r="M23" i="6"/>
  <c r="J23" i="6"/>
  <c r="J34" i="6" s="1"/>
  <c r="N23" i="6"/>
  <c r="O23" i="6"/>
  <c r="K23" i="6"/>
  <c r="K33" i="7"/>
  <c r="L33" i="7" s="1"/>
  <c r="L32" i="6" l="1"/>
  <c r="K33" i="6"/>
  <c r="L33" i="6" s="1"/>
  <c r="M33" i="6" s="1"/>
  <c r="N33" i="6" s="1"/>
  <c r="O33" i="6" s="1"/>
  <c r="Q32" i="6"/>
  <c r="N34" i="7"/>
  <c r="O34" i="7" s="1"/>
  <c r="K35" i="6"/>
  <c r="L35" i="6" s="1"/>
  <c r="M35" i="6" s="1"/>
  <c r="N35" i="6" s="1"/>
  <c r="O35" i="6" s="1"/>
  <c r="Q32" i="7"/>
  <c r="X32" i="7" s="1"/>
  <c r="L36" i="7"/>
  <c r="M36" i="7" s="1"/>
  <c r="N36" i="7" s="1"/>
  <c r="O36" i="7" s="1"/>
  <c r="Q36" i="7" s="1"/>
  <c r="K36" i="6"/>
  <c r="L36" i="6" s="1"/>
  <c r="M36" i="6" s="1"/>
  <c r="N36" i="6" s="1"/>
  <c r="O36" i="6" s="1"/>
  <c r="M31" i="6"/>
  <c r="N31" i="6" s="1"/>
  <c r="O31" i="6" s="1"/>
  <c r="AH32" i="7" a="1"/>
  <c r="AH38" i="7" s="1"/>
  <c r="Q31" i="7"/>
  <c r="X31" i="7" s="1"/>
  <c r="M31" i="7"/>
  <c r="N31" i="7" s="1"/>
  <c r="O31" i="7" s="1"/>
  <c r="Q33" i="6"/>
  <c r="M35" i="7"/>
  <c r="N35" i="7" s="1"/>
  <c r="O35" i="7" s="1"/>
  <c r="K34" i="6"/>
  <c r="L34" i="6" s="1"/>
  <c r="M33" i="7"/>
  <c r="N33" i="7" s="1"/>
  <c r="O33" i="7" s="1"/>
  <c r="M32" i="7"/>
  <c r="N32" i="7" s="1"/>
  <c r="O32" i="7" s="1"/>
  <c r="M32" i="6"/>
  <c r="N32" i="6" s="1"/>
  <c r="O32" i="6" s="1"/>
  <c r="Q36" i="6" l="1"/>
  <c r="Q34" i="7"/>
  <c r="AA34" i="7"/>
  <c r="Y32" i="7"/>
  <c r="AA32" i="7"/>
  <c r="Y31" i="7"/>
  <c r="AA31" i="7"/>
  <c r="Q33" i="7"/>
  <c r="X33" i="7" s="1"/>
  <c r="Q35" i="7"/>
  <c r="X35" i="7" s="1"/>
  <c r="AH37" i="7"/>
  <c r="AH51" i="7"/>
  <c r="AH35" i="7"/>
  <c r="AH41" i="7"/>
  <c r="AH48" i="7"/>
  <c r="AH47" i="7"/>
  <c r="AH39" i="7"/>
  <c r="AH45" i="7"/>
  <c r="AH33" i="7"/>
  <c r="AH52" i="7"/>
  <c r="AH44" i="7"/>
  <c r="AH46" i="7"/>
  <c r="AH50" i="7"/>
  <c r="AH49" i="7"/>
  <c r="AH43" i="7"/>
  <c r="AH36" i="7"/>
  <c r="AH32" i="7"/>
  <c r="AH40" i="7"/>
  <c r="AH34" i="7"/>
  <c r="AH42" i="7"/>
  <c r="M34" i="6"/>
  <c r="N34" i="6" s="1"/>
  <c r="O34" i="6" s="1"/>
  <c r="Q35" i="6"/>
  <c r="X34" i="7" l="1"/>
  <c r="Y34" i="7" s="1"/>
  <c r="AB34" i="7" s="1"/>
  <c r="AB31" i="7"/>
  <c r="Y35" i="7"/>
  <c r="AA35" i="7"/>
  <c r="Y33" i="7"/>
  <c r="AA33" i="7"/>
  <c r="AB32" i="7"/>
  <c r="Q34" i="6"/>
  <c r="AB33" i="7" l="1"/>
  <c r="AB35" i="7"/>
  <c r="AB38"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<sst xmlns="http://schemas.openxmlformats.org/spreadsheetml/2006/main" count="1208" uniqueCount="489">
  <si>
    <t>Others?</t>
  </si>
  <si>
    <t>responsiveness to contact attempts</t>
  </si>
  <si>
    <t># days past due</t>
  </si>
  <si>
    <t># payments missed</t>
  </si>
  <si>
    <t>Post origination</t>
  </si>
  <si>
    <t>Revenue</t>
  </si>
  <si>
    <t>Time in business</t>
  </si>
  <si>
    <t>Commercial</t>
  </si>
  <si>
    <t>Income</t>
  </si>
  <si>
    <t>Bank Statements</t>
  </si>
  <si>
    <t>FICO Scores</t>
  </si>
  <si>
    <t>Consumer</t>
  </si>
  <si>
    <t>geography</t>
  </si>
  <si>
    <t>Rate</t>
  </si>
  <si>
    <t>Vintage</t>
  </si>
  <si>
    <t>Term</t>
  </si>
  <si>
    <t>Size</t>
  </si>
  <si>
    <t>At origination</t>
  </si>
  <si>
    <t>Segmentation</t>
  </si>
  <si>
    <t>Loan Portfolio Segments</t>
  </si>
  <si>
    <t>D</t>
  </si>
  <si>
    <t>C</t>
  </si>
  <si>
    <t>Company100</t>
  </si>
  <si>
    <t>A</t>
  </si>
  <si>
    <t>Company99</t>
  </si>
  <si>
    <t>Company98</t>
  </si>
  <si>
    <t>Company97</t>
  </si>
  <si>
    <t>F</t>
  </si>
  <si>
    <t>Company96</t>
  </si>
  <si>
    <t>Company95</t>
  </si>
  <si>
    <t>Company94</t>
  </si>
  <si>
    <t>E</t>
  </si>
  <si>
    <t>Company93</t>
  </si>
  <si>
    <t>Company92</t>
  </si>
  <si>
    <t>Company91</t>
  </si>
  <si>
    <t>Company90</t>
  </si>
  <si>
    <t>B</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</si>
  <si>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</si>
  <si>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</si>
  <si>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</si>
  <si>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</si>
  <si>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</si>
  <si>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</si>
  <si>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</si>
  <si>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</si>
  <si>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</si>
  <si>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</si>
  <si>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</si>
  <si>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</si>
  <si>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</si>
  <si>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</si>
  <si>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</si>
  <si>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</si>
  <si>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</si>
  <si>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</si>
  <si>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</si>
  <si>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</si>
  <si>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</si>
  <si>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</si>
  <si>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</si>
  <si>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</si>
  <si>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</si>
  <si>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</si>
  <si>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</si>
  <si>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</si>
  <si>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</si>
  <si>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</si>
  <si>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</si>
  <si>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</si>
  <si>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</si>
  <si>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</si>
  <si>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</si>
  <si>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</si>
  <si>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</si>
  <si>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</si>
  <si>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</si>
  <si>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</si>
  <si>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</si>
  <si>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</si>
  <si>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</si>
  <si>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</si>
  <si>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</si>
  <si>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</si>
  <si>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</si>
  <si>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</si>
  <si>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</si>
  <si>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</si>
  <si>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</si>
  <si>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</si>
  <si>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</si>
  <si>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</si>
  <si>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</si>
  <si>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</si>
  <si>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</si>
  <si>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</si>
  <si>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</si>
  <si>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</si>
  <si>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</si>
  <si>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</si>
  <si>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</si>
  <si>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</si>
  <si>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</si>
  <si>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</si>
  <si>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</si>
  <si>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</si>
  <si>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Simulation</t>
  </si>
  <si>
    <t>Company21</t>
  </si>
  <si>
    <t>Cumulative Probabilities</t>
  </si>
  <si>
    <t>Company20</t>
  </si>
  <si>
    <t>Company19</t>
  </si>
  <si>
    <t>Company18</t>
  </si>
  <si>
    <t>Company17</t>
  </si>
  <si>
    <t>Company16</t>
  </si>
  <si>
    <t>Company15</t>
  </si>
  <si>
    <t>Company14</t>
  </si>
  <si>
    <t>Company13</t>
  </si>
  <si>
    <t>Company12</t>
  </si>
  <si>
    <t>Company11</t>
  </si>
  <si>
    <t>Histograms</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</si>
  <si>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</si>
  <si>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</si>
  <si>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</si>
  <si>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</si>
  <si>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</si>
  <si>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</si>
  <si>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</si>
  <si>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</si>
  <si>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</si>
  <si>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</si>
  <si>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</si>
  <si>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</si>
  <si>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</si>
  <si>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</si>
  <si>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</si>
  <si>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</si>
  <si>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CreditMetrics</t>
  </si>
  <si>
    <t>range</t>
  </si>
  <si>
    <t>max</t>
  </si>
  <si>
    <t>min</t>
  </si>
  <si>
    <t>Change</t>
  </si>
  <si>
    <t>Sensitivity</t>
  </si>
  <si>
    <t>NewSpread</t>
  </si>
  <si>
    <t>Duration</t>
  </si>
  <si>
    <t>Loan covenants</t>
  </si>
  <si>
    <t>Triggers</t>
  </si>
  <si>
    <t>Ratings downgrade</t>
  </si>
  <si>
    <t>Default on supplier</t>
  </si>
  <si>
    <t>Low profit or revenue</t>
  </si>
  <si>
    <t>May backfire if all counterparties make demands</t>
  </si>
  <si>
    <t>Homework Review</t>
  </si>
  <si>
    <t>Course</t>
  </si>
  <si>
    <t>Financial Risk Management</t>
  </si>
  <si>
    <t>Assignment</t>
  </si>
  <si>
    <t>Title</t>
  </si>
  <si>
    <t>Description</t>
  </si>
  <si>
    <t>Instructions</t>
  </si>
  <si>
    <t>Attachment A</t>
  </si>
  <si>
    <t>INTERNAL CREDIT RATING EQUIVALENTS</t>
  </si>
  <si>
    <t>Definition</t>
  </si>
  <si>
    <t>Internal</t>
  </si>
  <si>
    <t>Moody's</t>
  </si>
  <si>
    <t>S&amp;P</t>
  </si>
  <si>
    <t>Leading position in its chosen markets, long and unblemished business performance record, strong and stable financial ratios, no foreseeable change which could cause its financial profile to deteriorate, easy access to debt markets, negligible risk of non-payment of financial obligations when due</t>
  </si>
  <si>
    <t>1+</t>
  </si>
  <si>
    <t>Aaa</t>
  </si>
  <si>
    <t>AAA</t>
  </si>
  <si>
    <t>Aa1</t>
  </si>
  <si>
    <t>AA+</t>
  </si>
  <si>
    <t>Aa2</t>
  </si>
  <si>
    <t>AA</t>
  </si>
  <si>
    <t>1-</t>
  </si>
  <si>
    <t>Aa3</t>
  </si>
  <si>
    <t>AA-</t>
  </si>
  <si>
    <t>Well-positioned in its chosen markets, established business performance record, healthy financial ratios, no apparent vulnerability which could cause its financial profile to deteriorate, comfortable access to debt markets, very low risk of non-payment of financial obligations when due</t>
  </si>
  <si>
    <t>2+</t>
  </si>
  <si>
    <t>A1</t>
  </si>
  <si>
    <t>A+</t>
  </si>
  <si>
    <t>A2</t>
  </si>
  <si>
    <t>2-</t>
  </si>
  <si>
    <t>A3</t>
  </si>
  <si>
    <t>A-</t>
  </si>
  <si>
    <t>Viable competitor in its chosen markets, short or fluctuating business performance record, most financial ratios at or above acceptable levels, some vulnerabilities which could cause its financial profile to deteriorate, reasonable access to debt markets subject to thorough financial disclosure and due diligence, low risk of non-payment of financial obligations when due</t>
  </si>
  <si>
    <t>3+</t>
  </si>
  <si>
    <t>Baa1</t>
  </si>
  <si>
    <t>BBB+</t>
  </si>
  <si>
    <t>Baa2</t>
  </si>
  <si>
    <t>BBB</t>
  </si>
  <si>
    <t>3-</t>
  </si>
  <si>
    <t>Baa3</t>
  </si>
  <si>
    <t>BBB-</t>
  </si>
  <si>
    <t>4+</t>
  </si>
  <si>
    <t>Ba1</t>
  </si>
  <si>
    <t>BB+</t>
  </si>
  <si>
    <t>Weak competitor in its chosen markets, uneven business performance record, several financial ratios below acceptable levels, significant vulnerability to deterioration in its financial profile, limited access to debt markets and only then with thorough financial disclosure and due diligence, moderate risk of non-payment of financial obligations when due</t>
  </si>
  <si>
    <t>Ba2</t>
  </si>
  <si>
    <t>BB</t>
  </si>
  <si>
    <t>4-</t>
  </si>
  <si>
    <t>Ba3</t>
  </si>
  <si>
    <t>BB-</t>
  </si>
  <si>
    <t>Struggling commercially in its chosen markets, prolonged sub-standard business performance record, most financial ratios below acceptable levels, significant and immediate vulnerabilities to deterioration in its financial profile, very limited access to debt markets and only then on onerous terms and conditions, high risk of non-payment of financial obligations when due</t>
  </si>
  <si>
    <t>5+</t>
  </si>
  <si>
    <t>B1</t>
  </si>
  <si>
    <t>B+</t>
  </si>
  <si>
    <t>B2</t>
  </si>
  <si>
    <t>5-</t>
  </si>
  <si>
    <t>B3</t>
  </si>
  <si>
    <t>B-</t>
  </si>
  <si>
    <t xml:space="preserve">Past due, timely payment resumption unlikely but possible </t>
  </si>
  <si>
    <t>Caa1</t>
  </si>
  <si>
    <t>CCC/C</t>
  </si>
  <si>
    <t>Caa2</t>
  </si>
  <si>
    <t>Caa3</t>
  </si>
  <si>
    <t>Insolvent, bankruptcy proceedings imminent or in progress</t>
  </si>
  <si>
    <t>Ca-C</t>
  </si>
  <si>
    <t>COLUMBIA UNIVERSITY SCHOOL OF PROFESSIONAL STUDIES</t>
  </si>
  <si>
    <t>Credit Risk Exercise 7.1</t>
  </si>
  <si>
    <t>Credit exposure and expected loss calculation for collateralized OTC derivatives</t>
  </si>
  <si>
    <t>You are the credit analyst in the Treasury of a multi-national corporation, responsible for producing the monthly counterparty exposure report. This month you have to report the following new transactions.</t>
  </si>
  <si>
    <r>
      <t>1)</t>
    </r>
    <r>
      <rPr>
        <sz val="12"/>
        <color rgb="FF333333"/>
        <rFont val="Times New Roman"/>
        <family val="1"/>
      </rPr>
      <t xml:space="preserve">    </t>
    </r>
    <r>
      <rPr>
        <sz val="12"/>
        <color rgb="FF333333"/>
        <rFont val="Calibri"/>
        <family val="2"/>
      </rPr>
      <t xml:space="preserve">Counterparty:        UFA (United Farmers of Alberta) Co-operative </t>
    </r>
  </si>
  <si>
    <t>Credit rating:          3</t>
  </si>
  <si>
    <t>Transaction:           Interest rate swap</t>
  </si>
  <si>
    <t>Notional amount:  CAD 15,000,000</t>
  </si>
  <si>
    <t>Payment terms:     Semi-annually pay Libor-6 + 0.25% p.a., receive 2.50% p.a. fixed</t>
  </si>
  <si>
    <t>Expiry:                     31 December 2021</t>
  </si>
  <si>
    <t>Security:                 Collateral in Treasury Bills from net payor =&gt; 10% of market value</t>
  </si>
  <si>
    <r>
      <t>2)</t>
    </r>
    <r>
      <rPr>
        <sz val="12"/>
        <color rgb="FF333333"/>
        <rFont val="Times New Roman"/>
        <family val="1"/>
      </rPr>
      <t xml:space="preserve">    </t>
    </r>
    <r>
      <rPr>
        <sz val="12"/>
        <color rgb="FF333333"/>
        <rFont val="Calibri"/>
        <family val="2"/>
      </rPr>
      <t>Arranger:                Mizuho Bank</t>
    </r>
  </si>
  <si>
    <t>Counterparty:        GHI Corporation</t>
  </si>
  <si>
    <t>Credit rating:         2-</t>
  </si>
  <si>
    <t>Transaction:           Non-deliverable currency forward</t>
  </si>
  <si>
    <t>Notional amount:  Purchase JPY 1,800,000,000</t>
  </si>
  <si>
    <t>Forward price:        USD 1 = JPY 125</t>
  </si>
  <si>
    <t>Expiry:                     30 September 2019</t>
  </si>
  <si>
    <t>Security:                  Cash collateral from net payor =&gt; 25% of market value</t>
  </si>
  <si>
    <r>
      <t>3)</t>
    </r>
    <r>
      <rPr>
        <sz val="12"/>
        <color rgb="FF333333"/>
        <rFont val="Times New Roman"/>
        <family val="1"/>
      </rPr>
      <t xml:space="preserve">    </t>
    </r>
    <r>
      <rPr>
        <sz val="12"/>
        <color rgb="FF333333"/>
        <rFont val="Calibri"/>
        <family val="2"/>
      </rPr>
      <t>Counterparty:         RBS – Royal Bank of Scotland</t>
    </r>
  </si>
  <si>
    <t>Credit rating:          Ba1/BBB-</t>
  </si>
  <si>
    <t>Transaction:            Currency option purchased</t>
  </si>
  <si>
    <t>Notional amount:   Call EUR 2,500,000</t>
  </si>
  <si>
    <t>Strike price:              EUR 1 = USD 1.12</t>
  </si>
  <si>
    <t>Expiry:                       31 December 2017</t>
  </si>
  <si>
    <t>Security:                   Cash collateral =&gt; 110% current market value</t>
  </si>
  <si>
    <r>
      <t>4)</t>
    </r>
    <r>
      <rPr>
        <sz val="12"/>
        <color rgb="FF333333"/>
        <rFont val="Times New Roman"/>
        <family val="1"/>
      </rPr>
      <t xml:space="preserve">    </t>
    </r>
    <r>
      <rPr>
        <sz val="12"/>
        <color rgb="FF333333"/>
        <rFont val="Calibri"/>
        <family val="2"/>
      </rPr>
      <t>Counterparty:         BM&amp;F Bovespa</t>
    </r>
  </si>
  <si>
    <t>Credit rating:          Baa1/BBB</t>
  </si>
  <si>
    <t>Transaction:            Currency futures purchased</t>
  </si>
  <si>
    <t>Notional amount:   BRL 75,000,000</t>
  </si>
  <si>
    <t>Futures price:          USD 1 = BRL 3.96</t>
  </si>
  <si>
    <t>Expiry:                      30 November 2017</t>
  </si>
  <si>
    <t>Security:                   Margin = 100% of market value placed with exchange</t>
  </si>
  <si>
    <r>
      <t>1.</t>
    </r>
    <r>
      <rPr>
        <sz val="12"/>
        <color rgb="FF333333"/>
        <rFont val="Times New Roman"/>
        <family val="1"/>
      </rPr>
      <t xml:space="preserve">     </t>
    </r>
    <r>
      <rPr>
        <sz val="12"/>
        <color rgb="FF333333"/>
        <rFont val="Calibri"/>
        <family val="2"/>
      </rPr>
      <t xml:space="preserve">What is the aggregate EL of all 4 transactions? </t>
    </r>
  </si>
  <si>
    <r>
      <t>2.</t>
    </r>
    <r>
      <rPr>
        <sz val="12"/>
        <color rgb="FF333333"/>
        <rFont val="Times New Roman"/>
        <family val="1"/>
      </rPr>
      <t xml:space="preserve">     </t>
    </r>
    <r>
      <rPr>
        <sz val="12"/>
        <color rgb="FF333333"/>
        <rFont val="Calibri"/>
        <family val="2"/>
      </rPr>
      <t xml:space="preserve">What would the aggregate EL of all 4 transactions be with the following spot FX rates: CAD 1.30, JPY 115.0, EUR 1.20, BRL 3.25? </t>
    </r>
  </si>
  <si>
    <r>
      <t>3.</t>
    </r>
    <r>
      <rPr>
        <sz val="12"/>
        <color rgb="FF333333"/>
        <rFont val="Times New Roman"/>
        <family val="1"/>
      </rPr>
      <t xml:space="preserve">     </t>
    </r>
    <r>
      <rPr>
        <sz val="12"/>
        <color rgb="FF333333"/>
        <rFont val="Calibri"/>
        <family val="2"/>
      </rPr>
      <t>What type and amount of country exposure would the alternative FX rates create in Transaction 4?</t>
    </r>
  </si>
  <si>
    <t>Responses</t>
  </si>
  <si>
    <r>
      <t>What is the aggregate expected loss of all 4 transactions</t>
    </r>
    <r>
      <rPr>
        <sz val="12"/>
        <color rgb="FF333333"/>
        <rFont val="Calibri"/>
        <family val="2"/>
      </rPr>
      <t xml:space="preserve">? </t>
    </r>
  </si>
  <si>
    <t xml:space="preserve">What would be the aggregate expected loss with these alternative spot FX rates: CAD 1.30, JPY 115.0, EUR 1.20, BRL 3.25? </t>
  </si>
  <si>
    <t>What type and amount of country risk exposure would the alternative FX rates create in Transaction 4?</t>
  </si>
  <si>
    <r>
      <t xml:space="preserve">COUNTERPARTY EXPOSURE REPORT AT </t>
    </r>
    <r>
      <rPr>
        <b/>
        <sz val="8"/>
        <color rgb="FFFF0000"/>
        <rFont val="Calibri"/>
        <family val="2"/>
        <scheme val="minor"/>
      </rPr>
      <t xml:space="preserve">ALTERNATIVE </t>
    </r>
    <r>
      <rPr>
        <b/>
        <sz val="8"/>
        <color theme="1"/>
        <rFont val="Calibri"/>
        <family val="2"/>
        <scheme val="minor"/>
      </rPr>
      <t>SPOT FX RATES</t>
    </r>
  </si>
  <si>
    <t>Obligor</t>
  </si>
  <si>
    <t>Curr- ency</t>
  </si>
  <si>
    <t>Notional Amount</t>
  </si>
  <si>
    <t>Spot    FX rate</t>
  </si>
  <si>
    <t xml:space="preserve">USD Notional </t>
  </si>
  <si>
    <t>Maturity</t>
  </si>
  <si>
    <t>Credit Rating</t>
  </si>
  <si>
    <t>Security/ Collateral</t>
  </si>
  <si>
    <t>PD</t>
  </si>
  <si>
    <t>EAD</t>
  </si>
  <si>
    <t>LGD</t>
  </si>
  <si>
    <t>EL</t>
  </si>
  <si>
    <t>Years</t>
  </si>
  <si>
    <t>Moody's Equiv</t>
  </si>
  <si>
    <t>S&amp;P Equiv</t>
  </si>
  <si>
    <t>Moody's PD</t>
  </si>
  <si>
    <t>S&amp;P PD</t>
  </si>
  <si>
    <t>Recovery Rate</t>
  </si>
  <si>
    <t>Interest Rate Swap</t>
  </si>
  <si>
    <t>UFA</t>
  </si>
  <si>
    <t>CAD</t>
  </si>
  <si>
    <t>We pay floating</t>
  </si>
  <si>
    <t>T-Bills 10% net from payor</t>
  </si>
  <si>
    <t>ND Currency Forward</t>
  </si>
  <si>
    <t>GHI Corp</t>
  </si>
  <si>
    <t>JPY</t>
  </si>
  <si>
    <t>We pay USD</t>
  </si>
  <si>
    <t>Cash 25% net from payor</t>
  </si>
  <si>
    <t>Call Option</t>
  </si>
  <si>
    <t>RBS</t>
  </si>
  <si>
    <t>EUR</t>
  </si>
  <si>
    <t>We receive USD at strike 1.12</t>
  </si>
  <si>
    <t>Ba1/BBB-</t>
  </si>
  <si>
    <t>Initial margin 10% + 100% (spot-strike if &gt;0)</t>
  </si>
  <si>
    <t>Currency Futures</t>
  </si>
  <si>
    <t>BM&amp;F Bovespa</t>
  </si>
  <si>
    <t>BRL</t>
  </si>
  <si>
    <t>Bought BRL against USD</t>
  </si>
  <si>
    <t>Baa1/BBB</t>
  </si>
  <si>
    <t>100% cash margin</t>
  </si>
  <si>
    <t>Estimated EAD 's</t>
  </si>
  <si>
    <r>
      <t xml:space="preserve">Recovery rate for forwards, swaps &amp; margin </t>
    </r>
    <r>
      <rPr>
        <i/>
        <sz val="9"/>
        <color rgb="FFFF0000"/>
        <rFont val="Calibri"/>
        <family val="2"/>
        <scheme val="minor"/>
      </rPr>
      <t>= Moody's rate X 110%</t>
    </r>
  </si>
  <si>
    <t>Total expected loss</t>
  </si>
  <si>
    <t>Interest rate swap</t>
  </si>
  <si>
    <t>Notional x 5%</t>
  </si>
  <si>
    <t>ND currency forward</t>
  </si>
  <si>
    <t>Notional x 10%</t>
  </si>
  <si>
    <t>Currency option</t>
  </si>
  <si>
    <t>Notional x 15%  (option bought)                                     Margin * 100% (option sold)</t>
  </si>
  <si>
    <t>Currency futures</t>
  </si>
  <si>
    <t>20% margin x 100%</t>
  </si>
  <si>
    <t>COUNTERPARTY EXPOSURE REPORT AT CURRENT SPOT FX RATES</t>
  </si>
  <si>
    <r>
      <t xml:space="preserve">Recovery rate for forwards, swaps &amp; margin = </t>
    </r>
    <r>
      <rPr>
        <i/>
        <sz val="9"/>
        <color rgb="FFFF0000"/>
        <rFont val="Calibri"/>
        <family val="2"/>
        <scheme val="minor"/>
      </rPr>
      <t>Moody's rate X 110%</t>
    </r>
  </si>
  <si>
    <t>Credit Risk Exercise 7.2</t>
  </si>
  <si>
    <t>Credit exposure and expected loss calculation for sub-prime loans hedged by CDS</t>
  </si>
  <si>
    <t>You are a portfolio credit analyst in the captive finance company of an earthmoving equipment manufacturer. You have been asked to recommend a suitable credit default hedge for a number of “sub-prime” equipment loans with a high risk of default. Details of the loans and available credit index swaps are provided in Attachment B.</t>
  </si>
  <si>
    <r>
      <t xml:space="preserve">Open Attachment B </t>
    </r>
    <r>
      <rPr>
        <sz val="14"/>
        <color rgb="FF003399"/>
        <rFont val="Calibri"/>
        <family val="2"/>
      </rPr>
      <t>Exercise 7.2 calculations xls</t>
    </r>
    <r>
      <rPr>
        <sz val="14"/>
        <color rgb="FF333333"/>
        <rFont val="Calibri"/>
        <family val="2"/>
      </rPr>
      <t>. For question 1, the EAD of each loan is provided. In order to calculate its EL, you must calculate its PD by averaging the equivalent Moody’s and S&amp;P PD’s, then calculate its LGD from the applicable Moody’s recovery rate. For question 2, consider how much of the portfolio amortizes by December 2017, 2018 and 2019, then choose how much protection amount for each of the 3 credit index swaps you think creates a suitable portfolio hedge. For question 3, type in the negative expected loss amount of the credit index swaps which you have chosen and their cost. For question 4, consider which definitions in Attachment A are suitable for derivative counterparties.</t>
    </r>
  </si>
  <si>
    <r>
      <t>1.</t>
    </r>
    <r>
      <rPr>
        <sz val="14"/>
        <color rgb="FF333333"/>
        <rFont val="Times New Roman"/>
        <family val="1"/>
      </rPr>
      <t xml:space="preserve">     </t>
    </r>
    <r>
      <rPr>
        <sz val="14"/>
        <color rgb="FF333333"/>
        <rFont val="Calibri"/>
        <family val="2"/>
      </rPr>
      <t>What is the expected loss of the portfolio of loans on 31 December 2016?</t>
    </r>
  </si>
  <si>
    <r>
      <t>2.</t>
    </r>
    <r>
      <rPr>
        <sz val="14"/>
        <color rgb="FF333333"/>
        <rFont val="Times New Roman"/>
        <family val="1"/>
      </rPr>
      <t xml:space="preserve">     </t>
    </r>
    <r>
      <rPr>
        <sz val="14"/>
        <color rgb="FF333333"/>
        <rFont val="Calibri"/>
        <family val="2"/>
      </rPr>
      <t>How much of each of the available credit index swap hedges do you recommend?</t>
    </r>
  </si>
  <si>
    <r>
      <t>3.</t>
    </r>
    <r>
      <rPr>
        <sz val="14"/>
        <color rgb="FF333333"/>
        <rFont val="Times New Roman"/>
        <family val="1"/>
      </rPr>
      <t xml:space="preserve">     </t>
    </r>
    <r>
      <rPr>
        <sz val="14"/>
        <color rgb="FF333333"/>
        <rFont val="Calibri"/>
        <family val="2"/>
      </rPr>
      <t>Is the cost of your recommended hedges less than their expected loss protection? If yes, by how much?</t>
    </r>
  </si>
  <si>
    <r>
      <t>4.</t>
    </r>
    <r>
      <rPr>
        <sz val="14"/>
        <color rgb="FF333333"/>
        <rFont val="Times New Roman"/>
        <family val="1"/>
      </rPr>
      <t xml:space="preserve">     </t>
    </r>
    <r>
      <rPr>
        <sz val="14"/>
        <color rgb="FF333333"/>
        <rFont val="Calibri"/>
        <family val="2"/>
      </rPr>
      <t>What do you consider the minimum necessary financial institution credit rating credit index swap transaction counterparties?</t>
    </r>
  </si>
  <si>
    <t>What is the expected loss of the loans on 31 December 2016?</t>
  </si>
  <si>
    <t>How much of each of the available credit index swap hedges do you recommend?</t>
  </si>
  <si>
    <t>Is the cost of your recommended hedges less than their expected loss protection? If yes, by how much?</t>
  </si>
  <si>
    <t>What do you consider the minimum necessary credit rating for the credit index swap counterparty(ies)?</t>
  </si>
  <si>
    <t>PORTFOLIO OF EQUIPMENT LOANS</t>
  </si>
  <si>
    <t>Loan date</t>
  </si>
  <si>
    <t>Amount Advanced</t>
  </si>
  <si>
    <t>Borrower Name</t>
  </si>
  <si>
    <t>Interest rate p.a.</t>
  </si>
  <si>
    <t>Final maturity</t>
  </si>
  <si>
    <t>Security</t>
  </si>
  <si>
    <t>Principal o/s on 31-Dec-2016</t>
  </si>
  <si>
    <t>Principal o/s on 31-Dec-2017</t>
  </si>
  <si>
    <t># of payments remaining on 31-Dec-17</t>
  </si>
  <si>
    <t>EAD on 31-Dec-2016</t>
  </si>
  <si>
    <t>EAD on 31-Dec-2017</t>
  </si>
  <si>
    <t>Principal o/s on 31-Dec-2018</t>
  </si>
  <si>
    <t># of payments remaining on 31-Dec-18</t>
  </si>
  <si>
    <t>Average EAD 2017</t>
  </si>
  <si>
    <t>Principal o/s on 31-Dec-2019</t>
  </si>
  <si>
    <t># of payments remaining on 31-Dec-19</t>
  </si>
  <si>
    <t>Original principal</t>
  </si>
  <si>
    <t>Loan term (years)</t>
  </si>
  <si>
    <t># of payments remaining on 31-Dec-16</t>
  </si>
  <si>
    <t>Annual interest rate %</t>
  </si>
  <si>
    <t>Payments per year</t>
  </si>
  <si>
    <t>Payment</t>
  </si>
  <si>
    <t>Test</t>
  </si>
  <si>
    <t>Alpha Construction</t>
  </si>
  <si>
    <t>1st lien on earthmoving equipment</t>
  </si>
  <si>
    <t>Beta Construction</t>
  </si>
  <si>
    <t>Gamma Construction</t>
  </si>
  <si>
    <t>Delta Construction</t>
  </si>
  <si>
    <t>Epsilon Construction</t>
  </si>
  <si>
    <t>Eta Construction</t>
  </si>
  <si>
    <t>Theta Construction</t>
  </si>
  <si>
    <t>Xi Construction</t>
  </si>
  <si>
    <t>Total</t>
  </si>
  <si>
    <t xml:space="preserve">CREDIT INDEX SWAP HEDGE </t>
  </si>
  <si>
    <t>Wav yrs</t>
  </si>
  <si>
    <t>Coupon</t>
  </si>
  <si>
    <t>Current</t>
  </si>
  <si>
    <t>Credit Index</t>
  </si>
  <si>
    <t>Protection Amount</t>
  </si>
  <si>
    <t>Price</t>
  </si>
  <si>
    <t>% p.a.</t>
  </si>
  <si>
    <t>Spread</t>
  </si>
  <si>
    <t>Pymt Dates</t>
  </si>
  <si>
    <t>Cost</t>
  </si>
  <si>
    <t>Mid-Cap Sub-Prime Index 5yr</t>
  </si>
  <si>
    <t>Mar/Jun/ Sep/Dec 20</t>
  </si>
  <si>
    <t>Mid-Cap Sub-Prime Index 4yr</t>
  </si>
  <si>
    <t>Mid-Cap Sub-Prime Index 3yr</t>
  </si>
  <si>
    <t>Enter as negative amounts</t>
  </si>
  <si>
    <t>Credit Metrics</t>
  </si>
  <si>
    <t>Loan Covenants</t>
  </si>
  <si>
    <t>Loan Segmentation</t>
  </si>
  <si>
    <r>
      <t xml:space="preserve">Study the Internal Ratings tab, which shows how the 1-6 credit ratings used in our exercises map to credit ratings in the scales used by Moody’s and Standard and Poors. Then, open Attachment B, the Excel spreadsheet showing how the new derivative transactions are measured in the monthly counterparty exposure report. For question 1, calculate the EL amounts in the shaded cells in tab </t>
    </r>
    <r>
      <rPr>
        <sz val="12"/>
        <color rgb="FF003399"/>
        <rFont val="Calibri"/>
        <family val="2"/>
      </rPr>
      <t>EL</t>
    </r>
    <r>
      <rPr>
        <sz val="12"/>
        <color rgb="FF333333"/>
        <rFont val="Calibri"/>
        <family val="2"/>
      </rPr>
      <t xml:space="preserve">.  For question 2, re-calculate the EL amounts in tab </t>
    </r>
    <r>
      <rPr>
        <sz val="12"/>
        <color rgb="FF003399"/>
        <rFont val="Calibri"/>
        <family val="2"/>
      </rPr>
      <t xml:space="preserve">EL_alt_FX </t>
    </r>
    <r>
      <rPr>
        <sz val="12"/>
        <color rgb="FF333333"/>
        <rFont val="Calibri"/>
        <family val="2"/>
      </rPr>
      <t>after inserting the different FX rates. Then, answer question 3.</t>
    </r>
  </si>
  <si>
    <t>How cash is different than profit.</t>
  </si>
  <si>
    <t>Cash, but not profit, reducing events:</t>
  </si>
  <si>
    <t>Customers bought on account.</t>
  </si>
  <si>
    <t>Prepayments for deliverables.</t>
  </si>
  <si>
    <t>Delayed payments of accounts receivable.</t>
  </si>
  <si>
    <t>Cash, but not profit, increasing events:</t>
  </si>
  <si>
    <t>Purchases made on account.</t>
  </si>
  <si>
    <t>Cash deposits from loans.</t>
  </si>
  <si>
    <t>Cash received from investors.</t>
  </si>
  <si>
    <t>CDS</t>
  </si>
  <si>
    <t>What's a Credit Default Swap (CDS)?</t>
  </si>
  <si>
    <t>Recall that a swap is a fixed for floating exchange.</t>
  </si>
  <si>
    <t>A CDS is the same but the floating leg is a an unlikely credit event.</t>
  </si>
  <si>
    <t>Invented at JPM Morgan to insure Exxon after the Valdez Crisis.</t>
  </si>
  <si>
    <t>The spread is the price.</t>
  </si>
  <si>
    <t>A spread is the difference between risk free and risky loans.</t>
  </si>
  <si>
    <t>See optional material for calculation.</t>
  </si>
  <si>
    <t>http://www.investopedia.com/terms/c/creditdefaultswap.asp</t>
  </si>
  <si>
    <t>Calculate PD given a Credit Spread</t>
  </si>
  <si>
    <t>Risk Management and Financial Institutions</t>
  </si>
  <si>
    <t>4th Edition</t>
  </si>
  <si>
    <t>Page 413</t>
  </si>
  <si>
    <t>Face</t>
  </si>
  <si>
    <t>CouponRate</t>
  </si>
  <si>
    <t>Frequency</t>
  </si>
  <si>
    <t>n</t>
  </si>
  <si>
    <t>YTM</t>
  </si>
  <si>
    <t>YTM_rf</t>
  </si>
  <si>
    <t>CouponPmt</t>
  </si>
  <si>
    <t>Value</t>
  </si>
  <si>
    <t>Value_rf</t>
  </si>
  <si>
    <t>Eloss</t>
  </si>
  <si>
    <t>Period</t>
  </si>
  <si>
    <t>Time</t>
  </si>
  <si>
    <t>pmt</t>
  </si>
  <si>
    <t>pv</t>
  </si>
  <si>
    <t>pv_rf</t>
  </si>
  <si>
    <t xml:space="preserve">Time </t>
  </si>
  <si>
    <t>TimeR</t>
  </si>
  <si>
    <t>Time_</t>
  </si>
  <si>
    <t>value_rf_</t>
  </si>
  <si>
    <t>Recovery</t>
  </si>
  <si>
    <t>Loss</t>
  </si>
  <si>
    <t>pv_rf_</t>
  </si>
  <si>
    <t>PV[Loss]</t>
  </si>
  <si>
    <t>Credit Spreads</t>
  </si>
  <si>
    <t>Term Structure</t>
  </si>
  <si>
    <t>Spread to PD</t>
  </si>
  <si>
    <t>-&gt;</t>
  </si>
  <si>
    <t>PV</t>
  </si>
  <si>
    <t>Risk Management &amp; Financial Institutions Section 19.3</t>
  </si>
  <si>
    <t>E[L] = PD * EAD * LGD</t>
  </si>
  <si>
    <t>E[L] = PD * EAD * (1-R)</t>
  </si>
  <si>
    <t>E[L] / (EAD * (1-R)) = PD</t>
  </si>
  <si>
    <t>Spread2PD</t>
  </si>
  <si>
    <t>Price_</t>
  </si>
  <si>
    <t>Duration_</t>
  </si>
  <si>
    <t>N/A</t>
  </si>
  <si>
    <t>You have a 7 year bond paying at 6% coupon semiannually.</t>
  </si>
  <si>
    <t>Estimate the implied probability of default.</t>
  </si>
  <si>
    <t>The bond is trading at 98 cents on the dollar.</t>
  </si>
  <si>
    <t>You will need to surf the web to infer risk free rates and/or compare to a treasury bond.</t>
  </si>
  <si>
    <t>Review the notecards.</t>
  </si>
  <si>
    <t>Cards</t>
  </si>
  <si>
    <t>Software</t>
  </si>
  <si>
    <t>Review the Reminder tabs</t>
  </si>
  <si>
    <t>Do Homework Questions in the yellow tabs</t>
  </si>
  <si>
    <t xml:space="preserve"> </t>
  </si>
  <si>
    <t>Hazard Rates</t>
  </si>
  <si>
    <t>Hull 19.2.1 Page 434</t>
  </si>
  <si>
    <t>Table 19.1 Average Cumulative issuer_Weighed Default Rates (%), 1970-2016</t>
  </si>
  <si>
    <t xml:space="preserve">Aaa </t>
  </si>
  <si>
    <t xml:space="preserve">Aa </t>
  </si>
  <si>
    <t xml:space="preserve">A </t>
  </si>
  <si>
    <t xml:space="preserve">Baa </t>
  </si>
  <si>
    <t xml:space="preserve">Ba </t>
  </si>
  <si>
    <t xml:space="preserve">B </t>
  </si>
  <si>
    <t xml:space="preserve">Caa-C </t>
  </si>
  <si>
    <t>Rating</t>
  </si>
  <si>
    <t>Year</t>
  </si>
  <si>
    <t>Caa</t>
  </si>
  <si>
    <t>Unconditional Default Probability in Year 3</t>
  </si>
  <si>
    <t>P(Survive to year 2)</t>
  </si>
  <si>
    <t>P(Default in year 3 | Survive to year 2)</t>
  </si>
  <si>
    <t>Hull 19.2.1 Page 435 Example 19.2</t>
  </si>
  <si>
    <t>Unconditional Probability of Default based on Average Hazard Rate</t>
  </si>
  <si>
    <t>1 - exp(-avg_hazard_rate*t)</t>
  </si>
  <si>
    <t>avg_hazard_rate</t>
  </si>
  <si>
    <t>t</t>
  </si>
  <si>
    <t>Cumulative Unconditional Default Probability</t>
  </si>
  <si>
    <t>Unconditional Default Probability</t>
  </si>
  <si>
    <t>Conditional Default Probability</t>
  </si>
  <si>
    <t>Hull 19.2.1 Page 435</t>
  </si>
  <si>
    <t>dV(t)/dt = - lambda(t) V(t)</t>
  </si>
  <si>
    <t>dV(t)/dt / V(t) = - lambda(t)</t>
  </si>
  <si>
    <t>d ln(V(t))/dt = - lambda(t)</t>
  </si>
  <si>
    <t>ln(V(t)) =  ∫ - lambda(t) dt</t>
  </si>
  <si>
    <r>
      <t>V(t) =  e</t>
    </r>
    <r>
      <rPr>
        <vertAlign val="superscript"/>
        <sz val="20"/>
        <color theme="1"/>
        <rFont val="Calibri (Body)"/>
      </rPr>
      <t>-∫lambda(t) dt</t>
    </r>
  </si>
  <si>
    <t>Q(t) = 1 - V(t)</t>
  </si>
  <si>
    <r>
      <t>Q(t) = 1 - e</t>
    </r>
    <r>
      <rPr>
        <vertAlign val="superscript"/>
        <sz val="20"/>
        <color theme="1"/>
        <rFont val="Calibri (Body)"/>
      </rPr>
      <t>-∫lambda(t) dt</t>
    </r>
  </si>
  <si>
    <r>
      <t>Q(t) = 1 - e</t>
    </r>
    <r>
      <rPr>
        <vertAlign val="superscript"/>
        <sz val="20"/>
        <color theme="1"/>
        <rFont val="Calibri (Body)"/>
      </rPr>
      <t>-∫ avg_lambda dt</t>
    </r>
  </si>
  <si>
    <t>The modeled average hazard rate is 2.2%</t>
  </si>
  <si>
    <t>What is the Conditional Probability of default in each year over the next 3 years?</t>
  </si>
  <si>
    <t>What is the probabily of defaulting at some time between now and ten years forward?</t>
  </si>
  <si>
    <t>Implied PD</t>
  </si>
  <si>
    <t>Question</t>
  </si>
  <si>
    <t>Points</t>
  </si>
  <si>
    <t>A credit analyst at your company has modeled the hazard rate of a counterparty.</t>
  </si>
  <si>
    <t>Assuming a recovery rate of 40%, what should the limit to the counterparty be set at, over the next year, to keep the Expected loss under $1 Million?</t>
  </si>
  <si>
    <t>Assuming a recovery rate of 40%, what should the limit to the counterparty be set at, over the next 2 years, to keep the Expected loss under $1 Million?</t>
  </si>
  <si>
    <t>What is the Cumulative Unconditional Probability of default in each year over the next 3 years?</t>
  </si>
  <si>
    <t>What is the Unconditional Probability of default in each year over the next 3 years?</t>
  </si>
  <si>
    <r>
      <rPr>
        <sz val="11"/>
        <color theme="1"/>
        <rFont val="Symbol"/>
        <charset val="2"/>
      </rPr>
      <t>d</t>
    </r>
    <r>
      <rPr>
        <sz val="11"/>
        <color theme="1"/>
        <rFont val="Calibri"/>
        <family val="2"/>
        <scheme val="minor"/>
      </rPr>
      <t>y</t>
    </r>
  </si>
  <si>
    <t>Prepare for the midterm</t>
  </si>
  <si>
    <t>Review the Homework assignments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</si>
</sst>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_);\(&quot;$&quot;#,##0.00\)"/>
    <numFmt numFmtId="8" formatCode="&quot;$&quot;#,##0.00_);[Red]\(&quot;$&quot;#,##0.00\)"/>
    <numFmt numFmtId="44" formatCode="_(&quot;$&quot;* #,##0.00_);_(&quot;$&quot;* \(#,##0.00\);_(&quot;$&quot;* &quot;-&quot;??_);_(@_)"/>
    <numFmt numFmtId="164" formatCode="_-* #,##0.00\ _$_-;\-* #,##0.00\ _$_-;_-* &quot;-&quot;??\ _$_-;_-@_-"/>
    <numFmt numFmtId="165" formatCode="0.0%"/>
    <numFmt numFmtId="166" formatCode="0.0"/>
    <numFmt numFmtId="167" formatCode="[$-409]d\-mmm\-yy;@"/>
    <numFmt numFmtId="168" formatCode="0.000%"/>
    <numFmt numFmtId="169" formatCode="0.0000"/>
  </numFmts>
  <fonts count="5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2"/>
      <color theme="1"/>
      <name val="Calibri"/>
      <family val="2"/>
      <scheme val="minor"/>
    </font>
    <font>
      <sz val="11"/>
      <color theme="1"/>
      <name val="Calibri"/>
      <family val="2"/>
      <scheme val="minor"/>
    </font>
    <font>
      <sz val="11"/>
      <color theme="0" tint="-4.9989318521683403E-2"/>
      <name val="Calibri"/>
      <family val="2"/>
      <scheme val="minor"/>
    </font>
    <font>
      <sz val="11"/>
      <name val="Calibri"/>
      <family val="2"/>
      <scheme val="minor"/>
    </font>
    <font>
      <sz val="11"/>
      <color theme="1"/>
      <name val="Symbol"/>
      <charset val="2"/>
    </font>
    <font>
      <sz val="20"/>
      <color theme="1"/>
      <name val="Calibri"/>
      <family val="2"/>
      <scheme val="minor"/>
    </font>
    <font>
      <sz val="20"/>
      <color rgb="FF000000"/>
      <name val="Calibri"/>
      <family val="2"/>
      <scheme val="minor"/>
    </font>
    <font>
      <b/>
      <sz val="12"/>
      <color rgb="FF333333"/>
      <name val="Calibri"/>
      <family val="2"/>
    </font>
    <font>
      <sz val="12"/>
      <color rgb="FF333333"/>
      <name val="Calibri"/>
      <family val="2"/>
    </font>
    <font>
      <sz val="12"/>
      <name val="Calibri"/>
      <family val="2"/>
    </font>
    <font>
      <u/>
      <sz val="14"/>
      <color rgb="FF333333"/>
      <name val="Calibri"/>
      <family val="2"/>
    </font>
    <font>
      <sz val="14"/>
      <color theme="1"/>
      <name val="Calibri"/>
      <family val="2"/>
      <scheme val="minor"/>
    </font>
    <font>
      <b/>
      <sz val="14"/>
      <color rgb="FF000000"/>
      <name val="Calibri"/>
      <family val="2"/>
    </font>
    <font>
      <sz val="14"/>
      <color rgb="FF000000"/>
      <name val="Calibri"/>
      <family val="2"/>
    </font>
    <font>
      <sz val="12"/>
      <color rgb="FF333333"/>
      <name val="Times New Roman"/>
      <family val="1"/>
    </font>
    <font>
      <sz val="12"/>
      <color rgb="FF003399"/>
      <name val="Calibri"/>
      <family val="2"/>
    </font>
    <font>
      <b/>
      <sz val="8"/>
      <color theme="1"/>
      <name val="Calibri"/>
      <family val="2"/>
      <scheme val="minor"/>
    </font>
    <font>
      <b/>
      <sz val="8"/>
      <color rgb="FFFF0000"/>
      <name val="Calibri"/>
      <family val="2"/>
      <scheme val="minor"/>
    </font>
    <font>
      <sz val="8"/>
      <color theme="1"/>
      <name val="Calibri"/>
      <family val="2"/>
      <scheme val="minor"/>
    </font>
    <font>
      <sz val="8"/>
      <color rgb="FF0033CC"/>
      <name val="Calibri"/>
      <family val="2"/>
      <scheme val="minor"/>
    </font>
    <font>
      <b/>
      <sz val="11"/>
      <color theme="1"/>
      <name val="Calibri"/>
      <family val="2"/>
      <scheme val="minor"/>
    </font>
    <font>
      <sz val="6"/>
      <color theme="1"/>
      <name val="Calibri"/>
      <family val="2"/>
      <scheme val="minor"/>
    </font>
    <font>
      <b/>
      <i/>
      <sz val="9"/>
      <color rgb="FFFF0000"/>
      <name val="Calibri"/>
      <family val="2"/>
    </font>
    <font>
      <i/>
      <sz val="7"/>
      <color theme="1"/>
      <name val="Calibri"/>
      <family val="2"/>
      <scheme val="minor"/>
    </font>
    <font>
      <i/>
      <sz val="9"/>
      <color theme="1"/>
      <name val="Calibri"/>
      <family val="2"/>
      <scheme val="minor"/>
    </font>
    <font>
      <i/>
      <sz val="9"/>
      <color rgb="FFFF0000"/>
      <name val="Calibri"/>
      <family val="2"/>
      <scheme val="minor"/>
    </font>
    <font>
      <i/>
      <sz val="7"/>
      <color rgb="FF333333"/>
      <name val="Calibri"/>
      <family val="2"/>
    </font>
    <font>
      <sz val="7"/>
      <color rgb="FF0033CC"/>
      <name val="Calibri"/>
      <family val="2"/>
      <scheme val="minor"/>
    </font>
    <font>
      <i/>
      <sz val="7"/>
      <color rgb="FF0033CC"/>
      <name val="Calibri"/>
      <family val="2"/>
      <scheme val="minor"/>
    </font>
    <font>
      <sz val="11"/>
      <color rgb="FF0033CC"/>
      <name val="Calibri"/>
      <family val="2"/>
      <scheme val="minor"/>
    </font>
    <font>
      <b/>
      <sz val="14"/>
      <color rgb="FF333333"/>
      <name val="Calibri"/>
      <family val="2"/>
    </font>
    <font>
      <sz val="14"/>
      <color rgb="FF333333"/>
      <name val="Calibri"/>
      <family val="2"/>
    </font>
    <font>
      <sz val="14"/>
      <name val="Calibri"/>
      <family val="2"/>
    </font>
    <font>
      <sz val="14"/>
      <color rgb="FF003399"/>
      <name val="Calibri"/>
      <family val="2"/>
    </font>
    <font>
      <sz val="14"/>
      <color rgb="FF333333"/>
      <name val="Times New Roman"/>
      <family val="1"/>
    </font>
    <font>
      <sz val="10"/>
      <color rgb="FF0033CC"/>
      <name val="Calibri"/>
      <family val="2"/>
      <scheme val="minor"/>
    </font>
    <font>
      <sz val="9"/>
      <color rgb="FF0033CC"/>
      <name val="Calibri"/>
      <family val="2"/>
      <scheme val="minor"/>
    </font>
    <font>
      <i/>
      <sz val="10"/>
      <color theme="9" tint="-0.249977111117893"/>
      <name val="Calibri"/>
      <family val="2"/>
      <scheme val="minor"/>
    </font>
    <font>
      <sz val="10"/>
      <color theme="1"/>
      <name val="Calibri"/>
      <family val="2"/>
      <scheme val="minor"/>
    </font>
    <font>
      <i/>
      <sz val="10"/>
      <color rgb="FF0033CC"/>
      <name val="Calibri"/>
      <family val="2"/>
      <scheme val="minor"/>
    </font>
    <font>
      <b/>
      <sz val="11"/>
      <name val="Calibri"/>
      <family val="2"/>
      <scheme val="minor"/>
    </font>
    <font>
      <b/>
      <sz val="8"/>
      <color rgb="FF0033CC"/>
      <name val="Calibri"/>
      <family val="2"/>
      <scheme val="minor"/>
    </font>
    <font>
      <i/>
      <sz val="10"/>
      <color rgb="FF003399"/>
      <name val="Calibri"/>
      <family val="2"/>
      <scheme val="minor"/>
    </font>
    <font>
      <u/>
      <sz val="11"/>
      <color theme="10"/>
      <name val="Calibri"/>
      <family val="2"/>
      <scheme val="minor"/>
    </font>
    <font>
      <u/>
      <sz val="20"/>
      <color theme="10"/>
      <name val="Calibri"/>
      <family val="2"/>
      <scheme val="minor"/>
    </font>
    <font>
      <sz val="36"/>
      <color theme="1"/>
      <name val="Calibri"/>
      <family val="2"/>
      <scheme val="minor"/>
    </font>
    <font>
      <sz val="72"/>
      <color theme="1"/>
      <name val="Calibri"/>
      <family val="2"/>
      <scheme val="minor"/>
    </font>
    <font>
      <u/>
      <sz val="72"/>
      <color theme="1"/>
      <name val="Calibri"/>
      <family val="2"/>
      <scheme val="minor"/>
    </font>
    <font>
      <sz val="18"/>
      <color theme="1"/>
      <name val="Calibri"/>
      <family val="2"/>
      <scheme val="minor"/>
    </font>
    <font>
      <vertAlign val="superscript"/>
      <sz val="20"/>
      <color theme="1"/>
      <name val="Calibri (Body)"/>
    </font>
    <font>
      <sz val="11"/>
      <color theme="1"/>
      <name val="Calibri"/>
      <family val="2"/>
      <charset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28">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9">
    <xf numFmtId="0" fontId="0" fillId="0" borderId="0"/>
    <xf numFmtId="164"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6"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5" fillId="0" borderId="0"/>
    <xf numFmtId="0" fontId="5" fillId="0" borderId="0"/>
    <xf numFmtId="44" fontId="9" fillId="0" borderId="0" applyFont="0" applyFill="0" applyBorder="0" applyAlignment="0" applyProtection="0"/>
    <xf numFmtId="0" fontId="51" fillId="0" borderId="0" applyNumberFormat="0" applyFill="0" applyBorder="0" applyAlignment="0" applyProtection="0"/>
    <xf numFmtId="0" fontId="4" fillId="0" borderId="0"/>
    <xf numFmtId="0" fontId="3" fillId="0" borderId="0"/>
    <xf numFmtId="0" fontId="2" fillId="0" borderId="0"/>
    <xf numFmtId="0" fontId="2" fillId="0" borderId="0"/>
    <xf numFmtId="0" fontId="1" fillId="0" borderId="0"/>
    <xf numFmtId="9" fontId="1" fillId="0" borderId="0" applyFont="0" applyFill="0" applyBorder="0" applyAlignment="0" applyProtection="0"/>
  </cellStyleXfs>
  <cellXfs count="310">
    <xf numFmtId="0" fontId="0" fillId="0" borderId="0" xfId="0"/>
    <xf numFmtId="0" fontId="8" fillId="3" borderId="0" xfId="0" applyFont="1" applyFill="1"/>
    <xf numFmtId="0" fontId="0" fillId="4" borderId="0" xfId="0" applyFill="1"/>
    <xf numFmtId="0" fontId="8" fillId="2" borderId="0" xfId="5" applyFont="1" applyFill="1"/>
    <xf numFmtId="0" fontId="9" fillId="3" borderId="0" xfId="6" applyFill="1"/>
    <xf numFmtId="0" fontId="10" fillId="3" borderId="0" xfId="6" applyFont="1" applyFill="1" applyAlignment="1">
      <alignment horizontal="right"/>
    </xf>
    <xf numFmtId="0" fontId="9" fillId="5" borderId="0" xfId="6" applyFill="1"/>
    <xf numFmtId="9" fontId="9" fillId="3" borderId="0" xfId="6" applyNumberFormat="1" applyFill="1"/>
    <xf numFmtId="0" fontId="10" fillId="3" borderId="0" xfId="6" applyFont="1" applyFill="1"/>
    <xf numFmtId="0" fontId="9" fillId="3" borderId="0" xfId="6" applyFill="1" applyAlignment="1">
      <alignment horizontal="right"/>
    </xf>
    <xf numFmtId="0" fontId="0" fillId="3" borderId="0" xfId="6" applyFont="1" applyFill="1"/>
    <xf numFmtId="9" fontId="0" fillId="4" borderId="1" xfId="8" applyFont="1" applyFill="1" applyBorder="1"/>
    <xf numFmtId="9" fontId="0" fillId="3" borderId="2" xfId="8" applyFont="1" applyFill="1" applyBorder="1"/>
    <xf numFmtId="9" fontId="0" fillId="3" borderId="3" xfId="8" applyFont="1" applyFill="1" applyBorder="1"/>
    <xf numFmtId="9" fontId="0" fillId="3" borderId="4" xfId="8" applyFont="1" applyFill="1" applyBorder="1"/>
    <xf numFmtId="9" fontId="0" fillId="4" borderId="0" xfId="8" applyFont="1" applyFill="1"/>
    <xf numFmtId="9" fontId="0" fillId="3" borderId="0" xfId="8" applyFont="1" applyFill="1"/>
    <xf numFmtId="9" fontId="0" fillId="3" borderId="5" xfId="8" applyFont="1" applyFill="1" applyBorder="1"/>
    <xf numFmtId="9" fontId="0" fillId="3" borderId="6" xfId="8" applyFont="1" applyFill="1" applyBorder="1"/>
    <xf numFmtId="9" fontId="0" fillId="3" borderId="7" xfId="8" applyFont="1" applyFill="1" applyBorder="1"/>
    <xf numFmtId="9" fontId="0" fillId="4" borderId="8" xfId="8" applyFont="1" applyFill="1" applyBorder="1"/>
    <xf numFmtId="0" fontId="11" fillId="3" borderId="1" xfId="6" applyFont="1" applyFill="1" applyBorder="1"/>
    <xf numFmtId="0" fontId="11" fillId="3" borderId="2" xfId="6" applyFont="1" applyFill="1" applyBorder="1"/>
    <xf numFmtId="0" fontId="11" fillId="3" borderId="3" xfId="6" applyFont="1" applyFill="1" applyBorder="1"/>
    <xf numFmtId="0" fontId="11" fillId="3" borderId="0" xfId="6" applyFont="1" applyFill="1"/>
    <xf numFmtId="0" fontId="11" fillId="3" borderId="4" xfId="6" applyFont="1" applyFill="1" applyBorder="1"/>
    <xf numFmtId="0" fontId="11" fillId="3" borderId="5" xfId="6" applyFont="1" applyFill="1" applyBorder="1"/>
    <xf numFmtId="0" fontId="11" fillId="3" borderId="6" xfId="6" applyFont="1" applyFill="1" applyBorder="1"/>
    <xf numFmtId="0" fontId="11" fillId="3" borderId="7" xfId="6" applyFont="1" applyFill="1" applyBorder="1"/>
    <xf numFmtId="0" fontId="11" fillId="3" borderId="8" xfId="6" applyFont="1" applyFill="1" applyBorder="1"/>
    <xf numFmtId="0" fontId="11" fillId="3" borderId="0" xfId="6" applyFont="1" applyFill="1" applyAlignment="1">
      <alignment horizontal="right"/>
    </xf>
    <xf numFmtId="0" fontId="8" fillId="3" borderId="0" xfId="6" applyFont="1" applyFill="1"/>
    <xf numFmtId="10" fontId="9" fillId="3" borderId="0" xfId="6" applyNumberFormat="1" applyFill="1"/>
    <xf numFmtId="165" fontId="9" fillId="3" borderId="0" xfId="7" applyNumberFormat="1" applyFill="1"/>
    <xf numFmtId="10" fontId="0" fillId="3" borderId="0" xfId="6" applyNumberFormat="1" applyFont="1" applyFill="1"/>
    <xf numFmtId="0" fontId="0" fillId="3" borderId="0" xfId="6" applyFont="1" applyFill="1" applyAlignment="1">
      <alignment horizontal="right"/>
    </xf>
    <xf numFmtId="0" fontId="13" fillId="4" borderId="0" xfId="9" applyFont="1" applyFill="1"/>
    <xf numFmtId="0" fontId="14" fillId="4" borderId="0" xfId="0" applyFont="1" applyFill="1"/>
    <xf numFmtId="1" fontId="9" fillId="3" borderId="0" xfId="6" applyNumberFormat="1" applyFill="1"/>
    <xf numFmtId="0" fontId="15" fillId="2" borderId="9" xfId="0" applyFont="1" applyFill="1" applyBorder="1" applyAlignment="1">
      <alignment vertical="center" wrapText="1"/>
    </xf>
    <xf numFmtId="0" fontId="16" fillId="2" borderId="10" xfId="0" applyFont="1" applyFill="1" applyBorder="1" applyAlignment="1">
      <alignment vertical="center" wrapText="1"/>
    </xf>
    <xf numFmtId="0" fontId="15" fillId="2" borderId="11" xfId="0" applyFont="1" applyFill="1" applyBorder="1" applyAlignment="1">
      <alignment vertical="center" wrapText="1"/>
    </xf>
    <xf numFmtId="0" fontId="16" fillId="2" borderId="12" xfId="0" applyFont="1" applyFill="1" applyBorder="1" applyAlignment="1">
      <alignment vertical="center" wrapText="1"/>
    </xf>
    <xf numFmtId="0" fontId="16" fillId="2" borderId="14" xfId="0" applyFont="1" applyFill="1" applyBorder="1" applyAlignment="1">
      <alignment vertical="center" wrapText="1"/>
    </xf>
    <xf numFmtId="0" fontId="18" fillId="2" borderId="0" xfId="0" applyFont="1" applyFill="1" applyAlignment="1">
      <alignment vertical="center"/>
    </xf>
    <xf numFmtId="0" fontId="19" fillId="2" borderId="0" xfId="0" applyFont="1" applyFill="1"/>
    <xf numFmtId="0" fontId="19" fillId="4" borderId="0" xfId="10" applyFont="1" applyFill="1"/>
    <xf numFmtId="0" fontId="20" fillId="2" borderId="0" xfId="0" applyFont="1" applyFill="1" applyAlignment="1">
      <alignment vertical="center"/>
    </xf>
    <xf numFmtId="0" fontId="20" fillId="2" borderId="0" xfId="0" applyFont="1" applyFill="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0" xfId="0" applyFont="1" applyFill="1" applyAlignment="1">
      <alignment horizontal="center" vertical="center"/>
    </xf>
    <xf numFmtId="0" fontId="21" fillId="2" borderId="13" xfId="0" applyFont="1" applyFill="1" applyBorder="1" applyAlignment="1">
      <alignment horizontal="center" vertical="center"/>
    </xf>
    <xf numFmtId="0" fontId="21" fillId="2" borderId="14" xfId="0" applyFont="1" applyFill="1" applyBorder="1" applyAlignment="1">
      <alignment horizontal="center" vertical="center"/>
    </xf>
    <xf numFmtId="0" fontId="21" fillId="2" borderId="15" xfId="0" applyFont="1" applyFill="1" applyBorder="1" applyAlignment="1">
      <alignment vertical="center" wrapText="1"/>
    </xf>
    <xf numFmtId="0" fontId="21" fillId="2" borderId="13" xfId="0" applyFont="1" applyFill="1" applyBorder="1" applyAlignment="1">
      <alignment vertical="center" wrapText="1"/>
    </xf>
    <xf numFmtId="0" fontId="19" fillId="2" borderId="13" xfId="0" applyFont="1" applyFill="1" applyBorder="1" applyAlignment="1">
      <alignment vertical="center" wrapText="1"/>
    </xf>
    <xf numFmtId="0" fontId="21" fillId="2" borderId="12" xfId="0" applyFont="1" applyFill="1" applyBorder="1" applyAlignment="1">
      <alignment horizontal="center" vertical="center"/>
    </xf>
    <xf numFmtId="0" fontId="21" fillId="2" borderId="20" xfId="0" applyFont="1" applyFill="1" applyBorder="1" applyAlignment="1">
      <alignment horizontal="center" vertical="center"/>
    </xf>
    <xf numFmtId="0" fontId="21" fillId="2" borderId="11" xfId="0" applyFont="1" applyFill="1" applyBorder="1" applyAlignment="1">
      <alignment horizontal="center" vertical="center"/>
    </xf>
    <xf numFmtId="0" fontId="15" fillId="2" borderId="0" xfId="0" applyFont="1" applyFill="1" applyAlignment="1">
      <alignment vertical="center"/>
    </xf>
    <xf numFmtId="0" fontId="5" fillId="2" borderId="0" xfId="0" applyFont="1" applyFill="1"/>
    <xf numFmtId="0" fontId="5" fillId="4" borderId="0" xfId="10" applyFill="1"/>
    <xf numFmtId="0" fontId="17" fillId="2" borderId="12" xfId="0" applyFont="1" applyFill="1" applyBorder="1" applyAlignment="1">
      <alignment vertical="center" wrapText="1"/>
    </xf>
    <xf numFmtId="0" fontId="16" fillId="2" borderId="14" xfId="0" applyFont="1" applyFill="1" applyBorder="1" applyAlignment="1">
      <alignment horizontal="left" vertical="center" wrapText="1" indent="3"/>
    </xf>
    <xf numFmtId="0" fontId="16" fillId="2" borderId="12" xfId="0" applyFont="1" applyFill="1" applyBorder="1" applyAlignment="1">
      <alignment horizontal="left" vertical="center" wrapText="1" indent="3"/>
    </xf>
    <xf numFmtId="0" fontId="24" fillId="0" borderId="0" xfId="0" applyFont="1"/>
    <xf numFmtId="0" fontId="26" fillId="0" borderId="0" xfId="0" applyFont="1"/>
    <xf numFmtId="0" fontId="26" fillId="0" borderId="0" xfId="0" applyFont="1" applyAlignment="1">
      <alignment horizontal="center"/>
    </xf>
    <xf numFmtId="0" fontId="27" fillId="0" borderId="0" xfId="0" applyFont="1" applyAlignment="1">
      <alignment horizontal="center"/>
    </xf>
    <xf numFmtId="0" fontId="24" fillId="0" borderId="0" xfId="0" applyFont="1" applyAlignment="1">
      <alignment horizontal="center" wrapText="1"/>
    </xf>
    <xf numFmtId="0" fontId="27" fillId="0" borderId="0" xfId="0" applyFont="1" applyAlignment="1">
      <alignment horizontal="center" wrapText="1"/>
    </xf>
    <xf numFmtId="0" fontId="28" fillId="0" borderId="0" xfId="0" applyFont="1" applyAlignment="1">
      <alignment horizontal="center" wrapText="1"/>
    </xf>
    <xf numFmtId="0" fontId="24" fillId="0" borderId="8" xfId="0" applyFont="1" applyBorder="1"/>
    <xf numFmtId="0" fontId="26" fillId="0" borderId="6" xfId="0" applyFont="1" applyBorder="1"/>
    <xf numFmtId="0" fontId="26" fillId="0" borderId="21" xfId="0" applyFont="1" applyBorder="1"/>
    <xf numFmtId="0" fontId="26" fillId="0" borderId="7" xfId="0" applyFont="1" applyBorder="1"/>
    <xf numFmtId="0" fontId="26" fillId="0" borderId="21" xfId="0" applyFont="1" applyBorder="1" applyAlignment="1">
      <alignment horizontal="center"/>
    </xf>
    <xf numFmtId="0" fontId="26" fillId="0" borderId="5" xfId="0" applyFont="1" applyBorder="1"/>
    <xf numFmtId="0" fontId="26" fillId="0" borderId="4" xfId="0" applyFont="1" applyBorder="1"/>
    <xf numFmtId="0" fontId="26" fillId="0" borderId="22" xfId="0" applyFont="1" applyBorder="1" applyAlignment="1">
      <alignment horizontal="center"/>
    </xf>
    <xf numFmtId="0" fontId="29" fillId="0" borderId="0" xfId="0" applyFont="1" applyAlignment="1">
      <alignment horizontal="center" vertical="center" wrapText="1"/>
    </xf>
    <xf numFmtId="3" fontId="26" fillId="0" borderId="22" xfId="0" applyNumberFormat="1" applyFont="1" applyBorder="1" applyAlignment="1">
      <alignment horizontal="center"/>
    </xf>
    <xf numFmtId="2" fontId="26" fillId="6" borderId="0" xfId="0" applyNumberFormat="1" applyFont="1" applyFill="1" applyAlignment="1">
      <alignment horizontal="center"/>
    </xf>
    <xf numFmtId="167" fontId="26" fillId="0" borderId="0" xfId="0" applyNumberFormat="1" applyFont="1" applyAlignment="1">
      <alignment horizontal="center"/>
    </xf>
    <xf numFmtId="168" fontId="26" fillId="0" borderId="22" xfId="0" applyNumberFormat="1" applyFont="1" applyBorder="1" applyAlignment="1">
      <alignment horizontal="center"/>
    </xf>
    <xf numFmtId="3" fontId="26" fillId="0" borderId="0" xfId="0" applyNumberFormat="1" applyFont="1"/>
    <xf numFmtId="10" fontId="26" fillId="0" borderId="22" xfId="0" applyNumberFormat="1" applyFont="1" applyBorder="1" applyAlignment="1">
      <alignment horizontal="center"/>
    </xf>
    <xf numFmtId="3" fontId="26" fillId="6" borderId="4" xfId="0" applyNumberFormat="1" applyFont="1" applyFill="1" applyBorder="1"/>
    <xf numFmtId="1" fontId="27" fillId="0" borderId="0" xfId="0" applyNumberFormat="1" applyFont="1" applyAlignment="1">
      <alignment horizontal="center" wrapText="1"/>
    </xf>
    <xf numFmtId="168" fontId="27" fillId="0" borderId="0" xfId="0" applyNumberFormat="1" applyFont="1" applyAlignment="1">
      <alignment horizontal="center"/>
    </xf>
    <xf numFmtId="10" fontId="27" fillId="0" borderId="0" xfId="0" applyNumberFormat="1" applyFont="1" applyAlignment="1">
      <alignment horizontal="center" wrapText="1"/>
    </xf>
    <xf numFmtId="0" fontId="24" fillId="0" borderId="5" xfId="0" applyFont="1" applyBorder="1"/>
    <xf numFmtId="1" fontId="26" fillId="0" borderId="0" xfId="0" applyNumberFormat="1" applyFont="1" applyAlignment="1">
      <alignment horizontal="center"/>
    </xf>
    <xf numFmtId="0" fontId="26" fillId="0" borderId="22" xfId="0" applyFont="1" applyBorder="1"/>
    <xf numFmtId="0" fontId="26" fillId="0" borderId="3" xfId="0" applyFont="1" applyBorder="1"/>
    <xf numFmtId="0" fontId="26" fillId="0" borderId="1" xfId="0" applyFont="1" applyBorder="1"/>
    <xf numFmtId="0" fontId="26" fillId="0" borderId="23" xfId="0" applyFont="1" applyBorder="1" applyAlignment="1">
      <alignment horizontal="center"/>
    </xf>
    <xf numFmtId="0" fontId="26" fillId="0" borderId="2" xfId="0" applyFont="1" applyBorder="1" applyAlignment="1">
      <alignment horizontal="center"/>
    </xf>
    <xf numFmtId="3" fontId="26" fillId="0" borderId="23" xfId="0" applyNumberFormat="1" applyFont="1" applyBorder="1" applyAlignment="1">
      <alignment horizontal="center"/>
    </xf>
    <xf numFmtId="2" fontId="26" fillId="0" borderId="2" xfId="0" applyNumberFormat="1" applyFont="1" applyBorder="1" applyAlignment="1">
      <alignment horizontal="center"/>
    </xf>
    <xf numFmtId="1" fontId="26" fillId="0" borderId="2" xfId="0" applyNumberFormat="1" applyFont="1" applyBorder="1" applyAlignment="1">
      <alignment horizontal="center"/>
    </xf>
    <xf numFmtId="168" fontId="26" fillId="0" borderId="23" xfId="0" applyNumberFormat="1" applyFont="1" applyBorder="1" applyAlignment="1">
      <alignment horizontal="center"/>
    </xf>
    <xf numFmtId="3" fontId="26" fillId="0" borderId="2" xfId="0" applyNumberFormat="1" applyFont="1" applyBorder="1"/>
    <xf numFmtId="10" fontId="26" fillId="0" borderId="23" xfId="0" applyNumberFormat="1" applyFont="1" applyBorder="1" applyAlignment="1">
      <alignment horizontal="center"/>
    </xf>
    <xf numFmtId="3" fontId="26" fillId="0" borderId="1" xfId="0" applyNumberFormat="1" applyFont="1" applyBorder="1"/>
    <xf numFmtId="0" fontId="30" fillId="0" borderId="0" xfId="0" applyFont="1" applyAlignment="1">
      <alignment vertical="center"/>
    </xf>
    <xf numFmtId="0" fontId="31" fillId="0" borderId="0" xfId="0" applyFont="1"/>
    <xf numFmtId="0" fontId="31" fillId="0" borderId="0" xfId="0" applyFont="1" applyAlignment="1">
      <alignment horizontal="center"/>
    </xf>
    <xf numFmtId="0" fontId="32" fillId="0" borderId="0" xfId="0" applyFont="1"/>
    <xf numFmtId="3" fontId="26" fillId="0" borderId="24" xfId="0" applyNumberFormat="1" applyFont="1" applyBorder="1"/>
    <xf numFmtId="0" fontId="0" fillId="0" borderId="0" xfId="0" applyAlignment="1">
      <alignment horizontal="center"/>
    </xf>
    <xf numFmtId="0" fontId="26" fillId="0" borderId="0" xfId="0" applyFont="1" applyAlignment="1">
      <alignment horizontal="left" indent="1"/>
    </xf>
    <xf numFmtId="0" fontId="35" fillId="0" borderId="0" xfId="0" applyFont="1"/>
    <xf numFmtId="0" fontId="35" fillId="0" borderId="0" xfId="0" applyFont="1" applyAlignment="1">
      <alignment horizontal="center"/>
    </xf>
    <xf numFmtId="0" fontId="36" fillId="0" borderId="0" xfId="0" applyFont="1" applyAlignment="1">
      <alignment horizontal="center"/>
    </xf>
    <xf numFmtId="0" fontId="27" fillId="0" borderId="0" xfId="0" applyFont="1"/>
    <xf numFmtId="0" fontId="31" fillId="0" borderId="0" xfId="0" applyFont="1" applyAlignment="1">
      <alignment horizontal="right"/>
    </xf>
    <xf numFmtId="0" fontId="36" fillId="0" borderId="0" xfId="0" applyFont="1" applyAlignment="1">
      <alignment horizontal="right"/>
    </xf>
    <xf numFmtId="168" fontId="36" fillId="0" borderId="0" xfId="0" applyNumberFormat="1" applyFont="1" applyAlignment="1">
      <alignment horizontal="center"/>
    </xf>
    <xf numFmtId="3" fontId="36" fillId="0" borderId="0" xfId="0" applyNumberFormat="1" applyFont="1"/>
    <xf numFmtId="10" fontId="36" fillId="0" borderId="0" xfId="0" applyNumberFormat="1" applyFont="1" applyAlignment="1">
      <alignment horizontal="center"/>
    </xf>
    <xf numFmtId="0" fontId="36" fillId="0" borderId="0" xfId="0" applyFont="1" applyAlignment="1">
      <alignment horizontal="left"/>
    </xf>
    <xf numFmtId="0" fontId="37" fillId="0" borderId="0" xfId="0" applyFont="1" applyAlignment="1">
      <alignment horizontal="center"/>
    </xf>
    <xf numFmtId="2" fontId="26" fillId="0" borderId="0" xfId="0" applyNumberFormat="1" applyFont="1" applyAlignment="1">
      <alignment horizontal="center"/>
    </xf>
    <xf numFmtId="0" fontId="38" fillId="2" borderId="0" xfId="0" applyFont="1" applyFill="1" applyAlignment="1">
      <alignment vertical="center"/>
    </xf>
    <xf numFmtId="0" fontId="38" fillId="2" borderId="9" xfId="0" applyFont="1" applyFill="1" applyBorder="1" applyAlignment="1">
      <alignment vertical="center" wrapText="1"/>
    </xf>
    <xf numFmtId="0" fontId="39" fillId="2" borderId="10" xfId="0" applyFont="1" applyFill="1" applyBorder="1" applyAlignment="1">
      <alignment vertical="center" wrapText="1"/>
    </xf>
    <xf numFmtId="0" fontId="38" fillId="2" borderId="11" xfId="0" applyFont="1" applyFill="1" applyBorder="1" applyAlignment="1">
      <alignment vertical="center" wrapText="1"/>
    </xf>
    <xf numFmtId="0" fontId="39" fillId="2" borderId="12" xfId="0" applyFont="1" applyFill="1" applyBorder="1" applyAlignment="1">
      <alignment vertical="center" wrapText="1"/>
    </xf>
    <xf numFmtId="0" fontId="40" fillId="2" borderId="12" xfId="0" applyFont="1" applyFill="1" applyBorder="1" applyAlignment="1">
      <alignment vertical="center" wrapText="1"/>
    </xf>
    <xf numFmtId="0" fontId="39" fillId="2" borderId="14" xfId="0" applyFont="1" applyFill="1" applyBorder="1" applyAlignment="1">
      <alignment vertical="center" wrapText="1"/>
    </xf>
    <xf numFmtId="0" fontId="39" fillId="2" borderId="14" xfId="0" applyFont="1" applyFill="1" applyBorder="1" applyAlignment="1">
      <alignment horizontal="left" vertical="center" wrapText="1" indent="3"/>
    </xf>
    <xf numFmtId="0" fontId="39" fillId="2" borderId="12" xfId="0" applyFont="1" applyFill="1" applyBorder="1" applyAlignment="1">
      <alignment horizontal="left" vertical="center" wrapText="1" indent="3"/>
    </xf>
    <xf numFmtId="0" fontId="28" fillId="0" borderId="0" xfId="0" applyFont="1"/>
    <xf numFmtId="0" fontId="28" fillId="0" borderId="25" xfId="0" applyFont="1" applyBorder="1" applyAlignment="1">
      <alignment horizontal="center" vertical="center" wrapText="1"/>
    </xf>
    <xf numFmtId="0" fontId="28" fillId="0" borderId="27" xfId="0" applyFont="1" applyBorder="1" applyAlignment="1">
      <alignment horizontal="center" vertical="center" wrapText="1"/>
    </xf>
    <xf numFmtId="0" fontId="43" fillId="0" borderId="27" xfId="0" applyFont="1" applyBorder="1" applyAlignment="1">
      <alignment horizontal="center" vertical="center" wrapText="1"/>
    </xf>
    <xf numFmtId="0" fontId="27" fillId="0" borderId="27" xfId="0" applyFont="1" applyBorder="1" applyAlignment="1">
      <alignment horizontal="center" vertical="center" wrapText="1"/>
    </xf>
    <xf numFmtId="0" fontId="28" fillId="0" borderId="26" xfId="0" applyFont="1" applyBorder="1" applyAlignment="1">
      <alignment horizontal="center" vertical="center" wrapText="1"/>
    </xf>
    <xf numFmtId="0" fontId="28" fillId="0" borderId="0" xfId="0" applyFont="1" applyAlignment="1">
      <alignment horizontal="center" vertical="center" wrapText="1"/>
    </xf>
    <xf numFmtId="0" fontId="43" fillId="0" borderId="0" xfId="0" applyFont="1" applyAlignment="1">
      <alignment horizontal="center" vertical="center" wrapText="1"/>
    </xf>
    <xf numFmtId="0" fontId="27" fillId="0" borderId="0" xfId="0" applyFont="1" applyAlignment="1">
      <alignment horizontal="center" vertical="center" wrapText="1"/>
    </xf>
    <xf numFmtId="0" fontId="0" fillId="0" borderId="0" xfId="0" applyAlignment="1">
      <alignment horizontal="center" vertical="center" wrapText="1"/>
    </xf>
    <xf numFmtId="0" fontId="44" fillId="0" borderId="0" xfId="0" applyFont="1" applyAlignment="1">
      <alignment horizontal="center" wrapText="1"/>
    </xf>
    <xf numFmtId="0" fontId="44" fillId="0" borderId="0" xfId="0" applyFont="1" applyAlignment="1">
      <alignment horizontal="center" vertical="center" wrapText="1"/>
    </xf>
    <xf numFmtId="167" fontId="0" fillId="0" borderId="5" xfId="0" applyNumberFormat="1" applyBorder="1"/>
    <xf numFmtId="0" fontId="0" fillId="0" borderId="4" xfId="0" applyBorder="1" applyAlignment="1">
      <alignment horizontal="center"/>
    </xf>
    <xf numFmtId="0" fontId="43" fillId="0" borderId="0" xfId="0" applyFont="1"/>
    <xf numFmtId="0" fontId="45" fillId="0" borderId="0" xfId="0" applyFont="1" applyAlignment="1">
      <alignment horizontal="right"/>
    </xf>
    <xf numFmtId="3" fontId="45" fillId="0" borderId="0" xfId="0" applyNumberFormat="1" applyFont="1" applyAlignment="1">
      <alignment horizontal="center"/>
    </xf>
    <xf numFmtId="0" fontId="45" fillId="0" borderId="0" xfId="0" applyFont="1" applyAlignment="1">
      <alignment horizontal="center"/>
    </xf>
    <xf numFmtId="10" fontId="45" fillId="0" borderId="0" xfId="0" applyNumberFormat="1" applyFont="1" applyAlignment="1">
      <alignment horizontal="center"/>
    </xf>
    <xf numFmtId="7" fontId="45" fillId="0" borderId="0" xfId="0" applyNumberFormat="1" applyFont="1" applyAlignment="1">
      <alignment horizontal="center"/>
    </xf>
    <xf numFmtId="0" fontId="43" fillId="0" borderId="0" xfId="0" applyFont="1" applyAlignment="1">
      <alignment horizontal="center"/>
    </xf>
    <xf numFmtId="0" fontId="46" fillId="0" borderId="0" xfId="0" applyFont="1"/>
    <xf numFmtId="167" fontId="0" fillId="0" borderId="8" xfId="0" applyNumberFormat="1" applyBorder="1"/>
    <xf numFmtId="3" fontId="0" fillId="0" borderId="21" xfId="0" applyNumberFormat="1" applyBorder="1" applyAlignment="1">
      <alignment horizontal="center"/>
    </xf>
    <xf numFmtId="0" fontId="0" fillId="0" borderId="7" xfId="0" applyBorder="1"/>
    <xf numFmtId="0" fontId="0" fillId="0" borderId="21" xfId="0" applyBorder="1" applyAlignment="1">
      <alignment horizontal="center"/>
    </xf>
    <xf numFmtId="10" fontId="0" fillId="0" borderId="7" xfId="0" applyNumberFormat="1" applyBorder="1" applyAlignment="1">
      <alignment horizontal="center"/>
    </xf>
    <xf numFmtId="167" fontId="0" fillId="0" borderId="21" xfId="0" applyNumberFormat="1" applyBorder="1"/>
    <xf numFmtId="40" fontId="0" fillId="0" borderId="8" xfId="0" applyNumberFormat="1" applyBorder="1"/>
    <xf numFmtId="40" fontId="43" fillId="0" borderId="21" xfId="0" applyNumberFormat="1" applyFont="1" applyBorder="1"/>
    <xf numFmtId="0" fontId="37" fillId="0" borderId="6" xfId="0" applyFont="1" applyBorder="1" applyAlignment="1">
      <alignment horizontal="center"/>
    </xf>
    <xf numFmtId="40" fontId="0" fillId="0" borderId="7" xfId="0" applyNumberFormat="1" applyBorder="1"/>
    <xf numFmtId="10" fontId="0" fillId="6" borderId="6" xfId="0" applyNumberFormat="1" applyFill="1" applyBorder="1"/>
    <xf numFmtId="10" fontId="0" fillId="6" borderId="8" xfId="0" applyNumberFormat="1" applyFill="1" applyBorder="1"/>
    <xf numFmtId="40" fontId="0" fillId="0" borderId="21" xfId="0" applyNumberFormat="1" applyBorder="1"/>
    <xf numFmtId="3" fontId="43" fillId="0" borderId="0" xfId="0" applyNumberFormat="1" applyFont="1" applyAlignment="1">
      <alignment horizontal="center"/>
    </xf>
    <xf numFmtId="10" fontId="43" fillId="0" borderId="0" xfId="0" applyNumberFormat="1" applyFont="1" applyAlignment="1">
      <alignment horizontal="center"/>
    </xf>
    <xf numFmtId="8" fontId="46" fillId="0" borderId="0" xfId="0" applyNumberFormat="1" applyFont="1" applyAlignment="1">
      <alignment horizontal="center"/>
    </xf>
    <xf numFmtId="168" fontId="43" fillId="0" borderId="0" xfId="0" applyNumberFormat="1" applyFont="1" applyAlignment="1">
      <alignment horizontal="center"/>
    </xf>
    <xf numFmtId="10" fontId="43" fillId="0" borderId="0" xfId="0" applyNumberFormat="1" applyFont="1" applyAlignment="1">
      <alignment horizontal="center" wrapText="1"/>
    </xf>
    <xf numFmtId="3" fontId="0" fillId="0" borderId="22" xfId="0" applyNumberFormat="1" applyBorder="1" applyAlignment="1">
      <alignment horizontal="center"/>
    </xf>
    <xf numFmtId="0" fontId="0" fillId="0" borderId="22" xfId="0" applyBorder="1" applyAlignment="1">
      <alignment horizontal="center"/>
    </xf>
    <xf numFmtId="10" fontId="0" fillId="0" borderId="0" xfId="0" applyNumberFormat="1" applyAlignment="1">
      <alignment horizontal="center"/>
    </xf>
    <xf numFmtId="167" fontId="0" fillId="0" borderId="22" xfId="0" applyNumberFormat="1" applyBorder="1" applyAlignment="1">
      <alignment horizontal="center"/>
    </xf>
    <xf numFmtId="40" fontId="0" fillId="0" borderId="5" xfId="0" applyNumberFormat="1" applyBorder="1"/>
    <xf numFmtId="40" fontId="43" fillId="0" borderId="22" xfId="0" applyNumberFormat="1" applyFont="1" applyBorder="1"/>
    <xf numFmtId="0" fontId="37" fillId="0" borderId="4" xfId="0" applyFont="1" applyBorder="1" applyAlignment="1">
      <alignment horizontal="center"/>
    </xf>
    <xf numFmtId="40" fontId="0" fillId="0" borderId="0" xfId="0" applyNumberFormat="1"/>
    <xf numFmtId="10" fontId="0" fillId="6" borderId="4" xfId="0" applyNumberFormat="1" applyFill="1" applyBorder="1"/>
    <xf numFmtId="10" fontId="0" fillId="6" borderId="5" xfId="0" applyNumberFormat="1" applyFill="1" applyBorder="1"/>
    <xf numFmtId="40" fontId="0" fillId="0" borderId="22" xfId="0" applyNumberFormat="1" applyBorder="1"/>
    <xf numFmtId="0" fontId="28" fillId="0" borderId="22" xfId="0" applyFont="1" applyBorder="1" applyAlignment="1">
      <alignment horizontal="center" vertical="center" wrapText="1"/>
    </xf>
    <xf numFmtId="167" fontId="0" fillId="0" borderId="3" xfId="0" applyNumberFormat="1" applyBorder="1"/>
    <xf numFmtId="3" fontId="0" fillId="0" borderId="23" xfId="0" applyNumberFormat="1" applyBorder="1" applyAlignment="1">
      <alignment horizontal="center"/>
    </xf>
    <xf numFmtId="0" fontId="0" fillId="0" borderId="2" xfId="0" applyBorder="1"/>
    <xf numFmtId="0" fontId="28" fillId="0" borderId="23" xfId="0" applyFont="1" applyBorder="1" applyAlignment="1">
      <alignment horizontal="center" vertical="center" wrapText="1"/>
    </xf>
    <xf numFmtId="10" fontId="0" fillId="0" borderId="2" xfId="0" applyNumberFormat="1" applyBorder="1" applyAlignment="1">
      <alignment horizontal="center"/>
    </xf>
    <xf numFmtId="167" fontId="0" fillId="0" borderId="23" xfId="0" applyNumberFormat="1" applyBorder="1" applyAlignment="1">
      <alignment horizontal="center"/>
    </xf>
    <xf numFmtId="40" fontId="0" fillId="0" borderId="3" xfId="0" applyNumberFormat="1" applyBorder="1"/>
    <xf numFmtId="40" fontId="43" fillId="0" borderId="23" xfId="0" applyNumberFormat="1" applyFont="1" applyBorder="1"/>
    <xf numFmtId="0" fontId="37" fillId="0" borderId="1" xfId="0" applyFont="1" applyBorder="1" applyAlignment="1">
      <alignment horizontal="center"/>
    </xf>
    <xf numFmtId="40" fontId="0" fillId="0" borderId="2" xfId="0" applyNumberFormat="1" applyBorder="1"/>
    <xf numFmtId="40" fontId="43" fillId="0" borderId="24" xfId="0" applyNumberFormat="1" applyFont="1" applyBorder="1"/>
    <xf numFmtId="10" fontId="0" fillId="6" borderId="1" xfId="0" applyNumberFormat="1" applyFill="1" applyBorder="1"/>
    <xf numFmtId="10" fontId="0" fillId="6" borderId="3" xfId="0" applyNumberFormat="1" applyFill="1" applyBorder="1"/>
    <xf numFmtId="40" fontId="0" fillId="0" borderId="23" xfId="0" applyNumberFormat="1" applyBorder="1"/>
    <xf numFmtId="10" fontId="27" fillId="0" borderId="0" xfId="0" applyNumberFormat="1" applyFont="1" applyAlignment="1">
      <alignment horizontal="center"/>
    </xf>
    <xf numFmtId="0" fontId="28" fillId="0" borderId="0" xfId="0" applyFont="1" applyAlignment="1">
      <alignment horizontal="right"/>
    </xf>
    <xf numFmtId="40" fontId="0" fillId="0" borderId="24" xfId="0" applyNumberFormat="1" applyBorder="1"/>
    <xf numFmtId="40" fontId="43" fillId="0" borderId="0" xfId="0" applyNumberFormat="1" applyFont="1"/>
    <xf numFmtId="166" fontId="47" fillId="0" borderId="0" xfId="0" applyNumberFormat="1" applyFont="1" applyAlignment="1">
      <alignment horizontal="center"/>
    </xf>
    <xf numFmtId="166" fontId="37" fillId="0" borderId="0" xfId="0" applyNumberFormat="1" applyFont="1" applyAlignment="1">
      <alignment horizontal="center"/>
    </xf>
    <xf numFmtId="0" fontId="47" fillId="0" borderId="0" xfId="0" applyFont="1"/>
    <xf numFmtId="0" fontId="11" fillId="0" borderId="0" xfId="0" applyFont="1" applyAlignment="1">
      <alignment horizontal="center"/>
    </xf>
    <xf numFmtId="0" fontId="11" fillId="0" borderId="0" xfId="0" applyFont="1"/>
    <xf numFmtId="0" fontId="47" fillId="0" borderId="0" xfId="0" applyFont="1" applyAlignment="1">
      <alignment horizontal="center"/>
    </xf>
    <xf numFmtId="0" fontId="48" fillId="0" borderId="0" xfId="0" applyFont="1" applyAlignment="1">
      <alignment horizontal="center"/>
    </xf>
    <xf numFmtId="0" fontId="28" fillId="0" borderId="0" xfId="0" applyFont="1" applyAlignment="1">
      <alignment horizontal="center"/>
    </xf>
    <xf numFmtId="0" fontId="48" fillId="0" borderId="0" xfId="0" applyFont="1"/>
    <xf numFmtId="0" fontId="49" fillId="0" borderId="0" xfId="0" applyFont="1" applyAlignment="1">
      <alignment horizontal="center"/>
    </xf>
    <xf numFmtId="0" fontId="11" fillId="0" borderId="8" xfId="0" applyFont="1" applyBorder="1" applyAlignment="1">
      <alignment horizontal="left" vertical="center" indent="1"/>
    </xf>
    <xf numFmtId="0" fontId="11" fillId="0" borderId="7" xfId="0" applyFont="1" applyBorder="1" applyAlignment="1">
      <alignment horizontal="center"/>
    </xf>
    <xf numFmtId="3" fontId="11" fillId="6" borderId="21" xfId="0" applyNumberFormat="1" applyFont="1" applyFill="1" applyBorder="1" applyAlignment="1">
      <alignment horizontal="center"/>
    </xf>
    <xf numFmtId="10" fontId="0" fillId="0" borderId="21" xfId="0" applyNumberFormat="1" applyBorder="1" applyAlignment="1">
      <alignment horizontal="center"/>
    </xf>
    <xf numFmtId="4" fontId="11" fillId="0" borderId="21" xfId="0" applyNumberFormat="1" applyFont="1" applyBorder="1"/>
    <xf numFmtId="0" fontId="11" fillId="0" borderId="5" xfId="0" applyFont="1" applyBorder="1" applyAlignment="1">
      <alignment horizontal="left" vertical="center" indent="1"/>
    </xf>
    <xf numFmtId="3" fontId="11" fillId="6" borderId="22" xfId="0" applyNumberFormat="1" applyFont="1" applyFill="1" applyBorder="1" applyAlignment="1">
      <alignment horizontal="center"/>
    </xf>
    <xf numFmtId="10" fontId="0" fillId="0" borderId="22" xfId="0" applyNumberFormat="1" applyBorder="1" applyAlignment="1">
      <alignment horizontal="center"/>
    </xf>
    <xf numFmtId="4" fontId="11" fillId="0" borderId="22" xfId="0" applyNumberFormat="1" applyFont="1" applyBorder="1"/>
    <xf numFmtId="0" fontId="11" fillId="0" borderId="3" xfId="0" applyFont="1" applyBorder="1" applyAlignment="1">
      <alignment horizontal="left" vertical="center" indent="1"/>
    </xf>
    <xf numFmtId="0" fontId="11" fillId="0" borderId="2" xfId="0" applyFont="1" applyBorder="1" applyAlignment="1">
      <alignment horizontal="center"/>
    </xf>
    <xf numFmtId="3" fontId="11" fillId="6" borderId="23" xfId="0" applyNumberFormat="1" applyFont="1" applyFill="1" applyBorder="1" applyAlignment="1">
      <alignment horizontal="center"/>
    </xf>
    <xf numFmtId="10" fontId="0" fillId="0" borderId="23" xfId="0" applyNumberFormat="1" applyBorder="1" applyAlignment="1">
      <alignment horizontal="center"/>
    </xf>
    <xf numFmtId="4" fontId="11" fillId="0" borderId="23" xfId="0" quotePrefix="1" applyNumberFormat="1" applyFont="1" applyBorder="1"/>
    <xf numFmtId="4" fontId="11" fillId="0" borderId="23" xfId="0" applyNumberFormat="1" applyFont="1" applyBorder="1"/>
    <xf numFmtId="0" fontId="11" fillId="0" borderId="0" xfId="0" applyFont="1" applyAlignment="1">
      <alignment horizontal="left" vertical="center" indent="1"/>
    </xf>
    <xf numFmtId="3" fontId="11" fillId="0" borderId="24" xfId="0" applyNumberFormat="1" applyFont="1" applyBorder="1" applyAlignment="1">
      <alignment horizontal="center"/>
    </xf>
    <xf numFmtId="4" fontId="11" fillId="0" borderId="24" xfId="0" applyNumberFormat="1" applyFont="1" applyBorder="1"/>
    <xf numFmtId="4" fontId="0" fillId="0" borderId="24" xfId="0" applyNumberFormat="1" applyBorder="1"/>
    <xf numFmtId="0" fontId="50" fillId="0" borderId="0" xfId="0" applyFont="1"/>
    <xf numFmtId="16" fontId="44" fillId="0" borderId="0" xfId="0" applyNumberFormat="1" applyFont="1"/>
    <xf numFmtId="3" fontId="43" fillId="0" borderId="0" xfId="0" applyNumberFormat="1" applyFont="1"/>
    <xf numFmtId="0" fontId="8" fillId="2" borderId="0" xfId="0" applyFont="1" applyFill="1"/>
    <xf numFmtId="0" fontId="52" fillId="2" borderId="0" xfId="12" applyFont="1" applyFill="1"/>
    <xf numFmtId="0" fontId="51" fillId="2" borderId="0" xfId="12" applyFill="1"/>
    <xf numFmtId="0" fontId="53" fillId="3" borderId="0" xfId="0" applyFont="1" applyFill="1"/>
    <xf numFmtId="0" fontId="0" fillId="3" borderId="0" xfId="0" applyFill="1"/>
    <xf numFmtId="9" fontId="0" fillId="3" borderId="0" xfId="0" applyNumberFormat="1" applyFill="1"/>
    <xf numFmtId="44" fontId="0" fillId="3" borderId="0" xfId="11" applyFont="1" applyFill="1"/>
    <xf numFmtId="44" fontId="0" fillId="3" borderId="0" xfId="0" applyNumberFormat="1" applyFill="1"/>
    <xf numFmtId="0" fontId="0" fillId="3" borderId="0" xfId="0" applyFill="1" applyAlignment="1">
      <alignment horizontal="right"/>
    </xf>
    <xf numFmtId="0" fontId="0" fillId="3" borderId="8" xfId="0" applyFill="1" applyBorder="1"/>
    <xf numFmtId="0" fontId="0" fillId="3" borderId="7" xfId="0" applyFill="1" applyBorder="1"/>
    <xf numFmtId="0" fontId="0" fillId="3" borderId="6" xfId="0" applyFill="1" applyBorder="1"/>
    <xf numFmtId="0" fontId="0" fillId="3" borderId="5" xfId="0" applyFill="1" applyBorder="1"/>
    <xf numFmtId="0" fontId="0" fillId="3" borderId="4" xfId="0" applyFill="1" applyBorder="1"/>
    <xf numFmtId="0" fontId="0" fillId="3" borderId="3" xfId="0" applyFill="1" applyBorder="1"/>
    <xf numFmtId="0" fontId="0" fillId="3" borderId="2" xfId="0" applyFill="1" applyBorder="1"/>
    <xf numFmtId="0" fontId="0" fillId="3" borderId="1" xfId="0" applyFill="1" applyBorder="1"/>
    <xf numFmtId="2" fontId="0" fillId="3" borderId="0" xfId="0" applyNumberFormat="1" applyFill="1"/>
    <xf numFmtId="169" fontId="0" fillId="3" borderId="0" xfId="0" applyNumberFormat="1" applyFill="1"/>
    <xf numFmtId="10" fontId="0" fillId="3" borderId="0" xfId="7" applyNumberFormat="1" applyFont="1" applyFill="1"/>
    <xf numFmtId="0" fontId="8" fillId="2" borderId="0" xfId="0" quotePrefix="1" applyFont="1" applyFill="1"/>
    <xf numFmtId="0" fontId="13" fillId="2" borderId="0" xfId="0" applyFont="1" applyFill="1" applyAlignment="1">
      <alignment vertical="top"/>
    </xf>
    <xf numFmtId="0" fontId="54" fillId="2" borderId="0" xfId="0" applyFont="1" applyFill="1"/>
    <xf numFmtId="0" fontId="55" fillId="2" borderId="0" xfId="0" applyFont="1" applyFill="1"/>
    <xf numFmtId="0" fontId="52" fillId="3" borderId="0" xfId="12" applyFont="1" applyFill="1"/>
    <xf numFmtId="0" fontId="9" fillId="5" borderId="0" xfId="6" applyFill="1" applyAlignment="1">
      <alignment horizontal="center"/>
    </xf>
    <xf numFmtId="2" fontId="9" fillId="3" borderId="0" xfId="6" applyNumberFormat="1" applyFill="1"/>
    <xf numFmtId="166" fontId="9" fillId="3" borderId="0" xfId="6" applyNumberFormat="1" applyFill="1"/>
    <xf numFmtId="0" fontId="13" fillId="4" borderId="0" xfId="15" applyFont="1" applyFill="1"/>
    <xf numFmtId="0" fontId="52" fillId="4" borderId="0" xfId="12" applyFont="1" applyFill="1"/>
    <xf numFmtId="0" fontId="13" fillId="4" borderId="0" xfId="16" applyFont="1" applyFill="1"/>
    <xf numFmtId="0" fontId="51" fillId="3" borderId="0" xfId="12" applyFill="1" applyAlignment="1">
      <alignment horizontal="right"/>
    </xf>
    <xf numFmtId="0" fontId="56" fillId="4" borderId="0" xfId="17" applyFont="1" applyFill="1"/>
    <xf numFmtId="0" fontId="56" fillId="5" borderId="0" xfId="17" applyFont="1" applyFill="1"/>
    <xf numFmtId="0" fontId="56" fillId="4" borderId="0" xfId="17" applyFont="1" applyFill="1" applyAlignment="1">
      <alignment horizontal="center"/>
    </xf>
    <xf numFmtId="0" fontId="56" fillId="4" borderId="0" xfId="17" applyFont="1" applyFill="1" applyAlignment="1">
      <alignment horizontal="left"/>
    </xf>
    <xf numFmtId="168" fontId="56" fillId="4" borderId="0" xfId="18" applyNumberFormat="1" applyFont="1" applyFill="1"/>
    <xf numFmtId="10" fontId="56" fillId="4" borderId="0" xfId="18" applyNumberFormat="1" applyFont="1" applyFill="1"/>
    <xf numFmtId="0" fontId="13" fillId="4" borderId="0" xfId="17" applyFont="1" applyFill="1"/>
    <xf numFmtId="0" fontId="13" fillId="4" borderId="0" xfId="17" quotePrefix="1" applyFont="1" applyFill="1"/>
    <xf numFmtId="10" fontId="13" fillId="6" borderId="0" xfId="17" applyNumberFormat="1" applyFont="1" applyFill="1"/>
    <xf numFmtId="0" fontId="13" fillId="4" borderId="0" xfId="17" applyFont="1" applyFill="1" applyAlignment="1">
      <alignment horizontal="right"/>
    </xf>
    <xf numFmtId="169" fontId="13" fillId="4" borderId="0" xfId="17" quotePrefix="1" applyNumberFormat="1" applyFont="1" applyFill="1"/>
    <xf numFmtId="169" fontId="13" fillId="4" borderId="0" xfId="17" applyNumberFormat="1" applyFont="1" applyFill="1"/>
    <xf numFmtId="0" fontId="13" fillId="6" borderId="0" xfId="16" applyFont="1" applyFill="1"/>
    <xf numFmtId="0" fontId="13" fillId="4" borderId="0" xfId="0" applyFont="1" applyFill="1"/>
    <xf numFmtId="0" fontId="56" fillId="4" borderId="0" xfId="16" applyFont="1" applyFill="1"/>
    <xf numFmtId="0" fontId="56" fillId="6" borderId="0" xfId="16" applyFont="1" applyFill="1"/>
    <xf numFmtId="0" fontId="58" fillId="3" borderId="0" xfId="6" applyFont="1" applyFill="1" applyAlignment="1">
      <alignment horizontal="right"/>
    </xf>
    <xf numFmtId="0" fontId="15" fillId="2" borderId="15" xfId="0" applyFont="1" applyFill="1" applyBorder="1" applyAlignment="1">
      <alignment vertical="center" wrapText="1"/>
    </xf>
    <xf numFmtId="0" fontId="15" fillId="2" borderId="13" xfId="0" applyFont="1" applyFill="1" applyBorder="1" applyAlignment="1">
      <alignment vertical="center" wrapText="1"/>
    </xf>
    <xf numFmtId="0" fontId="15" fillId="2" borderId="11" xfId="0" applyFont="1" applyFill="1" applyBorder="1" applyAlignment="1">
      <alignment vertical="center" wrapText="1"/>
    </xf>
    <xf numFmtId="0" fontId="21" fillId="2" borderId="13" xfId="0" applyFont="1" applyFill="1" applyBorder="1" applyAlignment="1">
      <alignment horizontal="center" vertical="center"/>
    </xf>
    <xf numFmtId="0" fontId="21" fillId="2" borderId="19" xfId="0" applyFont="1" applyFill="1" applyBorder="1" applyAlignment="1">
      <alignment vertical="center" wrapText="1"/>
    </xf>
    <xf numFmtId="0" fontId="21" fillId="2" borderId="18" xfId="0" applyFont="1" applyFill="1" applyBorder="1" applyAlignment="1">
      <alignment vertical="center" wrapText="1"/>
    </xf>
    <xf numFmtId="0" fontId="21" fillId="2" borderId="15" xfId="0" applyFont="1" applyFill="1" applyBorder="1" applyAlignment="1">
      <alignment vertical="center" wrapText="1"/>
    </xf>
    <xf numFmtId="0" fontId="21" fillId="2" borderId="13" xfId="0" applyFont="1" applyFill="1" applyBorder="1" applyAlignment="1">
      <alignment vertical="center" wrapText="1"/>
    </xf>
    <xf numFmtId="0" fontId="21" fillId="2" borderId="11" xfId="0" applyFont="1" applyFill="1" applyBorder="1" applyAlignment="1">
      <alignment vertical="center" wrapText="1"/>
    </xf>
    <xf numFmtId="0" fontId="34" fillId="0" borderId="25" xfId="0" applyFont="1" applyBorder="1" applyAlignment="1">
      <alignment vertical="center" wrapText="1"/>
    </xf>
    <xf numFmtId="0" fontId="31" fillId="0" borderId="26" xfId="0" applyFont="1" applyBorder="1"/>
    <xf numFmtId="0" fontId="34" fillId="0" borderId="25" xfId="0" applyFont="1" applyBorder="1" applyAlignment="1">
      <alignment horizontal="center" vertical="center" wrapText="1"/>
    </xf>
    <xf numFmtId="0" fontId="31" fillId="0" borderId="27" xfId="0" applyFont="1" applyBorder="1"/>
    <xf numFmtId="0" fontId="38" fillId="2" borderId="15" xfId="0" applyFont="1" applyFill="1" applyBorder="1" applyAlignment="1">
      <alignment vertical="center" wrapText="1"/>
    </xf>
    <xf numFmtId="0" fontId="38" fillId="2" borderId="13" xfId="0" applyFont="1" applyFill="1" applyBorder="1" applyAlignment="1">
      <alignment vertical="center" wrapText="1"/>
    </xf>
    <xf numFmtId="0" fontId="38" fillId="2" borderId="11" xfId="0" applyFont="1" applyFill="1" applyBorder="1" applyAlignment="1">
      <alignment vertical="center" wrapText="1"/>
    </xf>
    <xf numFmtId="167" fontId="0" fillId="0" borderId="7" xfId="0" applyNumberFormat="1" applyBorder="1" applyAlignment="1">
      <alignment vertical="center" wrapText="1"/>
    </xf>
    <xf numFmtId="0" fontId="0" fillId="0" borderId="0" xfId="0" applyAlignment="1">
      <alignment vertical="center" wrapText="1"/>
    </xf>
    <xf numFmtId="0" fontId="0" fillId="0" borderId="2" xfId="0" applyBorder="1" applyAlignment="1">
      <alignment vertical="center" wrapText="1"/>
    </xf>
    <xf numFmtId="0" fontId="48" fillId="0" borderId="0" xfId="0" applyFont="1" applyAlignment="1">
      <alignment horizontal="center" vertical="center"/>
    </xf>
    <xf numFmtId="0" fontId="28" fillId="0" borderId="0" xfId="0" applyFont="1" applyAlignment="1">
      <alignment horizontal="center"/>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cellXfs>
  <cellStyles count="19">
    <cellStyle name="Comma 2" xfId="1" xr:uid="{00000000-0005-0000-0000-000000000000}"/>
    <cellStyle name="Currency" xfId="11" builtinId="4"/>
    <cellStyle name="Hyperlink" xfId="12" builtinId="8"/>
    <cellStyle name="Normal" xfId="0" builtinId="0"/>
    <cellStyle name="Normal 2" xfId="2" xr:uid="{00000000-0005-0000-0000-000002000000}"/>
    <cellStyle name="Normal 2 2" xfId="6" xr:uid="{00000000-0005-0000-0000-000003000000}"/>
    <cellStyle name="Normal 2 3" xfId="10" xr:uid="{8741B8F3-B87D-3447-8076-1406D875AD40}"/>
    <cellStyle name="Normal 3" xfId="3" xr:uid="{00000000-0005-0000-0000-000004000000}"/>
    <cellStyle name="Normal 4" xfId="5" xr:uid="{00000000-0005-0000-0000-000005000000}"/>
    <cellStyle name="Normal 4 2" xfId="14" xr:uid="{D325C384-E417-D740-8956-0A9F6C5FEC4E}"/>
    <cellStyle name="Normal 5" xfId="9" xr:uid="{D30D7F96-EDB1-E646-8DAF-2AAA8CF1E5F0}"/>
    <cellStyle name="Normal 6" xfId="13" xr:uid="{43B3A43A-269D-AE4C-A9A2-509F7A0C1B9B}"/>
    <cellStyle name="Normal 6 2" xfId="16" xr:uid="{2D38C378-981B-3649-8D7F-D274B8608364}"/>
    <cellStyle name="Normal 7" xfId="15" xr:uid="{0156467C-9145-9941-BCB7-48064EADE8CC}"/>
    <cellStyle name="Normal 8" xfId="17" xr:uid="{62B79F71-B435-E644-9372-2DC85393319C}"/>
    <cellStyle name="Percent" xfId="7" builtinId="5"/>
    <cellStyle name="Percent 2" xfId="4" xr:uid="{00000000-0005-0000-0000-000006000000}"/>
    <cellStyle name="Percent 2 2" xfId="8" xr:uid="{49CFB7D4-8E97-E948-B7A0-AAF7F6A67C6F}"/>
    <cellStyle name="Percent 3" xfId="18" xr:uid="{F4D7FF5A-B560-A84C-95BF-927D470246B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openxmlformats.org/officeDocument/2006/relationships/externalLink" Target="externalLinks/externalLink16.xml"/><Relationship Id="rId21" Type="http://schemas.openxmlformats.org/officeDocument/2006/relationships/worksheet" Target="worksheets/sheet21.xml"/><Relationship Id="rId34" Type="http://schemas.openxmlformats.org/officeDocument/2006/relationships/externalLink" Target="externalLinks/externalLink11.xml"/><Relationship Id="rId42" Type="http://schemas.openxmlformats.org/officeDocument/2006/relationships/externalLink" Target="externalLinks/externalLink19.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openxmlformats.org/officeDocument/2006/relationships/externalLink" Target="externalLinks/externalLink14.xml"/><Relationship Id="rId40" Type="http://schemas.openxmlformats.org/officeDocument/2006/relationships/externalLink" Target="externalLinks/externalLink17.xml"/><Relationship Id="rId45" Type="http://schemas.openxmlformats.org/officeDocument/2006/relationships/externalLink" Target="externalLinks/externalLink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externalLink" Target="externalLinks/externalLink13.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4" Type="http://schemas.openxmlformats.org/officeDocument/2006/relationships/externalLink" Target="externalLinks/externalLink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externalLink" Target="externalLinks/externalLink12.xml"/><Relationship Id="rId43" Type="http://schemas.openxmlformats.org/officeDocument/2006/relationships/externalLink" Target="externalLinks/externalLink20.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externalLink" Target="externalLinks/externalLink10.xml"/><Relationship Id="rId38" Type="http://schemas.openxmlformats.org/officeDocument/2006/relationships/externalLink" Target="externalLinks/externalLink15.xml"/><Relationship Id="rId46" Type="http://schemas.openxmlformats.org/officeDocument/2006/relationships/externalLink" Target="externalLinks/externalLink23.xml"/><Relationship Id="rId20" Type="http://schemas.openxmlformats.org/officeDocument/2006/relationships/worksheet" Target="worksheets/sheet20.xml"/><Relationship Id="rId41" Type="http://schemas.openxmlformats.org/officeDocument/2006/relationships/externalLink" Target="externalLinks/externalLink18.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numRef>
              <c:f>CreditMetrics_Example!$AG$32:$AG$52</c:f>
              <c:numCache>
                <c:formatCode>0</c:formatCode>
                <c:ptCount val="21"/>
                <c:pt idx="0">
                  <c:v>-809.93765870882316</c:v>
                </c:pt>
                <c:pt idx="1">
                  <c:v>-762.28866512867853</c:v>
                </c:pt>
                <c:pt idx="2">
                  <c:v>-714.6396715485339</c:v>
                </c:pt>
                <c:pt idx="3">
                  <c:v>-666.99067796838926</c:v>
                </c:pt>
                <c:pt idx="4">
                  <c:v>-619.34168438824463</c:v>
                </c:pt>
                <c:pt idx="5">
                  <c:v>-571.6926908081</c:v>
                </c:pt>
                <c:pt idx="6">
                  <c:v>-524.04369722795536</c:v>
                </c:pt>
                <c:pt idx="7">
                  <c:v>-476.39470364781073</c:v>
                </c:pt>
                <c:pt idx="8">
                  <c:v>-428.7457100676661</c:v>
                </c:pt>
                <c:pt idx="9">
                  <c:v>-381.09671648752146</c:v>
                </c:pt>
                <c:pt idx="10">
                  <c:v>-333.44772290737683</c:v>
                </c:pt>
                <c:pt idx="11">
                  <c:v>-285.79872932723219</c:v>
                </c:pt>
                <c:pt idx="12">
                  <c:v>-238.14973574708756</c:v>
                </c:pt>
                <c:pt idx="13">
                  <c:v>-190.50074216694293</c:v>
                </c:pt>
                <c:pt idx="14">
                  <c:v>-142.85174858679829</c:v>
                </c:pt>
                <c:pt idx="15">
                  <c:v>-95.202755006653661</c:v>
                </c:pt>
                <c:pt idx="16">
                  <c:v>-47.553761426509027</c:v>
                </c:pt>
                <c:pt idx="17">
                  <c:v>9.5232153635606664E-2</c:v>
                </c:pt>
                <c:pt idx="18">
                  <c:v>47.74422573378024</c:v>
                </c:pt>
                <c:pt idx="19">
                  <c:v>95.393219313924874</c:v>
                </c:pt>
                <c:pt idx="20">
                  <c:v>143.04221289406951</c:v>
                </c:pt>
              </c:numCache>
            </c:numRef>
          </c:cat>
          <c:val>
            <c:numRef>
              <c:f>CreditMetrics_Example!$AH$32:$AH$52</c:f>
              <c:numCache>
                <c:formatCode>General</c:formatCode>
                <c:ptCount val="21"/>
                <c:pt idx="0">
                  <c:v>1</c:v>
                </c:pt>
                <c:pt idx="1">
                  <c:v>0</c:v>
                </c:pt>
                <c:pt idx="2">
                  <c:v>1</c:v>
                </c:pt>
                <c:pt idx="3">
                  <c:v>5</c:v>
                </c:pt>
                <c:pt idx="4">
                  <c:v>3</c:v>
                </c:pt>
                <c:pt idx="5">
                  <c:v>7</c:v>
                </c:pt>
                <c:pt idx="6">
                  <c:v>9</c:v>
                </c:pt>
                <c:pt idx="7">
                  <c:v>7</c:v>
                </c:pt>
                <c:pt idx="8">
                  <c:v>10</c:v>
                </c:pt>
                <c:pt idx="9">
                  <c:v>13</c:v>
                </c:pt>
                <c:pt idx="10">
                  <c:v>6</c:v>
                </c:pt>
                <c:pt idx="11">
                  <c:v>11</c:v>
                </c:pt>
                <c:pt idx="12">
                  <c:v>21</c:v>
                </c:pt>
                <c:pt idx="13">
                  <c:v>38</c:v>
                </c:pt>
                <c:pt idx="14">
                  <c:v>26</c:v>
                </c:pt>
                <c:pt idx="15">
                  <c:v>41</c:v>
                </c:pt>
                <c:pt idx="16">
                  <c:v>7</c:v>
                </c:pt>
                <c:pt idx="17">
                  <c:v>21</c:v>
                </c:pt>
                <c:pt idx="18">
                  <c:v>10</c:v>
                </c:pt>
                <c:pt idx="19">
                  <c:v>6</c:v>
                </c:pt>
                <c:pt idx="20">
                  <c:v>7</c:v>
                </c:pt>
              </c:numCache>
            </c:numRef>
          </c:val>
          <c:extLst>
            <c:ext xmlns:c16="http://schemas.microsoft.com/office/drawing/2014/chart" uri="{C3380CC4-5D6E-409C-BE32-E72D297353CC}">
              <c16:uniqueId val="{00000000-80F3-3D46-94D0-5096B590D3A7}"/>
            </c:ext>
          </c:extLst>
        </c:ser>
        <c:dLbls>
          <c:showLegendKey val="0"/>
          <c:showVal val="0"/>
          <c:showCatName val="0"/>
          <c:showSerName val="0"/>
          <c:showPercent val="0"/>
          <c:showBubbleSize val="0"/>
        </c:dLbls>
        <c:gapWidth val="219"/>
        <c:overlap val="-27"/>
        <c:axId val="597599200"/>
        <c:axId val="597641024"/>
      </c:barChart>
      <c:catAx>
        <c:axId val="59759920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7641024"/>
        <c:crosses val="autoZero"/>
        <c:auto val="1"/>
        <c:lblAlgn val="ctr"/>
        <c:lblOffset val="100"/>
        <c:noMultiLvlLbl val="0"/>
      </c:catAx>
      <c:valAx>
        <c:axId val="59764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759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12</xdr:col>
      <xdr:colOff>596900</xdr:colOff>
      <xdr:row>6</xdr:row>
      <xdr:rowOff>88900</xdr:rowOff>
    </xdr:from>
    <xdr:to>
      <xdr:col>16</xdr:col>
      <xdr:colOff>469900</xdr:colOff>
      <xdr:row>12</xdr:row>
      <xdr:rowOff>0</xdr:rowOff>
    </xdr:to>
    <xdr:pic>
      <xdr:nvPicPr>
        <xdr:cNvPr id="2" name="Picture 1" descr="Exxon Valdez oil spill - Wikipedia">
          <a:extLst>
            <a:ext uri="{FF2B5EF4-FFF2-40B4-BE49-F238E27FC236}">
              <a16:creationId xmlns:a16="http://schemas.microsoft.com/office/drawing/2014/main" id="{5DD2BD01-3B85-5443-8888-C31A204509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77400" y="2298700"/>
          <a:ext cx="3175000" cy="2120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0</xdr:colOff>
      <xdr:row>0</xdr:row>
      <xdr:rowOff>0</xdr:rowOff>
    </xdr:from>
    <xdr:to>
      <xdr:col>56</xdr:col>
      <xdr:colOff>381000</xdr:colOff>
      <xdr:row>41</xdr:row>
      <xdr:rowOff>152400</xdr:rowOff>
    </xdr:to>
    <xdr:pic>
      <xdr:nvPicPr>
        <xdr:cNvPr id="3" name="Picture 2" descr="Wounded Wilderness: The Exxon Valdez Oil Spill 30 Years Later ...">
          <a:extLst>
            <a:ext uri="{FF2B5EF4-FFF2-40B4-BE49-F238E27FC236}">
              <a16:creationId xmlns:a16="http://schemas.microsoft.com/office/drawing/2014/main" id="{32D7226F-491A-B048-9B6B-2F042134577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59000" y="0"/>
          <a:ext cx="31750000" cy="1525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82550</xdr:colOff>
      <xdr:row>38</xdr:row>
      <xdr:rowOff>127000</xdr:rowOff>
    </xdr:from>
    <xdr:to>
      <xdr:col>24</xdr:col>
      <xdr:colOff>615950</xdr:colOff>
      <xdr:row>53</xdr:row>
      <xdr:rowOff>12700</xdr:rowOff>
    </xdr:to>
    <xdr:graphicFrame macro="">
      <xdr:nvGraphicFramePr>
        <xdr:cNvPr id="3" name="Chart 2">
          <a:extLst>
            <a:ext uri="{FF2B5EF4-FFF2-40B4-BE49-F238E27FC236}">
              <a16:creationId xmlns:a16="http://schemas.microsoft.com/office/drawing/2014/main" id="{D0170EF9-1722-364D-89F8-02302A311D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12700</xdr:colOff>
      <xdr:row>0</xdr:row>
      <xdr:rowOff>177800</xdr:rowOff>
    </xdr:from>
    <xdr:to>
      <xdr:col>14</xdr:col>
      <xdr:colOff>381000</xdr:colOff>
      <xdr:row>66</xdr:row>
      <xdr:rowOff>50800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38200" y="177800"/>
          <a:ext cx="11099800" cy="1244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Loan</a:t>
          </a:r>
          <a:r>
            <a:rPr lang="en-US" sz="2000" baseline="0"/>
            <a:t> portfolio Segementation</a:t>
          </a:r>
        </a:p>
        <a:p>
          <a:r>
            <a:rPr lang="en-US" sz="2000" baseline="0"/>
            <a:t>	Pre and Post origination metrics</a:t>
          </a:r>
          <a:endParaRPr lang="en-US" sz="2000"/>
        </a:p>
        <a:p>
          <a:endParaRPr lang="en-US" sz="2000"/>
        </a:p>
        <a:p>
          <a:r>
            <a:rPr lang="en-US" sz="2000"/>
            <a:t>Loan covenants</a:t>
          </a:r>
        </a:p>
        <a:p>
          <a:r>
            <a:rPr lang="en-US" sz="2000"/>
            <a:t>	Triggers</a:t>
          </a:r>
        </a:p>
        <a:p>
          <a:r>
            <a:rPr lang="en-US" sz="2000"/>
            <a:t>		Ratings downgrade</a:t>
          </a:r>
        </a:p>
        <a:p>
          <a:r>
            <a:rPr lang="en-US" sz="2000"/>
            <a:t>		Default on supplier</a:t>
          </a:r>
        </a:p>
        <a:p>
          <a:r>
            <a:rPr lang="en-US" sz="2000"/>
            <a:t>		Low profit</a:t>
          </a:r>
          <a:r>
            <a:rPr lang="en-US" sz="2000" baseline="0"/>
            <a:t> or revenue</a:t>
          </a:r>
        </a:p>
        <a:p>
          <a:r>
            <a:rPr lang="en-US" sz="2000" baseline="0"/>
            <a:t>	May backfire if all counterparties make demands</a:t>
          </a:r>
        </a:p>
        <a:p>
          <a:endParaRPr lang="en-US" sz="2000" baseline="0"/>
        </a:p>
        <a:p>
          <a:r>
            <a:rPr lang="en-US" sz="2000" baseline="0"/>
            <a:t>CDS contracts are resellable</a:t>
          </a:r>
        </a:p>
        <a:p>
          <a:endParaRPr lang="en-US" sz="2000" baseline="0"/>
        </a:p>
        <a:p>
          <a:r>
            <a:rPr lang="en-US" sz="2000" baseline="0"/>
            <a:t>PD can be inferred from CDS prices.</a:t>
          </a:r>
        </a:p>
        <a:p>
          <a:r>
            <a:rPr lang="en-US" sz="2000" baseline="0"/>
            <a:t>Inferred PD over time is not necessarily constant.</a:t>
          </a:r>
        </a:p>
        <a:p>
          <a:endParaRPr lang="en-US" sz="2000" baseline="0"/>
        </a:p>
        <a:p>
          <a:r>
            <a:rPr lang="en-US" sz="2000" baseline="0"/>
            <a:t>PD is not necessarily constant over the life of a loan</a:t>
          </a:r>
          <a:endParaRPr lang="en-US" sz="20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C:/Users/djr2132/Downloads/Va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Downloads/Futures_N_Options1.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Downloads/FRMClass5.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Users/davidromoff/Google%20Drive/ERMM/Class/Class3/Class3.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david/Downloads/OLD_FRM_HW/HW4.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C:/Users/davidromoff/Google%20Drive/ERMM/ERMM_Fall17/ERMM_Spring17/Class2/Distributions.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dromoff/Desktop/FRM_1_Bonds.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davidromoff/Google%20Drive/FRM/Fall17/Subjects/Futures_N_Options.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Users/davidromoff/Downloads/FRMClass6.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davidromoff/Google%20Drive/FRM/ClassSet/Credit_TransitionMatrix.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sheetData sheetId="1"/>
      <sheetData sheetId="2"/>
      <sheetData sheetId="3"/>
      <sheetData sheetId="4">
        <row r="19">
          <cell r="H19">
            <v>-3.6363636363636376E-2</v>
          </cell>
        </row>
      </sheetData>
      <sheetData sheetId="5"/>
      <sheetData sheetId="6"/>
      <sheetData sheetId="7"/>
      <sheetData sheetId="8"/>
      <sheetData sheetId="9">
        <row r="6">
          <cell r="D6">
            <v>195</v>
          </cell>
        </row>
        <row r="11">
          <cell r="D11">
            <v>159.9991839144177</v>
          </cell>
          <cell r="E11">
            <v>159.9991839144177</v>
          </cell>
          <cell r="F11">
            <v>119.9177349101093</v>
          </cell>
          <cell r="G11">
            <v>5.7836769981375014</v>
          </cell>
          <cell r="H11">
            <v>239.83546982021861</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ow r="10">
          <cell r="C10" t="str">
            <v>PriceLevels</v>
          </cell>
        </row>
      </sheetData>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C01"/>
      <sheetName val="MyCo2"/>
      <sheetName val="MyCo3"/>
      <sheetName val="MyCo4"/>
      <sheetName val="MyCo5"/>
      <sheetName val="MyCo6"/>
      <sheetName val="MyCo7"/>
      <sheetName val="FSA0"/>
      <sheetName val="FSA1"/>
      <sheetName val="Sparklines"/>
      <sheetName val="FSA_IS"/>
      <sheetName val="FSA_BS"/>
      <sheetName val="FSA_CF"/>
    </sheetNames>
    <sheetDataSet>
      <sheetData sheetId="0" refreshError="1"/>
      <sheetData sheetId="1" refreshError="1"/>
      <sheetData sheetId="2">
        <row r="5">
          <cell r="L5">
            <v>250</v>
          </cell>
        </row>
        <row r="6">
          <cell r="L6">
            <v>300</v>
          </cell>
        </row>
        <row r="7">
          <cell r="L7">
            <v>200</v>
          </cell>
        </row>
        <row r="8">
          <cell r="L8">
            <v>1000</v>
          </cell>
          <cell r="O8">
            <v>800</v>
          </cell>
        </row>
        <row r="9">
          <cell r="O9">
            <v>1</v>
          </cell>
        </row>
        <row r="10">
          <cell r="O10">
            <v>800</v>
          </cell>
        </row>
        <row r="12">
          <cell r="O12">
            <v>-200</v>
          </cell>
        </row>
        <row r="13">
          <cell r="L13">
            <v>250</v>
          </cell>
          <cell r="O13">
            <v>-60</v>
          </cell>
        </row>
        <row r="14">
          <cell r="O14">
            <v>-530</v>
          </cell>
        </row>
        <row r="16">
          <cell r="L16">
            <v>1500</v>
          </cell>
          <cell r="O16">
            <v>10</v>
          </cell>
        </row>
        <row r="17">
          <cell r="L17">
            <v>1</v>
          </cell>
        </row>
        <row r="18">
          <cell r="L18">
            <v>1500</v>
          </cell>
          <cell r="O18">
            <v>25</v>
          </cell>
        </row>
        <row r="25">
          <cell r="O25">
            <v>10</v>
          </cell>
        </row>
        <row r="26">
          <cell r="O26" t="e">
            <v>#VALUE!</v>
          </cell>
        </row>
      </sheetData>
      <sheetData sheetId="3">
        <row r="7">
          <cell r="O7">
            <v>1</v>
          </cell>
          <cell r="P7">
            <v>2</v>
          </cell>
          <cell r="Q7">
            <v>3</v>
          </cell>
          <cell r="R7">
            <v>4</v>
          </cell>
          <cell r="S7">
            <v>7</v>
          </cell>
        </row>
        <row r="8">
          <cell r="O8">
            <v>800</v>
          </cell>
          <cell r="P8">
            <v>840</v>
          </cell>
          <cell r="Q8">
            <v>882</v>
          </cell>
          <cell r="R8">
            <v>926.1</v>
          </cell>
          <cell r="S8">
            <v>972.40500000000009</v>
          </cell>
        </row>
        <row r="20">
          <cell r="B20">
            <v>0.1</v>
          </cell>
          <cell r="O20">
            <v>-15</v>
          </cell>
          <cell r="P20">
            <v>139</v>
          </cell>
          <cell r="Q20">
            <v>453.60000000000036</v>
          </cell>
          <cell r="R20">
            <v>949.0600000000004</v>
          </cell>
          <cell r="S20">
            <v>2311.2020000000011</v>
          </cell>
        </row>
        <row r="22">
          <cell r="O22">
            <v>0.35</v>
          </cell>
          <cell r="P22">
            <v>0.35</v>
          </cell>
          <cell r="Q22">
            <v>0.35</v>
          </cell>
          <cell r="R22">
            <v>0.35</v>
          </cell>
          <cell r="S22">
            <v>0.35</v>
          </cell>
        </row>
        <row r="23">
          <cell r="O23">
            <v>-5.25</v>
          </cell>
          <cell r="P23">
            <v>48.65</v>
          </cell>
          <cell r="Q23">
            <v>158.7600000000001</v>
          </cell>
          <cell r="R23">
            <v>332.17100000000011</v>
          </cell>
          <cell r="S23">
            <v>808.92070000000035</v>
          </cell>
        </row>
        <row r="28">
          <cell r="O28">
            <v>1.2500000000000001E-2</v>
          </cell>
          <cell r="P28">
            <v>9.297052154195011E-2</v>
          </cell>
          <cell r="Q28">
            <v>0.16443345014773597</v>
          </cell>
          <cell r="R28">
            <v>0.22864936174607878</v>
          </cell>
          <cell r="S28">
            <v>0.28601178080561679</v>
          </cell>
        </row>
      </sheetData>
      <sheetData sheetId="4">
        <row r="12">
          <cell r="V12">
            <v>-300</v>
          </cell>
          <cell r="W12">
            <v>-300</v>
          </cell>
          <cell r="X12">
            <v>-300</v>
          </cell>
          <cell r="Y12">
            <v>-300</v>
          </cell>
          <cell r="Z12">
            <v>-900</v>
          </cell>
        </row>
        <row r="13">
          <cell r="V13">
            <v>-300</v>
          </cell>
          <cell r="W13">
            <v>-300</v>
          </cell>
          <cell r="X13">
            <v>-300</v>
          </cell>
          <cell r="Y13">
            <v>-300</v>
          </cell>
          <cell r="Z13">
            <v>-900</v>
          </cell>
        </row>
        <row r="16">
          <cell r="V16">
            <v>250</v>
          </cell>
          <cell r="W16">
            <v>0</v>
          </cell>
          <cell r="X16">
            <v>0</v>
          </cell>
          <cell r="Y16">
            <v>0</v>
          </cell>
          <cell r="Z16">
            <v>0</v>
          </cell>
        </row>
        <row r="17">
          <cell r="V17">
            <v>1500</v>
          </cell>
          <cell r="W17">
            <v>0</v>
          </cell>
          <cell r="X17">
            <v>0</v>
          </cell>
          <cell r="Y17">
            <v>0</v>
          </cell>
          <cell r="Z17">
            <v>0</v>
          </cell>
        </row>
        <row r="18">
          <cell r="L18">
            <v>1500</v>
          </cell>
          <cell r="V18">
            <v>1750</v>
          </cell>
          <cell r="W18">
            <v>0</v>
          </cell>
          <cell r="X18">
            <v>0</v>
          </cell>
          <cell r="Y18">
            <v>0</v>
          </cell>
          <cell r="Z18">
            <v>0</v>
          </cell>
        </row>
      </sheetData>
      <sheetData sheetId="5"/>
      <sheetData sheetId="6">
        <row r="5">
          <cell r="AK5">
            <v>20</v>
          </cell>
        </row>
        <row r="8">
          <cell r="AK8">
            <v>-6.4999999999999997E-3</v>
          </cell>
          <cell r="AL8">
            <v>6.0233333333333326E-2</v>
          </cell>
          <cell r="AM8">
            <v>0.19656000000000018</v>
          </cell>
          <cell r="AN8">
            <v>0.41125933333333359</v>
          </cell>
          <cell r="AO8">
            <v>1.0015208666666673</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0_"/>
      <sheetName val="BOPM3"/>
      <sheetName val="FX0"/>
      <sheetName val="FX1"/>
      <sheetName val="Futures"/>
      <sheetName val="Hedging"/>
      <sheetName val="Remember"/>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
      <sheetName val="Q5_4"/>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4"/>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sheetData sheetId="1"/>
      <sheetData sheetId="2"/>
      <sheetData sheetId="3"/>
      <sheetData sheetId="4"/>
      <sheetData sheetId="5"/>
      <sheetData sheetId="6"/>
      <sheetData sheetId="7"/>
      <sheetData sheetId="8">
        <row r="2">
          <cell r="C2">
            <v>67</v>
          </cell>
        </row>
      </sheetData>
      <sheetData sheetId="9">
        <row r="10">
          <cell r="C10">
            <v>8.8630198331101067</v>
          </cell>
        </row>
        <row r="16">
          <cell r="C16">
            <v>42369</v>
          </cell>
        </row>
        <row r="17">
          <cell r="C17">
            <v>46022</v>
          </cell>
        </row>
        <row r="18">
          <cell r="C18">
            <v>2.2499999999999999E-2</v>
          </cell>
        </row>
        <row r="19">
          <cell r="C19">
            <v>2.7E-2</v>
          </cell>
        </row>
        <row r="20">
          <cell r="C20">
            <v>2</v>
          </cell>
        </row>
        <row r="21">
          <cell r="C21">
            <v>8.9854108339053287</v>
          </cell>
        </row>
        <row r="23">
          <cell r="C23">
            <v>10</v>
          </cell>
        </row>
        <row r="24">
          <cell r="C24">
            <v>100000</v>
          </cell>
        </row>
        <row r="25">
          <cell r="C25">
            <v>96079.326726695508</v>
          </cell>
        </row>
        <row r="27">
          <cell r="C27">
            <v>-863312.22328437958</v>
          </cell>
        </row>
      </sheetData>
      <sheetData sheetId="10"/>
      <sheetData sheetId="11"/>
      <sheetData sheetId="12"/>
      <sheetData sheetId="13"/>
      <sheetData sheetId="14">
        <row r="23">
          <cell r="D23">
            <v>120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alLimitTheorem"/>
      <sheetName val="FnS"/>
    </sheetNames>
    <sheetDataSet>
      <sheetData sheetId="0" refreshError="1"/>
      <sheetData sheetId="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mi"/>
      <sheetName val="HW3.1.a"/>
      <sheetName val="HW3.1.b"/>
      <sheetName val="HW3.1.c"/>
      <sheetName val="Amortization"/>
      <sheetName val="Duration"/>
      <sheetName val="Dur2"/>
      <sheetName val="Curve0"/>
      <sheetName val="Dur3"/>
      <sheetName val="Bonds_HW1"/>
      <sheetName val="Bonds_HW1 (2)"/>
    </sheetNames>
    <sheetDataSet>
      <sheetData sheetId="0">
        <row r="4">
          <cell r="C4">
            <v>20000000</v>
          </cell>
        </row>
        <row r="12">
          <cell r="C12">
            <v>42369</v>
          </cell>
        </row>
        <row r="13">
          <cell r="C13">
            <v>46022</v>
          </cell>
        </row>
      </sheetData>
      <sheetData sheetId="1"/>
      <sheetData sheetId="2"/>
      <sheetData sheetId="3"/>
      <sheetData sheetId="4">
        <row r="3">
          <cell r="F3">
            <v>10.837769560171987</v>
          </cell>
        </row>
      </sheetData>
      <sheetData sheetId="5"/>
      <sheetData sheetId="6">
        <row r="12">
          <cell r="G12">
            <v>0.98760555034319286</v>
          </cell>
        </row>
      </sheetData>
      <sheetData sheetId="7"/>
      <sheetData sheetId="8"/>
      <sheetData sheetId="9"/>
      <sheetData sheetId="1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1_Intro"/>
      <sheetName val="O2_Uses"/>
      <sheetName val="O3_Greeks"/>
      <sheetName val="O4_RiskNeutrality"/>
      <sheetName val="O5_BOPM1"/>
      <sheetName val="O6_BOPM2"/>
      <sheetName val="O7_BOPM3"/>
      <sheetName val="O8_BlackScholes"/>
      <sheetName val="Futures"/>
      <sheetName val="Hedging"/>
      <sheetName val="Remember"/>
    </sheetNames>
    <sheetDataSet>
      <sheetData sheetId="0">
        <row r="15">
          <cell r="C15">
            <v>40</v>
          </cell>
          <cell r="D15">
            <v>50</v>
          </cell>
          <cell r="E15">
            <v>0</v>
          </cell>
          <cell r="F15">
            <v>5</v>
          </cell>
        </row>
        <row r="16">
          <cell r="C16">
            <v>45</v>
          </cell>
          <cell r="D16">
            <v>50</v>
          </cell>
          <cell r="E16">
            <v>0</v>
          </cell>
          <cell r="F16">
            <v>5</v>
          </cell>
        </row>
        <row r="17">
          <cell r="C17">
            <v>50</v>
          </cell>
          <cell r="D17">
            <v>50</v>
          </cell>
          <cell r="E17">
            <v>0</v>
          </cell>
          <cell r="F17">
            <v>5</v>
          </cell>
        </row>
        <row r="18">
          <cell r="C18">
            <v>55</v>
          </cell>
          <cell r="D18">
            <v>50</v>
          </cell>
          <cell r="E18">
            <v>5</v>
          </cell>
          <cell r="F18">
            <v>5</v>
          </cell>
        </row>
        <row r="19">
          <cell r="C19">
            <v>60</v>
          </cell>
          <cell r="D19">
            <v>50</v>
          </cell>
          <cell r="E19">
            <v>10</v>
          </cell>
          <cell r="F19">
            <v>5</v>
          </cell>
        </row>
        <row r="20">
          <cell r="C20">
            <v>65</v>
          </cell>
          <cell r="D20">
            <v>50</v>
          </cell>
          <cell r="E20">
            <v>15</v>
          </cell>
          <cell r="F20">
            <v>5</v>
          </cell>
        </row>
      </sheetData>
      <sheetData sheetId="1"/>
      <sheetData sheetId="2"/>
      <sheetData sheetId="3"/>
      <sheetData sheetId="4"/>
      <sheetData sheetId="5"/>
      <sheetData sheetId="6">
        <row r="6">
          <cell r="C6">
            <v>2.1837080457267475</v>
          </cell>
        </row>
      </sheetData>
      <sheetData sheetId="7"/>
      <sheetData sheetId="8"/>
      <sheetData sheetId="9"/>
      <sheetData sheetId="1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AltmansZ"/>
      <sheetName val="AltmansZQuestion"/>
      <sheetName val="CreditMatrix"/>
      <sheetName val="CreditMatrix_Weighted"/>
      <sheetName val="CreditMatrix_Loss"/>
      <sheetName val="Merton1"/>
      <sheetName val="Merton2"/>
      <sheetName val="CVA"/>
      <sheetName val="CVA_Sim"/>
      <sheetName val="Homework"/>
      <sheetName val="CQ1_AltZ"/>
      <sheetName val="CQ2_TMat"/>
      <sheetName val="CQ3_MM"/>
      <sheetName val="CreditRatings"/>
      <sheetName val="HW_1"/>
      <sheetName val="HW_2"/>
      <sheetName val="HW_2a"/>
      <sheetName val="HW_3"/>
      <sheetName val="Remember"/>
      <sheetName val="Discussion"/>
    </sheetNames>
    <sheetDataSet>
      <sheetData sheetId="0" refreshError="1"/>
      <sheetData sheetId="1" refreshError="1"/>
      <sheetData sheetId="2" refreshError="1"/>
      <sheetData sheetId="3">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B</v>
          </cell>
          <cell r="E10" t="str">
            <v>D</v>
          </cell>
        </row>
        <row r="11">
          <cell r="D11" t="str">
            <v>B</v>
          </cell>
          <cell r="E11" t="str">
            <v>B</v>
          </cell>
        </row>
        <row r="12">
          <cell r="D12" t="str">
            <v>D</v>
          </cell>
          <cell r="E12" t="str">
            <v>C</v>
          </cell>
        </row>
        <row r="13">
          <cell r="D13" t="str">
            <v>D</v>
          </cell>
          <cell r="E13" t="str">
            <v>D</v>
          </cell>
        </row>
        <row r="14">
          <cell r="D14" t="str">
            <v>E</v>
          </cell>
          <cell r="E14" t="str">
            <v>F</v>
          </cell>
        </row>
        <row r="15">
          <cell r="D15" t="str">
            <v>C</v>
          </cell>
          <cell r="E15" t="str">
            <v>C</v>
          </cell>
        </row>
        <row r="16">
          <cell r="D16" t="str">
            <v>E</v>
          </cell>
          <cell r="E16" t="str">
            <v>E</v>
          </cell>
        </row>
        <row r="17">
          <cell r="D17" t="str">
            <v>E</v>
          </cell>
          <cell r="E17" t="str">
            <v>F</v>
          </cell>
        </row>
        <row r="18">
          <cell r="D18" t="str">
            <v>D</v>
          </cell>
          <cell r="E18" t="str">
            <v>E</v>
          </cell>
        </row>
        <row r="19">
          <cell r="D19" t="str">
            <v>A</v>
          </cell>
          <cell r="E19" t="str">
            <v>A</v>
          </cell>
        </row>
        <row r="20">
          <cell r="D20" t="str">
            <v>A</v>
          </cell>
          <cell r="E20" t="str">
            <v>A</v>
          </cell>
        </row>
        <row r="21">
          <cell r="D21" t="str">
            <v>D</v>
          </cell>
          <cell r="E21" t="str">
            <v>D</v>
          </cell>
        </row>
        <row r="22">
          <cell r="D22" t="str">
            <v>C</v>
          </cell>
          <cell r="E22" t="str">
            <v>C</v>
          </cell>
        </row>
        <row r="23">
          <cell r="D23" t="str">
            <v>D</v>
          </cell>
          <cell r="E23" t="str">
            <v>D</v>
          </cell>
        </row>
        <row r="24">
          <cell r="D24" t="str">
            <v>D</v>
          </cell>
          <cell r="E24" t="str">
            <v>D</v>
          </cell>
        </row>
        <row r="25">
          <cell r="D25" t="str">
            <v>C</v>
          </cell>
          <cell r="E25" t="str">
            <v>D</v>
          </cell>
        </row>
        <row r="26">
          <cell r="D26" t="str">
            <v>C</v>
          </cell>
          <cell r="E26" t="str">
            <v>C</v>
          </cell>
        </row>
        <row r="27">
          <cell r="D27" t="str">
            <v>E</v>
          </cell>
          <cell r="E27" t="str">
            <v>E</v>
          </cell>
        </row>
        <row r="28">
          <cell r="D28" t="str">
            <v>D</v>
          </cell>
          <cell r="E28" t="str">
            <v>E</v>
          </cell>
        </row>
        <row r="29">
          <cell r="D29" t="str">
            <v>B</v>
          </cell>
          <cell r="E29" t="str">
            <v>B</v>
          </cell>
        </row>
        <row r="30">
          <cell r="D30" t="str">
            <v>A</v>
          </cell>
          <cell r="E30" t="str">
            <v>A</v>
          </cell>
        </row>
        <row r="31">
          <cell r="D31" t="str">
            <v>B</v>
          </cell>
          <cell r="E31" t="str">
            <v>C</v>
          </cell>
        </row>
        <row r="32">
          <cell r="D32" t="str">
            <v>B</v>
          </cell>
          <cell r="E32" t="str">
            <v>B</v>
          </cell>
        </row>
        <row r="33">
          <cell r="D33" t="str">
            <v>A</v>
          </cell>
          <cell r="E33" t="str">
            <v>B</v>
          </cell>
        </row>
        <row r="34">
          <cell r="D34" t="str">
            <v>A</v>
          </cell>
          <cell r="E34" t="str">
            <v>B</v>
          </cell>
        </row>
        <row r="35">
          <cell r="D35" t="str">
            <v>C</v>
          </cell>
          <cell r="E35" t="str">
            <v>D</v>
          </cell>
        </row>
        <row r="36">
          <cell r="D36" t="str">
            <v>D</v>
          </cell>
          <cell r="E36" t="str">
            <v>E</v>
          </cell>
        </row>
        <row r="37">
          <cell r="D37" t="str">
            <v>E</v>
          </cell>
          <cell r="E37" t="str">
            <v>E</v>
          </cell>
        </row>
        <row r="38">
          <cell r="D38" t="str">
            <v>A</v>
          </cell>
          <cell r="E38" t="str">
            <v>C</v>
          </cell>
        </row>
        <row r="39">
          <cell r="D39" t="str">
            <v>C</v>
          </cell>
          <cell r="E39" t="str">
            <v>E</v>
          </cell>
        </row>
        <row r="40">
          <cell r="D40" t="str">
            <v>C</v>
          </cell>
          <cell r="E40" t="str">
            <v>D</v>
          </cell>
        </row>
        <row r="41">
          <cell r="D41" t="str">
            <v>A</v>
          </cell>
          <cell r="E41" t="str">
            <v>A</v>
          </cell>
        </row>
        <row r="42">
          <cell r="D42" t="str">
            <v>C</v>
          </cell>
          <cell r="E42" t="str">
            <v>C</v>
          </cell>
        </row>
        <row r="43">
          <cell r="D43" t="str">
            <v>B</v>
          </cell>
          <cell r="E43" t="str">
            <v>C</v>
          </cell>
        </row>
        <row r="44">
          <cell r="D44" t="str">
            <v>B</v>
          </cell>
          <cell r="E44" t="str">
            <v>D</v>
          </cell>
        </row>
        <row r="45">
          <cell r="D45" t="str">
            <v>D</v>
          </cell>
          <cell r="E45" t="str">
            <v>D</v>
          </cell>
        </row>
        <row r="46">
          <cell r="D46" t="str">
            <v>D</v>
          </cell>
          <cell r="E46" t="str">
            <v>D</v>
          </cell>
        </row>
        <row r="47">
          <cell r="D47" t="str">
            <v>A</v>
          </cell>
          <cell r="E47" t="str">
            <v>A</v>
          </cell>
        </row>
        <row r="48">
          <cell r="D48" t="str">
            <v>A</v>
          </cell>
          <cell r="E48" t="str">
            <v>A</v>
          </cell>
        </row>
        <row r="49">
          <cell r="D49" t="str">
            <v>A</v>
          </cell>
          <cell r="E49" t="str">
            <v>B</v>
          </cell>
        </row>
        <row r="50">
          <cell r="D50" t="str">
            <v>C</v>
          </cell>
          <cell r="E50" t="str">
            <v>C</v>
          </cell>
        </row>
        <row r="51">
          <cell r="D51" t="str">
            <v>A</v>
          </cell>
          <cell r="E51" t="str">
            <v>B</v>
          </cell>
        </row>
        <row r="52">
          <cell r="D52" t="str">
            <v>C</v>
          </cell>
          <cell r="E52" t="str">
            <v>E</v>
          </cell>
        </row>
        <row r="53">
          <cell r="D53" t="str">
            <v>E</v>
          </cell>
          <cell r="E53" t="str">
            <v>F</v>
          </cell>
        </row>
        <row r="54">
          <cell r="D54" t="str">
            <v>C</v>
          </cell>
          <cell r="E54" t="str">
            <v>D</v>
          </cell>
        </row>
        <row r="55">
          <cell r="D55" t="str">
            <v>D</v>
          </cell>
          <cell r="E55" t="str">
            <v>D</v>
          </cell>
        </row>
        <row r="56">
          <cell r="D56" t="str">
            <v>C</v>
          </cell>
          <cell r="E56" t="str">
            <v>C</v>
          </cell>
        </row>
        <row r="57">
          <cell r="D57" t="str">
            <v>C</v>
          </cell>
          <cell r="E57" t="str">
            <v>C</v>
          </cell>
        </row>
        <row r="58">
          <cell r="D58" t="str">
            <v>B</v>
          </cell>
          <cell r="E58" t="str">
            <v>B</v>
          </cell>
        </row>
        <row r="59">
          <cell r="D59" t="str">
            <v>D</v>
          </cell>
          <cell r="E59" t="str">
            <v>D</v>
          </cell>
        </row>
        <row r="60">
          <cell r="D60" t="str">
            <v>C</v>
          </cell>
          <cell r="E60" t="str">
            <v>C</v>
          </cell>
        </row>
        <row r="61">
          <cell r="D61" t="str">
            <v>E</v>
          </cell>
          <cell r="E61" t="str">
            <v>F</v>
          </cell>
        </row>
        <row r="62">
          <cell r="D62" t="str">
            <v>E</v>
          </cell>
          <cell r="E62" t="str">
            <v>E</v>
          </cell>
        </row>
        <row r="63">
          <cell r="D63" t="str">
            <v>C</v>
          </cell>
          <cell r="E63" t="str">
            <v>C</v>
          </cell>
        </row>
        <row r="64">
          <cell r="D64" t="str">
            <v>A</v>
          </cell>
          <cell r="E64" t="str">
            <v>C</v>
          </cell>
        </row>
        <row r="65">
          <cell r="D65" t="str">
            <v>A</v>
          </cell>
          <cell r="E65" t="str">
            <v>A</v>
          </cell>
        </row>
        <row r="66">
          <cell r="D66" t="str">
            <v>C</v>
          </cell>
          <cell r="E66" t="str">
            <v>D</v>
          </cell>
        </row>
        <row r="67">
          <cell r="D67" t="str">
            <v>A</v>
          </cell>
          <cell r="E67" t="str">
            <v>A</v>
          </cell>
        </row>
        <row r="68">
          <cell r="D68" t="str">
            <v>A</v>
          </cell>
          <cell r="E68" t="str">
            <v>A</v>
          </cell>
        </row>
        <row r="69">
          <cell r="D69" t="str">
            <v>A</v>
          </cell>
          <cell r="E69" t="str">
            <v>C</v>
          </cell>
        </row>
        <row r="70">
          <cell r="D70" t="str">
            <v>D</v>
          </cell>
          <cell r="E70" t="str">
            <v>D</v>
          </cell>
        </row>
        <row r="71">
          <cell r="D71" t="str">
            <v>A</v>
          </cell>
          <cell r="E71" t="str">
            <v>A</v>
          </cell>
        </row>
        <row r="72">
          <cell r="D72" t="str">
            <v>A</v>
          </cell>
          <cell r="E72" t="str">
            <v>B</v>
          </cell>
        </row>
        <row r="73">
          <cell r="D73" t="str">
            <v>A</v>
          </cell>
          <cell r="E73" t="str">
            <v>A</v>
          </cell>
        </row>
        <row r="74">
          <cell r="D74" t="str">
            <v>E</v>
          </cell>
          <cell r="E74" t="str">
            <v>E</v>
          </cell>
        </row>
        <row r="75">
          <cell r="D75" t="str">
            <v>B</v>
          </cell>
          <cell r="E75" t="str">
            <v>B</v>
          </cell>
        </row>
        <row r="76">
          <cell r="D76" t="str">
            <v>A</v>
          </cell>
          <cell r="E76" t="str">
            <v>A</v>
          </cell>
        </row>
        <row r="77">
          <cell r="D77" t="str">
            <v>C</v>
          </cell>
          <cell r="E77" t="str">
            <v>D</v>
          </cell>
        </row>
        <row r="78">
          <cell r="D78" t="str">
            <v>D</v>
          </cell>
          <cell r="E78" t="str">
            <v>D</v>
          </cell>
        </row>
        <row r="79">
          <cell r="D79" t="str">
            <v>C</v>
          </cell>
          <cell r="E79" t="str">
            <v>C</v>
          </cell>
        </row>
        <row r="80">
          <cell r="D80" t="str">
            <v>A</v>
          </cell>
          <cell r="E80" t="str">
            <v>B</v>
          </cell>
        </row>
        <row r="81">
          <cell r="D81" t="str">
            <v>B</v>
          </cell>
          <cell r="E81" t="str">
            <v>C</v>
          </cell>
        </row>
        <row r="82">
          <cell r="D82" t="str">
            <v>D</v>
          </cell>
          <cell r="E82" t="str">
            <v>D</v>
          </cell>
        </row>
        <row r="83">
          <cell r="D83" t="str">
            <v>D</v>
          </cell>
          <cell r="E83" t="str">
            <v>F</v>
          </cell>
        </row>
        <row r="84">
          <cell r="D84" t="str">
            <v>A</v>
          </cell>
          <cell r="E84" t="str">
            <v>B</v>
          </cell>
        </row>
        <row r="85">
          <cell r="D85" t="str">
            <v>E</v>
          </cell>
          <cell r="E85" t="str">
            <v>E</v>
          </cell>
        </row>
        <row r="86">
          <cell r="D86" t="str">
            <v>C</v>
          </cell>
          <cell r="E86" t="str">
            <v>C</v>
          </cell>
        </row>
        <row r="87">
          <cell r="D87" t="str">
            <v>C</v>
          </cell>
          <cell r="E87" t="str">
            <v>C</v>
          </cell>
        </row>
        <row r="88">
          <cell r="D88" t="str">
            <v>E</v>
          </cell>
          <cell r="E88" t="str">
            <v>E</v>
          </cell>
        </row>
        <row r="89">
          <cell r="D89" t="str">
            <v>E</v>
          </cell>
          <cell r="E89" t="str">
            <v>F</v>
          </cell>
        </row>
        <row r="90">
          <cell r="D90" t="str">
            <v>A</v>
          </cell>
          <cell r="E90" t="str">
            <v>A</v>
          </cell>
        </row>
        <row r="91">
          <cell r="D91" t="str">
            <v>E</v>
          </cell>
          <cell r="E91" t="str">
            <v>E</v>
          </cell>
        </row>
        <row r="92">
          <cell r="D92" t="str">
            <v>B</v>
          </cell>
          <cell r="E92" t="str">
            <v>C</v>
          </cell>
        </row>
        <row r="93">
          <cell r="D93" t="str">
            <v>D</v>
          </cell>
          <cell r="E93" t="str">
            <v>E</v>
          </cell>
        </row>
        <row r="94">
          <cell r="D94" t="str">
            <v>C</v>
          </cell>
          <cell r="E94" t="str">
            <v>B</v>
          </cell>
        </row>
        <row r="95">
          <cell r="D95" t="str">
            <v>D</v>
          </cell>
          <cell r="E95" t="str">
            <v>F</v>
          </cell>
        </row>
        <row r="96">
          <cell r="D96" t="str">
            <v>E</v>
          </cell>
          <cell r="E96" t="str">
            <v>F</v>
          </cell>
        </row>
        <row r="97">
          <cell r="D97" t="str">
            <v>D</v>
          </cell>
          <cell r="E97" t="str">
            <v>E</v>
          </cell>
        </row>
        <row r="98">
          <cell r="D98" t="str">
            <v>D</v>
          </cell>
          <cell r="E98" t="str">
            <v>D</v>
          </cell>
        </row>
        <row r="99">
          <cell r="D99" t="str">
            <v>B</v>
          </cell>
          <cell r="E99" t="str">
            <v>D</v>
          </cell>
        </row>
        <row r="100">
          <cell r="D100" t="str">
            <v>B</v>
          </cell>
          <cell r="E100" t="str">
            <v>C</v>
          </cell>
        </row>
        <row r="101">
          <cell r="D101" t="str">
            <v>D</v>
          </cell>
          <cell r="E101" t="str">
            <v>D</v>
          </cell>
        </row>
        <row r="102">
          <cell r="D102" t="str">
            <v>D</v>
          </cell>
          <cell r="E102" t="str">
            <v>D</v>
          </cell>
        </row>
        <row r="103">
          <cell r="D103" t="str">
            <v>B</v>
          </cell>
          <cell r="E103" t="str">
            <v>A</v>
          </cell>
        </row>
        <row r="104">
          <cell r="D104" t="str">
            <v>D</v>
          </cell>
          <cell r="E104" t="str">
            <v>F</v>
          </cell>
        </row>
        <row r="105">
          <cell r="D105" t="str">
            <v>D</v>
          </cell>
          <cell r="E105" t="str">
            <v>F</v>
          </cell>
        </row>
        <row r="106">
          <cell r="D106" t="str">
            <v>E</v>
          </cell>
          <cell r="E106" t="str">
            <v>E</v>
          </cell>
        </row>
        <row r="107">
          <cell r="D107" t="str">
            <v>D</v>
          </cell>
          <cell r="E107" t="str">
            <v>D</v>
          </cell>
        </row>
        <row r="108">
          <cell r="D108" t="str">
            <v>C</v>
          </cell>
          <cell r="E108" t="str">
            <v>C</v>
          </cell>
        </row>
        <row r="109">
          <cell r="D109" t="str">
            <v>D</v>
          </cell>
          <cell r="E109" t="str">
            <v>F</v>
          </cell>
        </row>
      </sheetData>
      <sheetData sheetId="4">
        <row r="10">
          <cell r="F10">
            <v>26</v>
          </cell>
        </row>
        <row r="11">
          <cell r="F11">
            <v>62</v>
          </cell>
        </row>
        <row r="12">
          <cell r="F12">
            <v>96</v>
          </cell>
        </row>
        <row r="13">
          <cell r="F13">
            <v>56</v>
          </cell>
        </row>
        <row r="14">
          <cell r="F14">
            <v>97</v>
          </cell>
        </row>
        <row r="15">
          <cell r="F15">
            <v>22</v>
          </cell>
        </row>
        <row r="16">
          <cell r="F16">
            <v>86</v>
          </cell>
        </row>
        <row r="17">
          <cell r="F17">
            <v>67</v>
          </cell>
        </row>
        <row r="18">
          <cell r="F18">
            <v>32</v>
          </cell>
        </row>
        <row r="19">
          <cell r="F19">
            <v>71</v>
          </cell>
        </row>
        <row r="20">
          <cell r="F20">
            <v>43</v>
          </cell>
        </row>
        <row r="21">
          <cell r="F21">
            <v>40</v>
          </cell>
        </row>
        <row r="22">
          <cell r="F22">
            <v>66</v>
          </cell>
        </row>
        <row r="23">
          <cell r="F23">
            <v>69</v>
          </cell>
        </row>
        <row r="24">
          <cell r="F24">
            <v>27</v>
          </cell>
        </row>
        <row r="25">
          <cell r="F25">
            <v>91</v>
          </cell>
        </row>
        <row r="26">
          <cell r="F26">
            <v>33</v>
          </cell>
        </row>
        <row r="27">
          <cell r="F27">
            <v>35</v>
          </cell>
        </row>
        <row r="28">
          <cell r="F28">
            <v>34</v>
          </cell>
        </row>
        <row r="29">
          <cell r="F29">
            <v>45</v>
          </cell>
        </row>
        <row r="30">
          <cell r="F30">
            <v>54</v>
          </cell>
        </row>
        <row r="31">
          <cell r="F31">
            <v>50</v>
          </cell>
        </row>
        <row r="32">
          <cell r="F32">
            <v>81</v>
          </cell>
        </row>
        <row r="33">
          <cell r="F33">
            <v>51</v>
          </cell>
        </row>
        <row r="34">
          <cell r="F34">
            <v>97</v>
          </cell>
        </row>
        <row r="35">
          <cell r="F35">
            <v>30</v>
          </cell>
        </row>
        <row r="36">
          <cell r="F36">
            <v>89</v>
          </cell>
        </row>
        <row r="37">
          <cell r="F37">
            <v>75</v>
          </cell>
        </row>
        <row r="38">
          <cell r="F38">
            <v>49</v>
          </cell>
        </row>
        <row r="39">
          <cell r="F39">
            <v>34</v>
          </cell>
        </row>
        <row r="40">
          <cell r="F40">
            <v>25</v>
          </cell>
        </row>
        <row r="41">
          <cell r="F41">
            <v>30</v>
          </cell>
        </row>
        <row r="42">
          <cell r="F42">
            <v>40</v>
          </cell>
        </row>
        <row r="43">
          <cell r="F43">
            <v>65</v>
          </cell>
        </row>
        <row r="44">
          <cell r="F44">
            <v>52</v>
          </cell>
        </row>
        <row r="45">
          <cell r="F45">
            <v>20</v>
          </cell>
        </row>
        <row r="46">
          <cell r="F46">
            <v>54</v>
          </cell>
        </row>
        <row r="47">
          <cell r="F47">
            <v>32</v>
          </cell>
        </row>
        <row r="48">
          <cell r="F48">
            <v>89</v>
          </cell>
        </row>
        <row r="49">
          <cell r="F49">
            <v>37</v>
          </cell>
        </row>
        <row r="50">
          <cell r="F50">
            <v>47</v>
          </cell>
        </row>
        <row r="51">
          <cell r="F51">
            <v>91</v>
          </cell>
        </row>
        <row r="52">
          <cell r="F52">
            <v>100</v>
          </cell>
        </row>
        <row r="53">
          <cell r="F53">
            <v>74</v>
          </cell>
        </row>
        <row r="54">
          <cell r="F54">
            <v>86</v>
          </cell>
        </row>
        <row r="55">
          <cell r="F55">
            <v>63</v>
          </cell>
        </row>
        <row r="56">
          <cell r="F56">
            <v>93</v>
          </cell>
        </row>
        <row r="57">
          <cell r="F57">
            <v>69</v>
          </cell>
        </row>
        <row r="58">
          <cell r="F58">
            <v>41</v>
          </cell>
        </row>
        <row r="59">
          <cell r="F59">
            <v>76</v>
          </cell>
        </row>
        <row r="60">
          <cell r="F60">
            <v>28</v>
          </cell>
        </row>
        <row r="61">
          <cell r="F61">
            <v>93</v>
          </cell>
        </row>
        <row r="62">
          <cell r="F62">
            <v>81</v>
          </cell>
        </row>
        <row r="63">
          <cell r="F63">
            <v>69</v>
          </cell>
        </row>
        <row r="64">
          <cell r="F64">
            <v>49</v>
          </cell>
        </row>
        <row r="65">
          <cell r="F65">
            <v>59</v>
          </cell>
        </row>
        <row r="66">
          <cell r="F66">
            <v>97</v>
          </cell>
        </row>
        <row r="67">
          <cell r="F67">
            <v>72</v>
          </cell>
        </row>
        <row r="68">
          <cell r="F68">
            <v>23</v>
          </cell>
        </row>
        <row r="69">
          <cell r="F69">
            <v>93</v>
          </cell>
        </row>
        <row r="70">
          <cell r="F70">
            <v>51</v>
          </cell>
        </row>
        <row r="71">
          <cell r="F71">
            <v>20</v>
          </cell>
        </row>
        <row r="72">
          <cell r="F72">
            <v>24</v>
          </cell>
        </row>
        <row r="73">
          <cell r="F73">
            <v>28</v>
          </cell>
        </row>
        <row r="74">
          <cell r="F74">
            <v>42</v>
          </cell>
        </row>
        <row r="75">
          <cell r="F75">
            <v>63</v>
          </cell>
        </row>
        <row r="76">
          <cell r="F76">
            <v>59</v>
          </cell>
        </row>
        <row r="77">
          <cell r="F77">
            <v>72</v>
          </cell>
        </row>
        <row r="78">
          <cell r="F78">
            <v>64</v>
          </cell>
        </row>
        <row r="79">
          <cell r="F79">
            <v>98</v>
          </cell>
        </row>
        <row r="80">
          <cell r="F80">
            <v>50</v>
          </cell>
        </row>
        <row r="81">
          <cell r="F81">
            <v>58</v>
          </cell>
        </row>
        <row r="82">
          <cell r="F82">
            <v>74</v>
          </cell>
        </row>
        <row r="83">
          <cell r="F83">
            <v>30</v>
          </cell>
        </row>
        <row r="84">
          <cell r="F84">
            <v>86</v>
          </cell>
        </row>
        <row r="85">
          <cell r="F85">
            <v>49</v>
          </cell>
        </row>
        <row r="86">
          <cell r="F86">
            <v>56</v>
          </cell>
        </row>
        <row r="87">
          <cell r="F87">
            <v>29</v>
          </cell>
        </row>
        <row r="88">
          <cell r="F88">
            <v>35</v>
          </cell>
        </row>
        <row r="89">
          <cell r="F89">
            <v>70</v>
          </cell>
        </row>
        <row r="90">
          <cell r="F90">
            <v>77</v>
          </cell>
        </row>
        <row r="91">
          <cell r="F91">
            <v>45</v>
          </cell>
        </row>
        <row r="92">
          <cell r="F92">
            <v>73</v>
          </cell>
        </row>
        <row r="93">
          <cell r="F93">
            <v>31</v>
          </cell>
        </row>
        <row r="94">
          <cell r="F94">
            <v>54</v>
          </cell>
        </row>
        <row r="95">
          <cell r="F95">
            <v>96</v>
          </cell>
        </row>
        <row r="96">
          <cell r="F96">
            <v>91</v>
          </cell>
        </row>
        <row r="97">
          <cell r="F97">
            <v>23</v>
          </cell>
        </row>
        <row r="98">
          <cell r="F98">
            <v>100</v>
          </cell>
        </row>
        <row r="99">
          <cell r="F99">
            <v>88</v>
          </cell>
        </row>
        <row r="100">
          <cell r="F100">
            <v>78</v>
          </cell>
        </row>
        <row r="101">
          <cell r="F101">
            <v>56</v>
          </cell>
        </row>
        <row r="102">
          <cell r="F102">
            <v>56</v>
          </cell>
        </row>
        <row r="103">
          <cell r="F103">
            <v>78</v>
          </cell>
        </row>
        <row r="104">
          <cell r="F104">
            <v>98</v>
          </cell>
        </row>
        <row r="105">
          <cell r="F105">
            <v>51</v>
          </cell>
        </row>
        <row r="106">
          <cell r="F106">
            <v>56</v>
          </cell>
        </row>
        <row r="107">
          <cell r="F107">
            <v>82</v>
          </cell>
        </row>
        <row r="108">
          <cell r="F108">
            <v>88</v>
          </cell>
        </row>
        <row r="109">
          <cell r="F109">
            <v>63</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MatrixMultiplication"/>
      <sheetName val="HazardRate1"/>
      <sheetName val="HazardRate2"/>
      <sheetName val="CreditMatrix"/>
      <sheetName val="CreditMatrix_Weighted"/>
      <sheetName val="Loss_FromRanking"/>
    </sheetNames>
    <sheetDataSet>
      <sheetData sheetId="0"/>
      <sheetData sheetId="1"/>
      <sheetData sheetId="2">
        <row r="2">
          <cell r="B2">
            <v>0</v>
          </cell>
        </row>
      </sheetData>
      <sheetData sheetId="3">
        <row r="10">
          <cell r="F10">
            <v>59</v>
          </cell>
        </row>
      </sheetData>
      <sheetData sheetId="4"/>
      <sheetData sheetId="5"/>
      <sheetData sheetId="6"/>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rive.google.com/open?id=0B46op8AajwqfZXZiSWJ4SXlkUEE" TargetMode="External"/><Relationship Id="rId1" Type="http://schemas.openxmlformats.org/officeDocument/2006/relationships/hyperlink" Target="http://www.investopedia.com/terms/c/creditdefaultswap.asp"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drive.google.com/open?id=18GrfADQ-_bv2wncwNWW-j-N1BDTi2Yl2"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drive.google.com/open?id=12KhDUfXwedx9hAtHmrjfB130O0ZhzKYl"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https://apps.ankiweb.net/" TargetMode="External"/><Relationship Id="rId1" Type="http://schemas.openxmlformats.org/officeDocument/2006/relationships/hyperlink" Target="https://drive.google.com/open?id=1vjXVIGVG69olvNwGAHQAOJRwqteuLQ2Z"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12"/>
  <sheetViews>
    <sheetView tabSelected="1" workbookViewId="0"/>
  </sheetViews>
  <sheetFormatPr baseColWidth="10" defaultRowHeight="29" x14ac:dyDescent="0.35"/>
  <cols>
    <col min="1" max="16384" width="10.83203125" style="3"/>
  </cols>
  <sheetData>
    <row r="2" spans="2:3" x14ac:dyDescent="0.35">
      <c r="B2" s="3" t="s">
        <v>149</v>
      </c>
    </row>
    <row r="4" spans="2:3" x14ac:dyDescent="0.35">
      <c r="B4" s="3" t="s">
        <v>419</v>
      </c>
    </row>
    <row r="5" spans="2:3" x14ac:dyDescent="0.35">
      <c r="C5" s="3" t="s">
        <v>421</v>
      </c>
    </row>
    <row r="6" spans="2:3" x14ac:dyDescent="0.35">
      <c r="C6" s="3" t="s">
        <v>420</v>
      </c>
    </row>
    <row r="8" spans="2:3" x14ac:dyDescent="0.35">
      <c r="B8" s="3" t="s">
        <v>370</v>
      </c>
    </row>
    <row r="10" spans="2:3" x14ac:dyDescent="0.35">
      <c r="B10" s="3" t="s">
        <v>371</v>
      </c>
    </row>
    <row r="12" spans="2:3" x14ac:dyDescent="0.35">
      <c r="B12" s="3" t="s">
        <v>372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DC6AC-F490-DF46-8F9A-480D7426B4DA}">
  <sheetPr>
    <tabColor rgb="FFFF0000"/>
  </sheetPr>
  <dimension ref="A1:T14"/>
  <sheetViews>
    <sheetView zoomScaleNormal="100" workbookViewId="0">
      <selection activeCell="A3" sqref="A3"/>
    </sheetView>
  </sheetViews>
  <sheetFormatPr baseColWidth="10" defaultRowHeight="29" x14ac:dyDescent="0.35"/>
  <cols>
    <col min="1" max="16384" width="10.83203125" style="237"/>
  </cols>
  <sheetData>
    <row r="1" spans="1:20" x14ac:dyDescent="0.35">
      <c r="A1" s="238" t="s">
        <v>383</v>
      </c>
    </row>
    <row r="2" spans="1:20" x14ac:dyDescent="0.35">
      <c r="B2" s="237" t="s">
        <v>384</v>
      </c>
    </row>
    <row r="4" spans="1:20" x14ac:dyDescent="0.35">
      <c r="C4" s="237" t="s">
        <v>385</v>
      </c>
      <c r="T4"/>
    </row>
    <row r="5" spans="1:20" x14ac:dyDescent="0.35">
      <c r="C5" s="237" t="s">
        <v>386</v>
      </c>
    </row>
    <row r="7" spans="1:20" x14ac:dyDescent="0.35">
      <c r="C7" s="237" t="s">
        <v>387</v>
      </c>
    </row>
    <row r="9" spans="1:20" x14ac:dyDescent="0.35">
      <c r="C9" s="237" t="s">
        <v>388</v>
      </c>
      <c r="R9" s="257" t="s">
        <v>422</v>
      </c>
    </row>
    <row r="11" spans="1:20" x14ac:dyDescent="0.35">
      <c r="C11" s="237" t="s">
        <v>389</v>
      </c>
    </row>
    <row r="12" spans="1:20" x14ac:dyDescent="0.35">
      <c r="D12" s="237" t="s">
        <v>390</v>
      </c>
    </row>
    <row r="14" spans="1:20" x14ac:dyDescent="0.35">
      <c r="C14" s="239" t="s">
        <v>391</v>
      </c>
    </row>
  </sheetData>
  <hyperlinks>
    <hyperlink ref="C14" r:id="rId1" xr:uid="{BDB0FC3C-CA4E-EF47-B6B9-7D61A06E320C}"/>
    <hyperlink ref="A1" r:id="rId2" xr:uid="{9881166E-B32E-0345-A3B2-AB7BB8BC866B}"/>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97E0F-DF8E-B04D-918E-119C9775A33C}">
  <sheetPr>
    <tabColor rgb="FFC00000"/>
  </sheetPr>
  <dimension ref="A1:F18"/>
  <sheetViews>
    <sheetView workbookViewId="0"/>
  </sheetViews>
  <sheetFormatPr baseColWidth="10" defaultRowHeight="92" x14ac:dyDescent="1"/>
  <cols>
    <col min="1" max="16384" width="10.83203125" style="259"/>
  </cols>
  <sheetData>
    <row r="1" spans="1:2" x14ac:dyDescent="1">
      <c r="A1" s="258" t="s">
        <v>424</v>
      </c>
    </row>
    <row r="2" spans="1:2" x14ac:dyDescent="1">
      <c r="B2" s="259" t="s">
        <v>425</v>
      </c>
    </row>
    <row r="4" spans="1:2" x14ac:dyDescent="1">
      <c r="B4" s="259" t="s">
        <v>426</v>
      </c>
    </row>
    <row r="6" spans="1:2" x14ac:dyDescent="1">
      <c r="B6" s="259" t="s">
        <v>427</v>
      </c>
    </row>
    <row r="18" spans="2:6" x14ac:dyDescent="1">
      <c r="B18" s="260"/>
      <c r="C18" s="260"/>
      <c r="D18" s="260"/>
      <c r="E18" s="260"/>
      <c r="F18" s="26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40CDB-6362-AB40-8780-252ED933DF0B}">
  <sheetPr>
    <tabColor rgb="FFFF0000"/>
  </sheetPr>
  <dimension ref="A1:V37"/>
  <sheetViews>
    <sheetView workbookViewId="0"/>
  </sheetViews>
  <sheetFormatPr baseColWidth="10" defaultColWidth="8.83203125" defaultRowHeight="15" x14ac:dyDescent="0.2"/>
  <cols>
    <col min="1" max="1" width="8.83203125" style="241"/>
    <col min="2" max="2" width="14.5" style="241" customWidth="1"/>
    <col min="3" max="3" width="11.1640625" style="241" bestFit="1" customWidth="1"/>
    <col min="4" max="6" width="8.83203125" style="241"/>
    <col min="7" max="7" width="10.1640625" style="241" bestFit="1" customWidth="1"/>
    <col min="8" max="16384" width="8.83203125" style="241"/>
  </cols>
  <sheetData>
    <row r="1" spans="1:10" ht="26" x14ac:dyDescent="0.3">
      <c r="A1" s="261" t="s">
        <v>428</v>
      </c>
    </row>
    <row r="2" spans="1:10" ht="47" x14ac:dyDescent="0.55000000000000004">
      <c r="B2" s="240" t="s">
        <v>392</v>
      </c>
    </row>
    <row r="4" spans="1:10" x14ac:dyDescent="0.2">
      <c r="B4" s="241" t="s">
        <v>393</v>
      </c>
    </row>
    <row r="5" spans="1:10" x14ac:dyDescent="0.2">
      <c r="B5" s="241" t="s">
        <v>394</v>
      </c>
    </row>
    <row r="6" spans="1:10" x14ac:dyDescent="0.2">
      <c r="B6" s="241" t="s">
        <v>395</v>
      </c>
    </row>
    <row r="9" spans="1:10" x14ac:dyDescent="0.2">
      <c r="B9" s="241" t="s">
        <v>396</v>
      </c>
      <c r="C9" s="241">
        <v>100</v>
      </c>
      <c r="F9" s="245" t="s">
        <v>406</v>
      </c>
      <c r="G9" s="245" t="s">
        <v>407</v>
      </c>
      <c r="H9" s="245" t="s">
        <v>408</v>
      </c>
      <c r="I9" s="245" t="s">
        <v>409</v>
      </c>
      <c r="J9" s="245" t="s">
        <v>410</v>
      </c>
    </row>
    <row r="10" spans="1:10" x14ac:dyDescent="0.2">
      <c r="B10" s="241" t="s">
        <v>397</v>
      </c>
      <c r="C10" s="242">
        <v>0.06</v>
      </c>
      <c r="F10" s="241">
        <v>1</v>
      </c>
      <c r="G10" s="241">
        <v>0.5</v>
      </c>
      <c r="H10" s="241">
        <f t="shared" ref="H10:H18" si="0">CouponPmt</f>
        <v>3</v>
      </c>
      <c r="I10" s="255">
        <f t="shared" ref="I10:I19" si="1">EXP(-YTM/Frequency*Period)</f>
        <v>0.96560541625756646</v>
      </c>
      <c r="J10" s="255">
        <f t="shared" ref="J10:J19" si="2">EXP(-YTM_rf/Frequency*Period)</f>
        <v>0.97530991202833262</v>
      </c>
    </row>
    <row r="11" spans="1:10" x14ac:dyDescent="0.2">
      <c r="B11" s="241" t="s">
        <v>398</v>
      </c>
      <c r="C11" s="241">
        <v>2</v>
      </c>
      <c r="F11" s="241">
        <v>2</v>
      </c>
      <c r="G11" s="241">
        <v>1</v>
      </c>
      <c r="H11" s="241">
        <f t="shared" si="0"/>
        <v>3</v>
      </c>
      <c r="I11" s="255">
        <f t="shared" si="1"/>
        <v>0.93239381990594827</v>
      </c>
      <c r="J11" s="255">
        <f t="shared" si="2"/>
        <v>0.95122942450071402</v>
      </c>
    </row>
    <row r="12" spans="1:10" x14ac:dyDescent="0.2">
      <c r="B12" s="241" t="s">
        <v>399</v>
      </c>
      <c r="C12" s="241">
        <v>5</v>
      </c>
      <c r="F12" s="241">
        <v>3</v>
      </c>
      <c r="G12" s="241">
        <v>1.5</v>
      </c>
      <c r="H12" s="241">
        <f t="shared" si="0"/>
        <v>3</v>
      </c>
      <c r="I12" s="255">
        <f t="shared" si="1"/>
        <v>0.90032452258626561</v>
      </c>
      <c r="J12" s="255">
        <f t="shared" si="2"/>
        <v>0.92774348632855286</v>
      </c>
    </row>
    <row r="13" spans="1:10" x14ac:dyDescent="0.2">
      <c r="B13" s="241" t="s">
        <v>400</v>
      </c>
      <c r="C13" s="242">
        <v>7.0000000000000007E-2</v>
      </c>
      <c r="F13" s="241">
        <v>4</v>
      </c>
      <c r="G13" s="241">
        <v>2</v>
      </c>
      <c r="H13" s="241">
        <f t="shared" si="0"/>
        <v>3</v>
      </c>
      <c r="I13" s="255">
        <f t="shared" si="1"/>
        <v>0.86935823539880586</v>
      </c>
      <c r="J13" s="255">
        <f t="shared" si="2"/>
        <v>0.90483741803595952</v>
      </c>
    </row>
    <row r="14" spans="1:10" x14ac:dyDescent="0.2">
      <c r="B14" s="241" t="s">
        <v>401</v>
      </c>
      <c r="C14" s="242">
        <v>0.05</v>
      </c>
      <c r="F14" s="241">
        <v>5</v>
      </c>
      <c r="G14" s="241">
        <v>2.5</v>
      </c>
      <c r="H14" s="241">
        <f t="shared" si="0"/>
        <v>3</v>
      </c>
      <c r="I14" s="255">
        <f t="shared" si="1"/>
        <v>0.83945702076920736</v>
      </c>
      <c r="J14" s="255">
        <f t="shared" si="2"/>
        <v>0.88249690258459546</v>
      </c>
    </row>
    <row r="15" spans="1:10" x14ac:dyDescent="0.2">
      <c r="B15" s="241" t="s">
        <v>402</v>
      </c>
      <c r="C15" s="241">
        <f>Face*CouponRate/Frequency</f>
        <v>3</v>
      </c>
      <c r="F15" s="241">
        <v>6</v>
      </c>
      <c r="G15" s="241">
        <v>3</v>
      </c>
      <c r="H15" s="241">
        <f t="shared" si="0"/>
        <v>3</v>
      </c>
      <c r="I15" s="255">
        <f t="shared" si="1"/>
        <v>0.81058424597018708</v>
      </c>
      <c r="J15" s="255">
        <f t="shared" si="2"/>
        <v>0.86070797642505781</v>
      </c>
    </row>
    <row r="16" spans="1:10" x14ac:dyDescent="0.2">
      <c r="B16" s="241" t="s">
        <v>403</v>
      </c>
      <c r="C16" s="243">
        <f t="array" ref="C16">SUM(pmt*pv)</f>
        <v>95.340874485591371</v>
      </c>
      <c r="F16" s="241">
        <v>7</v>
      </c>
      <c r="G16" s="241">
        <v>3.5</v>
      </c>
      <c r="H16" s="241">
        <f t="shared" si="0"/>
        <v>3</v>
      </c>
      <c r="I16" s="255">
        <f t="shared" si="1"/>
        <v>0.78270453824186814</v>
      </c>
      <c r="J16" s="255">
        <f t="shared" si="2"/>
        <v>0.83945702076920736</v>
      </c>
    </row>
    <row r="17" spans="2:22" x14ac:dyDescent="0.2">
      <c r="B17" s="241" t="s">
        <v>404</v>
      </c>
      <c r="C17" s="243" cm="1">
        <f t="array" ref="C17">SUM(pmt*pv_rf)</f>
        <v>104.09356799388404</v>
      </c>
      <c r="F17" s="241">
        <v>8</v>
      </c>
      <c r="G17" s="241">
        <v>4</v>
      </c>
      <c r="H17" s="241">
        <f t="shared" si="0"/>
        <v>3</v>
      </c>
      <c r="I17" s="255">
        <f t="shared" si="1"/>
        <v>0.75578374145572547</v>
      </c>
      <c r="J17" s="255">
        <f t="shared" si="2"/>
        <v>0.81873075307798182</v>
      </c>
    </row>
    <row r="18" spans="2:22" x14ac:dyDescent="0.2">
      <c r="B18" s="241" t="s">
        <v>405</v>
      </c>
      <c r="C18" s="244">
        <f>C17-C16</f>
        <v>8.7526935082926656</v>
      </c>
      <c r="F18" s="241">
        <v>9</v>
      </c>
      <c r="G18" s="241">
        <v>4.5</v>
      </c>
      <c r="H18" s="241">
        <f t="shared" si="0"/>
        <v>3</v>
      </c>
      <c r="I18" s="255">
        <f t="shared" si="1"/>
        <v>0.72978887426905681</v>
      </c>
      <c r="J18" s="255">
        <f t="shared" si="2"/>
        <v>0.79851621875937706</v>
      </c>
    </row>
    <row r="19" spans="2:22" x14ac:dyDescent="0.2">
      <c r="F19" s="241">
        <v>10</v>
      </c>
      <c r="G19" s="241">
        <v>5</v>
      </c>
      <c r="H19" s="241">
        <f>CouponPmt+Face</f>
        <v>103</v>
      </c>
      <c r="I19" s="255">
        <f t="shared" si="1"/>
        <v>0.70468808971871344</v>
      </c>
      <c r="J19" s="255">
        <f t="shared" si="2"/>
        <v>0.77880078307140488</v>
      </c>
    </row>
    <row r="24" spans="2:22" s="245" customFormat="1" x14ac:dyDescent="0.2">
      <c r="B24" s="245" t="s">
        <v>411</v>
      </c>
      <c r="C24" s="245" t="s">
        <v>412</v>
      </c>
      <c r="M24" s="245" t="s">
        <v>423</v>
      </c>
    </row>
    <row r="25" spans="2:22" x14ac:dyDescent="0.2">
      <c r="B25" s="241">
        <v>0.5</v>
      </c>
      <c r="C25" s="246">
        <f>5-B25</f>
        <v>4.5</v>
      </c>
      <c r="D25" s="247">
        <f t="shared" ref="D25:L29" si="3">MAX(C25-0.5,0)</f>
        <v>4</v>
      </c>
      <c r="E25" s="247">
        <f t="shared" si="3"/>
        <v>3.5</v>
      </c>
      <c r="F25" s="247">
        <f t="shared" si="3"/>
        <v>3</v>
      </c>
      <c r="G25" s="247">
        <f t="shared" si="3"/>
        <v>2.5</v>
      </c>
      <c r="H25" s="247">
        <f t="shared" si="3"/>
        <v>2</v>
      </c>
      <c r="I25" s="247">
        <f t="shared" si="3"/>
        <v>1.5</v>
      </c>
      <c r="J25" s="247">
        <f t="shared" si="3"/>
        <v>1</v>
      </c>
      <c r="K25" s="247">
        <f t="shared" si="3"/>
        <v>0.5</v>
      </c>
      <c r="L25" s="247">
        <f t="shared" si="3"/>
        <v>0</v>
      </c>
      <c r="M25" s="246">
        <f>IF(D32=0,0,EXP(-YTM_rf*C25))</f>
        <v>0.79851621875937706</v>
      </c>
      <c r="N25" s="247">
        <f t="shared" ref="N25:V29" si="4">IF(C25=0,0,EXP(-YTM_rf*D25))</f>
        <v>0.81873075307798182</v>
      </c>
      <c r="O25" s="247">
        <f t="shared" si="4"/>
        <v>0.83945702076920736</v>
      </c>
      <c r="P25" s="247">
        <f t="shared" si="4"/>
        <v>0.86070797642505781</v>
      </c>
      <c r="Q25" s="247">
        <f t="shared" si="4"/>
        <v>0.88249690258459546</v>
      </c>
      <c r="R25" s="247">
        <f t="shared" si="4"/>
        <v>0.90483741803595952</v>
      </c>
      <c r="S25" s="247">
        <f t="shared" si="4"/>
        <v>0.92774348632855286</v>
      </c>
      <c r="T25" s="247">
        <f t="shared" si="4"/>
        <v>0.95122942450071402</v>
      </c>
      <c r="U25" s="247">
        <f t="shared" si="4"/>
        <v>0.97530991202833262</v>
      </c>
      <c r="V25" s="248">
        <f>IF(K25=0,0,EXP(-YTM_rf*L25))</f>
        <v>1</v>
      </c>
    </row>
    <row r="26" spans="2:22" x14ac:dyDescent="0.2">
      <c r="B26" s="241">
        <v>1.5</v>
      </c>
      <c r="C26" s="249">
        <f>5-B26</f>
        <v>3.5</v>
      </c>
      <c r="D26" s="241">
        <f t="shared" si="3"/>
        <v>3</v>
      </c>
      <c r="E26" s="241">
        <f t="shared" si="3"/>
        <v>2.5</v>
      </c>
      <c r="F26" s="241">
        <f t="shared" si="3"/>
        <v>2</v>
      </c>
      <c r="G26" s="241">
        <f t="shared" si="3"/>
        <v>1.5</v>
      </c>
      <c r="H26" s="241">
        <f t="shared" si="3"/>
        <v>1</v>
      </c>
      <c r="I26" s="241">
        <f t="shared" si="3"/>
        <v>0.5</v>
      </c>
      <c r="J26" s="241">
        <f t="shared" si="3"/>
        <v>0</v>
      </c>
      <c r="K26" s="241">
        <f t="shared" si="3"/>
        <v>0</v>
      </c>
      <c r="L26" s="241">
        <f t="shared" si="3"/>
        <v>0</v>
      </c>
      <c r="M26" s="249">
        <f>IF(D33=0,0,EXP(-YTM_rf*C26))</f>
        <v>0.83945702076920736</v>
      </c>
      <c r="N26" s="241">
        <f t="shared" si="4"/>
        <v>0.86070797642505781</v>
      </c>
      <c r="O26" s="241">
        <f t="shared" si="4"/>
        <v>0.88249690258459546</v>
      </c>
      <c r="P26" s="241">
        <f t="shared" si="4"/>
        <v>0.90483741803595952</v>
      </c>
      <c r="Q26" s="241">
        <f t="shared" si="4"/>
        <v>0.92774348632855286</v>
      </c>
      <c r="R26" s="241">
        <f t="shared" si="4"/>
        <v>0.95122942450071402</v>
      </c>
      <c r="S26" s="241">
        <f t="shared" si="4"/>
        <v>0.97530991202833262</v>
      </c>
      <c r="T26" s="241">
        <f t="shared" si="4"/>
        <v>1</v>
      </c>
      <c r="U26" s="241">
        <f t="shared" si="4"/>
        <v>0</v>
      </c>
      <c r="V26" s="250">
        <f t="shared" si="4"/>
        <v>0</v>
      </c>
    </row>
    <row r="27" spans="2:22" x14ac:dyDescent="0.2">
      <c r="B27" s="241">
        <v>2.5</v>
      </c>
      <c r="C27" s="249">
        <f>5-B27</f>
        <v>2.5</v>
      </c>
      <c r="D27" s="241">
        <f t="shared" si="3"/>
        <v>2</v>
      </c>
      <c r="E27" s="241">
        <f t="shared" si="3"/>
        <v>1.5</v>
      </c>
      <c r="F27" s="241">
        <f t="shared" si="3"/>
        <v>1</v>
      </c>
      <c r="G27" s="241">
        <f t="shared" si="3"/>
        <v>0.5</v>
      </c>
      <c r="H27" s="241">
        <f t="shared" si="3"/>
        <v>0</v>
      </c>
      <c r="I27" s="241">
        <f t="shared" si="3"/>
        <v>0</v>
      </c>
      <c r="J27" s="241">
        <f t="shared" si="3"/>
        <v>0</v>
      </c>
      <c r="K27" s="241">
        <f t="shared" si="3"/>
        <v>0</v>
      </c>
      <c r="L27" s="241">
        <f t="shared" si="3"/>
        <v>0</v>
      </c>
      <c r="M27" s="249">
        <f>IF(D34=0,0,EXP(-YTM_rf*C27))</f>
        <v>0.88249690258459546</v>
      </c>
      <c r="N27" s="241">
        <f t="shared" si="4"/>
        <v>0.90483741803595952</v>
      </c>
      <c r="O27" s="241">
        <f t="shared" si="4"/>
        <v>0.92774348632855286</v>
      </c>
      <c r="P27" s="241">
        <f t="shared" si="4"/>
        <v>0.95122942450071402</v>
      </c>
      <c r="Q27" s="241">
        <f t="shared" si="4"/>
        <v>0.97530991202833262</v>
      </c>
      <c r="R27" s="241">
        <f t="shared" si="4"/>
        <v>1</v>
      </c>
      <c r="S27" s="241">
        <f t="shared" si="4"/>
        <v>0</v>
      </c>
      <c r="T27" s="241">
        <f t="shared" si="4"/>
        <v>0</v>
      </c>
      <c r="U27" s="241">
        <f t="shared" si="4"/>
        <v>0</v>
      </c>
      <c r="V27" s="250">
        <f t="shared" si="4"/>
        <v>0</v>
      </c>
    </row>
    <row r="28" spans="2:22" x14ac:dyDescent="0.2">
      <c r="B28" s="241">
        <v>3.5</v>
      </c>
      <c r="C28" s="249">
        <f>5-B28</f>
        <v>1.5</v>
      </c>
      <c r="D28" s="241">
        <f t="shared" si="3"/>
        <v>1</v>
      </c>
      <c r="E28" s="241">
        <f t="shared" si="3"/>
        <v>0.5</v>
      </c>
      <c r="F28" s="241">
        <f t="shared" si="3"/>
        <v>0</v>
      </c>
      <c r="G28" s="241">
        <f t="shared" si="3"/>
        <v>0</v>
      </c>
      <c r="H28" s="241">
        <f t="shared" si="3"/>
        <v>0</v>
      </c>
      <c r="I28" s="241">
        <f t="shared" si="3"/>
        <v>0</v>
      </c>
      <c r="J28" s="241">
        <f t="shared" si="3"/>
        <v>0</v>
      </c>
      <c r="K28" s="241">
        <f t="shared" si="3"/>
        <v>0</v>
      </c>
      <c r="L28" s="241">
        <f t="shared" si="3"/>
        <v>0</v>
      </c>
      <c r="M28" s="249">
        <f>IF(D35=0,0,EXP(-YTM_rf*C28))</f>
        <v>0.92774348632855286</v>
      </c>
      <c r="N28" s="241">
        <f t="shared" si="4"/>
        <v>0.95122942450071402</v>
      </c>
      <c r="O28" s="241">
        <f t="shared" si="4"/>
        <v>0.97530991202833262</v>
      </c>
      <c r="P28" s="241">
        <f t="shared" si="4"/>
        <v>1</v>
      </c>
      <c r="Q28" s="241">
        <f t="shared" si="4"/>
        <v>0</v>
      </c>
      <c r="R28" s="241">
        <f t="shared" si="4"/>
        <v>0</v>
      </c>
      <c r="S28" s="241">
        <f t="shared" si="4"/>
        <v>0</v>
      </c>
      <c r="T28" s="241">
        <f t="shared" si="4"/>
        <v>0</v>
      </c>
      <c r="U28" s="241">
        <f t="shared" si="4"/>
        <v>0</v>
      </c>
      <c r="V28" s="250">
        <f t="shared" si="4"/>
        <v>0</v>
      </c>
    </row>
    <row r="29" spans="2:22" x14ac:dyDescent="0.2">
      <c r="B29" s="241">
        <v>4.5</v>
      </c>
      <c r="C29" s="251">
        <f>5-B29</f>
        <v>0.5</v>
      </c>
      <c r="D29" s="252">
        <f t="shared" si="3"/>
        <v>0</v>
      </c>
      <c r="E29" s="252">
        <f t="shared" si="3"/>
        <v>0</v>
      </c>
      <c r="F29" s="252">
        <f t="shared" si="3"/>
        <v>0</v>
      </c>
      <c r="G29" s="252">
        <f t="shared" si="3"/>
        <v>0</v>
      </c>
      <c r="H29" s="252">
        <f t="shared" si="3"/>
        <v>0</v>
      </c>
      <c r="I29" s="252">
        <f t="shared" si="3"/>
        <v>0</v>
      </c>
      <c r="J29" s="252">
        <f t="shared" si="3"/>
        <v>0</v>
      </c>
      <c r="K29" s="252">
        <f t="shared" si="3"/>
        <v>0</v>
      </c>
      <c r="L29" s="252">
        <f t="shared" si="3"/>
        <v>0</v>
      </c>
      <c r="M29" s="251">
        <f>IF(D36=0,0,EXP(-YTM_rf*C29))</f>
        <v>0.97530991202833262</v>
      </c>
      <c r="N29" s="252">
        <f t="shared" si="4"/>
        <v>1</v>
      </c>
      <c r="O29" s="252">
        <f t="shared" si="4"/>
        <v>0</v>
      </c>
      <c r="P29" s="252">
        <f t="shared" si="4"/>
        <v>0</v>
      </c>
      <c r="Q29" s="252">
        <f t="shared" si="4"/>
        <v>0</v>
      </c>
      <c r="R29" s="252">
        <f t="shared" si="4"/>
        <v>0</v>
      </c>
      <c r="S29" s="252">
        <f t="shared" si="4"/>
        <v>0</v>
      </c>
      <c r="T29" s="252">
        <f t="shared" si="4"/>
        <v>0</v>
      </c>
      <c r="U29" s="252">
        <f t="shared" si="4"/>
        <v>0</v>
      </c>
      <c r="V29" s="253">
        <f t="shared" si="4"/>
        <v>0</v>
      </c>
    </row>
    <row r="31" spans="2:22" s="245" customFormat="1" x14ac:dyDescent="0.2">
      <c r="B31" s="245" t="s">
        <v>413</v>
      </c>
      <c r="C31" s="245" t="s">
        <v>414</v>
      </c>
      <c r="D31" s="245" t="s">
        <v>415</v>
      </c>
      <c r="E31" s="245" t="s">
        <v>416</v>
      </c>
      <c r="F31" s="245" t="s">
        <v>417</v>
      </c>
      <c r="G31" s="245" t="s">
        <v>418</v>
      </c>
      <c r="I31" s="245" t="s">
        <v>263</v>
      </c>
    </row>
    <row r="32" spans="2:22" x14ac:dyDescent="0.2">
      <c r="B32" s="241">
        <v>0.5</v>
      </c>
      <c r="C32" s="254">
        <f>SUM(M25:V25)*CouponPmt+100*M25</f>
        <v>106.72870921346704</v>
      </c>
      <c r="D32" s="241">
        <v>40</v>
      </c>
      <c r="E32" s="254">
        <f>value_rf_-Recovery</f>
        <v>66.728709213467042</v>
      </c>
      <c r="F32" s="255">
        <f>EXP(-YTM_rf*Time_)</f>
        <v>0.97530991202833262</v>
      </c>
      <c r="G32" s="255">
        <f>Loss*pv_rf_</f>
        <v>65.081171512750728</v>
      </c>
      <c r="I32" s="256">
        <f>Eloss/lossAmount</f>
        <v>3.0340581191964006E-2</v>
      </c>
    </row>
    <row r="33" spans="2:7" x14ac:dyDescent="0.2">
      <c r="B33" s="241">
        <v>1.5</v>
      </c>
      <c r="C33" s="254">
        <f>SUM(M26:V26)*CouponPmt+100*M26</f>
        <v>105.97104849893799</v>
      </c>
      <c r="D33" s="241">
        <v>40</v>
      </c>
      <c r="E33" s="254">
        <f>value_rf_-Recovery</f>
        <v>65.971048498937989</v>
      </c>
      <c r="F33" s="255">
        <f>EXP(-YTM_rf*Time_)</f>
        <v>0.92774348632855286</v>
      </c>
      <c r="G33" s="255">
        <f>Loss*pv_rf_</f>
        <v>61.204210531154772</v>
      </c>
    </row>
    <row r="34" spans="2:7" x14ac:dyDescent="0.2">
      <c r="B34" s="241">
        <v>2.5</v>
      </c>
      <c r="C34" s="254">
        <f>SUM(M27:V27)*CouponPmt+100*M27</f>
        <v>105.17454168889401</v>
      </c>
      <c r="D34" s="241">
        <v>40</v>
      </c>
      <c r="E34" s="254">
        <f>value_rf_-Recovery</f>
        <v>65.17454168889401</v>
      </c>
      <c r="F34" s="255">
        <f>EXP(-YTM_rf*Time_)</f>
        <v>0.88249690258459546</v>
      </c>
      <c r="G34" s="255">
        <f>Loss*pv_rf_</f>
        <v>57.516331167819551</v>
      </c>
    </row>
    <row r="35" spans="2:7" x14ac:dyDescent="0.2">
      <c r="B35" s="241">
        <v>3.5</v>
      </c>
      <c r="C35" s="254">
        <f>SUM(M28:V28)*CouponPmt+100*M28</f>
        <v>104.33719710142807</v>
      </c>
      <c r="D35" s="241">
        <v>40</v>
      </c>
      <c r="E35" s="254">
        <f>value_rf_-Recovery</f>
        <v>64.337197101428075</v>
      </c>
      <c r="F35" s="255">
        <f>EXP(-YTM_rf*Time_)</f>
        <v>0.83945702076920736</v>
      </c>
      <c r="G35" s="255">
        <f>Loss*pv_rf_</f>
        <v>54.008311803406094</v>
      </c>
    </row>
    <row r="36" spans="2:7" x14ac:dyDescent="0.2">
      <c r="B36" s="241">
        <v>4.5</v>
      </c>
      <c r="C36" s="254">
        <f>SUM(M29:V29)*CouponPmt+100*M29</f>
        <v>103.45692093891826</v>
      </c>
      <c r="D36" s="241">
        <v>40</v>
      </c>
      <c r="E36" s="254">
        <f>value_rf_-Recovery</f>
        <v>63.456920938918259</v>
      </c>
      <c r="F36" s="255">
        <f>EXP(-YTM_rf*Time_)</f>
        <v>0.79851621875937706</v>
      </c>
      <c r="G36" s="255">
        <f>Loss*pv_rf_</f>
        <v>50.671380562257745</v>
      </c>
    </row>
    <row r="37" spans="2:7" x14ac:dyDescent="0.2">
      <c r="G37" s="254">
        <f>SUM(G32:G36)</f>
        <v>288.4814055773889</v>
      </c>
    </row>
  </sheetData>
  <hyperlinks>
    <hyperlink ref="A1" r:id="rId1" display="Video" xr:uid="{67ACFEB6-73AE-7D4B-86BB-3DA603E3F2B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BBE66-41F4-4B47-B7BA-C32CDF40B16B}">
  <sheetPr>
    <tabColor rgb="FFFF0000"/>
  </sheetPr>
  <dimension ref="B3:Q109"/>
  <sheetViews>
    <sheetView workbookViewId="0"/>
  </sheetViews>
  <sheetFormatPr baseColWidth="10" defaultColWidth="8.83203125" defaultRowHeight="15" x14ac:dyDescent="0.2"/>
  <cols>
    <col min="1" max="1" width="8.83203125" style="4"/>
    <col min="2" max="2" width="11.33203125" style="4" bestFit="1" customWidth="1"/>
    <col min="3" max="3" width="11.33203125" style="4" customWidth="1"/>
    <col min="4" max="4" width="10" style="4" bestFit="1" customWidth="1"/>
    <col min="5" max="5" width="9.1640625" style="4" customWidth="1"/>
    <col min="6" max="7" width="8.1640625" style="4" customWidth="1"/>
    <col min="8" max="8" width="7" style="4" customWidth="1"/>
    <col min="9" max="16384" width="8.83203125" style="4"/>
  </cols>
  <sheetData>
    <row r="3" spans="2:16" ht="29" x14ac:dyDescent="0.35">
      <c r="B3" s="31" t="s">
        <v>135</v>
      </c>
    </row>
    <row r="8" spans="2:16" x14ac:dyDescent="0.2">
      <c r="I8" s="24" t="s">
        <v>134</v>
      </c>
      <c r="J8" s="24"/>
      <c r="K8" s="24"/>
      <c r="L8" s="24"/>
      <c r="M8" s="24"/>
      <c r="N8" s="24"/>
      <c r="O8" s="24"/>
      <c r="P8" s="8"/>
    </row>
    <row r="9" spans="2:16" x14ac:dyDescent="0.2">
      <c r="B9" s="4" t="s">
        <v>133</v>
      </c>
      <c r="C9" s="4" t="s">
        <v>132</v>
      </c>
      <c r="D9" s="4" t="s">
        <v>131</v>
      </c>
      <c r="E9" s="4" t="s">
        <v>130</v>
      </c>
      <c r="I9" s="24"/>
      <c r="J9" s="30" t="s">
        <v>23</v>
      </c>
      <c r="K9" s="30" t="s">
        <v>36</v>
      </c>
      <c r="L9" s="30" t="s">
        <v>21</v>
      </c>
      <c r="M9" s="30" t="s">
        <v>20</v>
      </c>
      <c r="N9" s="30" t="s">
        <v>31</v>
      </c>
      <c r="O9" s="30" t="s">
        <v>27</v>
      </c>
      <c r="P9" s="8"/>
    </row>
    <row r="10" spans="2:16" x14ac:dyDescent="0.2">
      <c r="B10" s="4" t="s">
        <v>129</v>
      </c>
      <c r="C10" s="4">
        <v>0.87837986396496903</v>
      </c>
      <c r="D10" s="4" t="s">
        <v>31</v>
      </c>
      <c r="E10" s="4" t="s">
        <v>27</v>
      </c>
      <c r="I10" s="24" t="s">
        <v>23</v>
      </c>
      <c r="J10" s="29">
        <f t="shared" ref="J10:O15" si="0">COUNTIFS(RatingLast,$I10,RatingNow,J$9)</f>
        <v>7</v>
      </c>
      <c r="K10" s="28">
        <f t="shared" si="0"/>
        <v>4</v>
      </c>
      <c r="L10" s="28">
        <f t="shared" si="0"/>
        <v>2</v>
      </c>
      <c r="M10" s="28">
        <f t="shared" si="0"/>
        <v>0</v>
      </c>
      <c r="N10" s="28">
        <f t="shared" si="0"/>
        <v>0</v>
      </c>
      <c r="O10" s="27">
        <f t="shared" si="0"/>
        <v>0</v>
      </c>
      <c r="P10" s="8"/>
    </row>
    <row r="11" spans="2:16" x14ac:dyDescent="0.2">
      <c r="B11" s="4" t="s">
        <v>128</v>
      </c>
      <c r="C11" s="4">
        <v>0.86778592575709479</v>
      </c>
      <c r="D11" s="4" t="s">
        <v>31</v>
      </c>
      <c r="E11" s="4" t="s">
        <v>31</v>
      </c>
      <c r="I11" s="24" t="s">
        <v>36</v>
      </c>
      <c r="J11" s="26">
        <f t="shared" si="0"/>
        <v>2</v>
      </c>
      <c r="K11" s="24">
        <f t="shared" si="0"/>
        <v>11</v>
      </c>
      <c r="L11" s="24">
        <f t="shared" si="0"/>
        <v>6</v>
      </c>
      <c r="M11" s="24">
        <f t="shared" si="0"/>
        <v>2</v>
      </c>
      <c r="N11" s="24">
        <f t="shared" si="0"/>
        <v>0</v>
      </c>
      <c r="O11" s="25">
        <f t="shared" si="0"/>
        <v>0</v>
      </c>
      <c r="P11" s="8"/>
    </row>
    <row r="12" spans="2:16" x14ac:dyDescent="0.2">
      <c r="B12" s="4" t="s">
        <v>127</v>
      </c>
      <c r="C12" s="4">
        <v>0.52119145596927485</v>
      </c>
      <c r="D12" s="4" t="s">
        <v>21</v>
      </c>
      <c r="E12" s="4" t="s">
        <v>20</v>
      </c>
      <c r="I12" s="24" t="s">
        <v>21</v>
      </c>
      <c r="J12" s="26">
        <f t="shared" si="0"/>
        <v>0</v>
      </c>
      <c r="K12" s="24">
        <f t="shared" si="0"/>
        <v>2</v>
      </c>
      <c r="L12" s="24">
        <f t="shared" si="0"/>
        <v>4</v>
      </c>
      <c r="M12" s="24">
        <f t="shared" si="0"/>
        <v>9</v>
      </c>
      <c r="N12" s="24">
        <f t="shared" si="0"/>
        <v>6</v>
      </c>
      <c r="O12" s="25">
        <f t="shared" si="0"/>
        <v>0</v>
      </c>
      <c r="P12" s="8"/>
    </row>
    <row r="13" spans="2:16" x14ac:dyDescent="0.2">
      <c r="B13" s="4" t="s">
        <v>126</v>
      </c>
      <c r="C13" s="4">
        <v>0.84786367665154105</v>
      </c>
      <c r="D13" s="4" t="s">
        <v>31</v>
      </c>
      <c r="E13" s="4" t="s">
        <v>27</v>
      </c>
      <c r="I13" s="24" t="s">
        <v>20</v>
      </c>
      <c r="J13" s="26">
        <f t="shared" si="0"/>
        <v>0</v>
      </c>
      <c r="K13" s="24">
        <f t="shared" si="0"/>
        <v>0</v>
      </c>
      <c r="L13" s="24">
        <f t="shared" si="0"/>
        <v>2</v>
      </c>
      <c r="M13" s="24">
        <f t="shared" si="0"/>
        <v>8</v>
      </c>
      <c r="N13" s="24">
        <f t="shared" si="0"/>
        <v>7</v>
      </c>
      <c r="O13" s="25">
        <f t="shared" si="0"/>
        <v>3</v>
      </c>
      <c r="P13" s="8"/>
    </row>
    <row r="14" spans="2:16" x14ac:dyDescent="0.2">
      <c r="B14" s="4" t="s">
        <v>125</v>
      </c>
      <c r="C14" s="4">
        <v>0.74482071432451058</v>
      </c>
      <c r="D14" s="4" t="s">
        <v>20</v>
      </c>
      <c r="E14" s="4" t="s">
        <v>20</v>
      </c>
      <c r="I14" s="24" t="s">
        <v>31</v>
      </c>
      <c r="J14" s="26">
        <f t="shared" si="0"/>
        <v>0</v>
      </c>
      <c r="K14" s="24">
        <f t="shared" si="0"/>
        <v>0</v>
      </c>
      <c r="L14" s="24">
        <f t="shared" si="0"/>
        <v>0</v>
      </c>
      <c r="M14" s="24">
        <f t="shared" si="0"/>
        <v>3</v>
      </c>
      <c r="N14" s="24">
        <f t="shared" si="0"/>
        <v>6</v>
      </c>
      <c r="O14" s="25">
        <f t="shared" si="0"/>
        <v>16</v>
      </c>
      <c r="P14" s="8"/>
    </row>
    <row r="15" spans="2:16" x14ac:dyDescent="0.2">
      <c r="B15" s="4" t="s">
        <v>124</v>
      </c>
      <c r="C15" s="4">
        <v>0.85633854254513686</v>
      </c>
      <c r="D15" s="4" t="s">
        <v>31</v>
      </c>
      <c r="E15" s="4" t="s">
        <v>31</v>
      </c>
      <c r="I15" s="24" t="s">
        <v>27</v>
      </c>
      <c r="J15" s="23">
        <f t="shared" si="0"/>
        <v>0</v>
      </c>
      <c r="K15" s="22">
        <f t="shared" si="0"/>
        <v>0</v>
      </c>
      <c r="L15" s="22">
        <f t="shared" si="0"/>
        <v>0</v>
      </c>
      <c r="M15" s="22">
        <f t="shared" si="0"/>
        <v>0</v>
      </c>
      <c r="N15" s="22">
        <f t="shared" si="0"/>
        <v>0</v>
      </c>
      <c r="O15" s="21">
        <f t="shared" si="0"/>
        <v>0</v>
      </c>
      <c r="P15" s="8"/>
    </row>
    <row r="16" spans="2:16" x14ac:dyDescent="0.2">
      <c r="B16" s="4" t="s">
        <v>123</v>
      </c>
      <c r="C16" s="4">
        <v>3.1748623600066805E-2</v>
      </c>
      <c r="D16" s="4" t="s">
        <v>23</v>
      </c>
      <c r="E16" s="4" t="s">
        <v>23</v>
      </c>
      <c r="I16" s="8"/>
      <c r="J16" s="8"/>
      <c r="K16" s="8"/>
      <c r="L16" s="8"/>
      <c r="M16" s="8"/>
      <c r="N16" s="8"/>
      <c r="O16" s="8"/>
      <c r="P16" s="8"/>
    </row>
    <row r="17" spans="2:17" x14ac:dyDescent="0.2">
      <c r="B17" s="4" t="s">
        <v>122</v>
      </c>
      <c r="C17" s="4">
        <v>0.13847525438575636</v>
      </c>
      <c r="D17" s="4" t="s">
        <v>23</v>
      </c>
      <c r="E17" s="4" t="s">
        <v>21</v>
      </c>
    </row>
    <row r="18" spans="2:17" x14ac:dyDescent="0.2">
      <c r="B18" s="4" t="s">
        <v>121</v>
      </c>
      <c r="C18" s="4">
        <v>0.35239980324078335</v>
      </c>
      <c r="D18" s="4" t="s">
        <v>36</v>
      </c>
      <c r="E18" s="4" t="s">
        <v>21</v>
      </c>
      <c r="I18" s="4" t="s">
        <v>120</v>
      </c>
    </row>
    <row r="19" spans="2:17" x14ac:dyDescent="0.2">
      <c r="B19" s="4" t="s">
        <v>119</v>
      </c>
      <c r="C19" s="4">
        <v>0.629727923495492</v>
      </c>
      <c r="D19" s="4" t="s">
        <v>20</v>
      </c>
      <c r="E19" s="4" t="s">
        <v>21</v>
      </c>
      <c r="J19" s="9" t="s">
        <v>23</v>
      </c>
      <c r="K19" s="9" t="s">
        <v>36</v>
      </c>
      <c r="L19" s="9" t="s">
        <v>21</v>
      </c>
      <c r="M19" s="9" t="s">
        <v>20</v>
      </c>
      <c r="N19" s="9" t="s">
        <v>31</v>
      </c>
      <c r="O19" s="9" t="s">
        <v>27</v>
      </c>
      <c r="Q19" s="10" t="s">
        <v>118</v>
      </c>
    </row>
    <row r="20" spans="2:17" x14ac:dyDescent="0.2">
      <c r="B20" s="4" t="s">
        <v>117</v>
      </c>
      <c r="C20" s="4">
        <v>0.30133037852189781</v>
      </c>
      <c r="D20" s="4" t="s">
        <v>36</v>
      </c>
      <c r="E20" s="4" t="s">
        <v>21</v>
      </c>
      <c r="I20" s="4" t="s">
        <v>23</v>
      </c>
      <c r="J20" s="20">
        <f t="array" ref="J20:O20">J10:O10/SUM(J10:O10)</f>
        <v>0.53846153846153844</v>
      </c>
      <c r="K20" s="19">
        <v>0.30769230769230771</v>
      </c>
      <c r="L20" s="19">
        <v>0.15384615384615385</v>
      </c>
      <c r="M20" s="19">
        <v>0</v>
      </c>
      <c r="N20" s="19">
        <v>0</v>
      </c>
      <c r="O20" s="18">
        <v>0</v>
      </c>
    </row>
    <row r="21" spans="2:17" x14ac:dyDescent="0.2">
      <c r="B21" s="4" t="s">
        <v>116</v>
      </c>
      <c r="C21" s="4">
        <v>0.55932131678917996</v>
      </c>
      <c r="D21" s="4" t="s">
        <v>21</v>
      </c>
      <c r="E21" s="4" t="s">
        <v>31</v>
      </c>
      <c r="I21" s="4" t="s">
        <v>36</v>
      </c>
      <c r="J21" s="17">
        <f t="array" ref="J21:O21">J11:O11/SUM(J11:O11)</f>
        <v>9.5238095238095233E-2</v>
      </c>
      <c r="K21" s="15">
        <v>0.52380952380952384</v>
      </c>
      <c r="L21" s="16">
        <v>0.2857142857142857</v>
      </c>
      <c r="M21" s="16">
        <v>9.5238095238095233E-2</v>
      </c>
      <c r="N21" s="16">
        <v>0</v>
      </c>
      <c r="O21" s="14">
        <v>0</v>
      </c>
    </row>
    <row r="22" spans="2:17" x14ac:dyDescent="0.2">
      <c r="B22" s="4" t="s">
        <v>115</v>
      </c>
      <c r="C22" s="4">
        <v>0.57897251751359091</v>
      </c>
      <c r="D22" s="4" t="s">
        <v>21</v>
      </c>
      <c r="E22" s="4" t="s">
        <v>21</v>
      </c>
      <c r="I22" s="4" t="s">
        <v>21</v>
      </c>
      <c r="J22" s="17">
        <f t="array" ref="J22:O22">J12:O12/SUM(J12:O12)</f>
        <v>0</v>
      </c>
      <c r="K22" s="16">
        <v>9.5238095238095233E-2</v>
      </c>
      <c r="L22" s="15">
        <v>0.19047619047619047</v>
      </c>
      <c r="M22" s="16">
        <v>0.42857142857142855</v>
      </c>
      <c r="N22" s="16">
        <v>0.2857142857142857</v>
      </c>
      <c r="O22" s="14">
        <v>0</v>
      </c>
    </row>
    <row r="23" spans="2:17" x14ac:dyDescent="0.2">
      <c r="B23" s="4" t="s">
        <v>114</v>
      </c>
      <c r="C23" s="4">
        <v>0.57354336706452547</v>
      </c>
      <c r="D23" s="4" t="s">
        <v>21</v>
      </c>
      <c r="E23" s="4" t="s">
        <v>20</v>
      </c>
      <c r="I23" s="4" t="s">
        <v>20</v>
      </c>
      <c r="J23" s="17">
        <f t="array" ref="J23:O23">J13:O13/SUM(J13:O13)</f>
        <v>0</v>
      </c>
      <c r="K23" s="16">
        <v>0</v>
      </c>
      <c r="L23" s="16">
        <v>0.1</v>
      </c>
      <c r="M23" s="15">
        <v>0.4</v>
      </c>
      <c r="N23" s="16">
        <v>0.35</v>
      </c>
      <c r="O23" s="14">
        <v>0.15</v>
      </c>
    </row>
    <row r="24" spans="2:17" x14ac:dyDescent="0.2">
      <c r="B24" s="4" t="s">
        <v>113</v>
      </c>
      <c r="C24" s="4">
        <v>0.2220152633174447</v>
      </c>
      <c r="D24" s="4" t="s">
        <v>36</v>
      </c>
      <c r="E24" s="4" t="s">
        <v>23</v>
      </c>
      <c r="I24" s="4" t="s">
        <v>31</v>
      </c>
      <c r="J24" s="17">
        <f t="array" ref="J24:O24">J14:O14/SUM(J14:O14)</f>
        <v>0</v>
      </c>
      <c r="K24" s="16">
        <v>0</v>
      </c>
      <c r="L24" s="16">
        <v>0</v>
      </c>
      <c r="M24" s="16">
        <v>0.12</v>
      </c>
      <c r="N24" s="15">
        <v>0.24</v>
      </c>
      <c r="O24" s="14">
        <v>0.64</v>
      </c>
    </row>
    <row r="25" spans="2:17" x14ac:dyDescent="0.2">
      <c r="B25" s="4" t="s">
        <v>112</v>
      </c>
      <c r="C25" s="4">
        <v>0.93262582287957241</v>
      </c>
      <c r="D25" s="4" t="s">
        <v>31</v>
      </c>
      <c r="E25" s="4" t="s">
        <v>27</v>
      </c>
      <c r="I25" s="4" t="s">
        <v>27</v>
      </c>
      <c r="J25" s="13">
        <f t="array" ref="J25:O25">IFERROR(J15:O15/SUM(J15:O15),0)</f>
        <v>0</v>
      </c>
      <c r="K25" s="12">
        <v>0</v>
      </c>
      <c r="L25" s="12">
        <v>0</v>
      </c>
      <c r="M25" s="12">
        <v>0</v>
      </c>
      <c r="N25" s="12">
        <v>0</v>
      </c>
      <c r="O25" s="11">
        <v>0</v>
      </c>
    </row>
    <row r="26" spans="2:17" x14ac:dyDescent="0.2">
      <c r="B26" s="4" t="s">
        <v>111</v>
      </c>
      <c r="C26" s="4">
        <v>0.62075910543702517</v>
      </c>
      <c r="D26" s="4" t="s">
        <v>20</v>
      </c>
      <c r="E26" s="4" t="s">
        <v>20</v>
      </c>
    </row>
    <row r="27" spans="2:17" x14ac:dyDescent="0.2">
      <c r="B27" s="4" t="s">
        <v>110</v>
      </c>
      <c r="C27" s="4">
        <v>0.22819056193474963</v>
      </c>
      <c r="D27" s="4" t="s">
        <v>36</v>
      </c>
      <c r="E27" s="4" t="s">
        <v>36</v>
      </c>
    </row>
    <row r="28" spans="2:17" x14ac:dyDescent="0.2">
      <c r="B28" s="4" t="s">
        <v>109</v>
      </c>
      <c r="C28" s="4">
        <v>0.77132432197816658</v>
      </c>
      <c r="D28" s="4" t="s">
        <v>20</v>
      </c>
      <c r="E28" s="4" t="s">
        <v>20</v>
      </c>
    </row>
    <row r="29" spans="2:17" x14ac:dyDescent="0.2">
      <c r="B29" s="4" t="s">
        <v>108</v>
      </c>
      <c r="C29" s="4">
        <v>0.57246332435771263</v>
      </c>
      <c r="D29" s="4" t="s">
        <v>21</v>
      </c>
      <c r="E29" s="4" t="s">
        <v>31</v>
      </c>
      <c r="I29" s="10" t="s">
        <v>107</v>
      </c>
    </row>
    <row r="30" spans="2:17" x14ac:dyDescent="0.2">
      <c r="B30" s="4" t="s">
        <v>106</v>
      </c>
      <c r="C30" s="4">
        <v>0.86103184618814521</v>
      </c>
      <c r="D30" s="4" t="s">
        <v>31</v>
      </c>
      <c r="E30" s="4" t="s">
        <v>20</v>
      </c>
      <c r="I30" s="5" t="s">
        <v>23</v>
      </c>
      <c r="J30" s="9" t="s">
        <v>23</v>
      </c>
      <c r="K30" s="9" t="s">
        <v>36</v>
      </c>
      <c r="L30" s="9" t="s">
        <v>21</v>
      </c>
      <c r="M30" s="9" t="s">
        <v>20</v>
      </c>
      <c r="N30" s="9" t="s">
        <v>31</v>
      </c>
      <c r="O30" s="9" t="s">
        <v>27</v>
      </c>
      <c r="Q30" s="4" t="s">
        <v>105</v>
      </c>
    </row>
    <row r="31" spans="2:17" x14ac:dyDescent="0.2">
      <c r="B31" s="4" t="s">
        <v>104</v>
      </c>
      <c r="C31" s="4">
        <v>0.94709052952496053</v>
      </c>
      <c r="D31" s="4" t="s">
        <v>31</v>
      </c>
      <c r="E31" s="4" t="s">
        <v>27</v>
      </c>
      <c r="I31" s="8">
        <v>0</v>
      </c>
      <c r="J31" s="7">
        <f t="shared" ref="J31:O36" si="1">J20+I31</f>
        <v>0.53846153846153844</v>
      </c>
      <c r="K31" s="7">
        <f t="shared" si="1"/>
        <v>0.84615384615384615</v>
      </c>
      <c r="L31" s="7">
        <f t="shared" si="1"/>
        <v>1</v>
      </c>
      <c r="M31" s="7">
        <f t="shared" si="1"/>
        <v>1</v>
      </c>
      <c r="N31" s="7">
        <f t="shared" si="1"/>
        <v>1</v>
      </c>
      <c r="O31" s="7">
        <f t="shared" si="1"/>
        <v>1</v>
      </c>
      <c r="Q31" s="6" t="str">
        <f ca="1">HLOOKUP(RAND(),I31:$O$37,ROWS(I31:$O$37),1)</f>
        <v>A</v>
      </c>
    </row>
    <row r="32" spans="2:17" x14ac:dyDescent="0.2">
      <c r="B32" s="4" t="s">
        <v>103</v>
      </c>
      <c r="C32" s="4">
        <v>0.85909824540678892</v>
      </c>
      <c r="D32" s="4" t="s">
        <v>31</v>
      </c>
      <c r="E32" s="4" t="s">
        <v>20</v>
      </c>
      <c r="I32" s="8">
        <v>0</v>
      </c>
      <c r="J32" s="7">
        <f t="shared" si="1"/>
        <v>9.5238095238095233E-2</v>
      </c>
      <c r="K32" s="7">
        <f t="shared" si="1"/>
        <v>0.61904761904761907</v>
      </c>
      <c r="L32" s="7">
        <f t="shared" si="1"/>
        <v>0.90476190476190477</v>
      </c>
      <c r="M32" s="7">
        <f t="shared" si="1"/>
        <v>1</v>
      </c>
      <c r="N32" s="7">
        <f t="shared" si="1"/>
        <v>1</v>
      </c>
      <c r="O32" s="7">
        <f t="shared" si="1"/>
        <v>1</v>
      </c>
      <c r="Q32" s="6" t="str">
        <f ca="1">HLOOKUP(RAND(),I32:$O$37,ROWS(I32:$O$37),1)</f>
        <v>B</v>
      </c>
    </row>
    <row r="33" spans="2:17" x14ac:dyDescent="0.2">
      <c r="B33" s="4" t="s">
        <v>102</v>
      </c>
      <c r="C33" s="4">
        <v>0.13326863734457084</v>
      </c>
      <c r="D33" s="4" t="s">
        <v>23</v>
      </c>
      <c r="E33" s="4" t="s">
        <v>23</v>
      </c>
      <c r="I33" s="8">
        <v>0</v>
      </c>
      <c r="J33" s="7">
        <f t="shared" si="1"/>
        <v>0</v>
      </c>
      <c r="K33" s="7">
        <f t="shared" si="1"/>
        <v>9.5238095238095233E-2</v>
      </c>
      <c r="L33" s="7">
        <f t="shared" si="1"/>
        <v>0.2857142857142857</v>
      </c>
      <c r="M33" s="7">
        <f t="shared" si="1"/>
        <v>0.71428571428571419</v>
      </c>
      <c r="N33" s="7">
        <f t="shared" si="1"/>
        <v>0.99999999999999989</v>
      </c>
      <c r="O33" s="7">
        <f t="shared" si="1"/>
        <v>0.99999999999999989</v>
      </c>
      <c r="Q33" s="6" t="str">
        <f ca="1">HLOOKUP(RAND(),I33:$O$37,ROWS(I33:$O$37),1)</f>
        <v>D</v>
      </c>
    </row>
    <row r="34" spans="2:17" x14ac:dyDescent="0.2">
      <c r="B34" s="4" t="s">
        <v>101</v>
      </c>
      <c r="C34" s="4">
        <v>2.4561640532133056E-2</v>
      </c>
      <c r="D34" s="4" t="s">
        <v>23</v>
      </c>
      <c r="E34" s="4" t="s">
        <v>23</v>
      </c>
      <c r="I34" s="8">
        <v>0</v>
      </c>
      <c r="J34" s="7">
        <f t="shared" si="1"/>
        <v>0</v>
      </c>
      <c r="K34" s="7">
        <f t="shared" si="1"/>
        <v>0</v>
      </c>
      <c r="L34" s="7">
        <f t="shared" si="1"/>
        <v>0.1</v>
      </c>
      <c r="M34" s="7">
        <f t="shared" si="1"/>
        <v>0.5</v>
      </c>
      <c r="N34" s="7">
        <f t="shared" si="1"/>
        <v>0.85</v>
      </c>
      <c r="O34" s="7">
        <f t="shared" si="1"/>
        <v>1</v>
      </c>
      <c r="Q34" s="6" t="str">
        <f ca="1">HLOOKUP(RAND(),I34:$O$37,ROWS(I34:$O$37),1)</f>
        <v>E</v>
      </c>
    </row>
    <row r="35" spans="2:17" x14ac:dyDescent="0.2">
      <c r="B35" s="4" t="s">
        <v>100</v>
      </c>
      <c r="C35" s="4">
        <v>0.69102718204006508</v>
      </c>
      <c r="D35" s="4" t="s">
        <v>20</v>
      </c>
      <c r="E35" s="4" t="s">
        <v>31</v>
      </c>
      <c r="I35" s="8">
        <v>0</v>
      </c>
      <c r="J35" s="7">
        <f t="shared" si="1"/>
        <v>0</v>
      </c>
      <c r="K35" s="7">
        <f t="shared" si="1"/>
        <v>0</v>
      </c>
      <c r="L35" s="7">
        <f t="shared" si="1"/>
        <v>0</v>
      </c>
      <c r="M35" s="7">
        <f t="shared" si="1"/>
        <v>0.12</v>
      </c>
      <c r="N35" s="7">
        <f t="shared" si="1"/>
        <v>0.36</v>
      </c>
      <c r="O35" s="7">
        <f t="shared" si="1"/>
        <v>1</v>
      </c>
      <c r="Q35" s="6" t="str">
        <f ca="1">HLOOKUP(RAND(),I35:$O$37,ROWS(I35:$O$37),1)</f>
        <v>E</v>
      </c>
    </row>
    <row r="36" spans="2:17" x14ac:dyDescent="0.2">
      <c r="B36" s="4" t="s">
        <v>99</v>
      </c>
      <c r="C36" s="4">
        <v>0.47219088645737706</v>
      </c>
      <c r="D36" s="4" t="s">
        <v>21</v>
      </c>
      <c r="E36" s="4" t="s">
        <v>20</v>
      </c>
      <c r="I36" s="8">
        <v>0</v>
      </c>
      <c r="J36" s="7">
        <f t="shared" si="1"/>
        <v>0</v>
      </c>
      <c r="K36" s="7">
        <f t="shared" si="1"/>
        <v>0</v>
      </c>
      <c r="L36" s="7">
        <f t="shared" si="1"/>
        <v>0</v>
      </c>
      <c r="M36" s="7">
        <f t="shared" si="1"/>
        <v>0</v>
      </c>
      <c r="N36" s="7">
        <f t="shared" si="1"/>
        <v>0</v>
      </c>
      <c r="O36" s="7">
        <f t="shared" si="1"/>
        <v>0</v>
      </c>
      <c r="Q36" s="6" t="str">
        <f ca="1">HLOOKUP(RAND(),I36:$O$37,ROWS(I36:$O$37),1)</f>
        <v>F</v>
      </c>
    </row>
    <row r="37" spans="2:17" x14ac:dyDescent="0.2">
      <c r="B37" s="4" t="s">
        <v>98</v>
      </c>
      <c r="C37" s="4">
        <v>0.96736610542638979</v>
      </c>
      <c r="D37" s="4" t="s">
        <v>31</v>
      </c>
      <c r="E37" s="4" t="s">
        <v>27</v>
      </c>
      <c r="I37" s="5" t="s">
        <v>23</v>
      </c>
      <c r="J37" s="5" t="s">
        <v>23</v>
      </c>
      <c r="K37" s="5" t="s">
        <v>36</v>
      </c>
      <c r="L37" s="5" t="s">
        <v>21</v>
      </c>
      <c r="M37" s="5" t="s">
        <v>20</v>
      </c>
      <c r="N37" s="5" t="s">
        <v>31</v>
      </c>
      <c r="O37" s="5" t="s">
        <v>27</v>
      </c>
    </row>
    <row r="38" spans="2:17" x14ac:dyDescent="0.2">
      <c r="B38" s="4" t="s">
        <v>97</v>
      </c>
      <c r="C38" s="4">
        <v>0.32731700081355264</v>
      </c>
      <c r="D38" s="4" t="s">
        <v>36</v>
      </c>
      <c r="E38" s="4" t="s">
        <v>36</v>
      </c>
    </row>
    <row r="39" spans="2:17" x14ac:dyDescent="0.2">
      <c r="B39" s="4" t="s">
        <v>96</v>
      </c>
      <c r="C39" s="4">
        <v>2.2840188242793991E-2</v>
      </c>
      <c r="D39" s="4" t="s">
        <v>23</v>
      </c>
      <c r="E39" s="4" t="s">
        <v>36</v>
      </c>
    </row>
    <row r="40" spans="2:17" x14ac:dyDescent="0.2">
      <c r="B40" s="4" t="s">
        <v>95</v>
      </c>
      <c r="C40" s="4">
        <v>0.92397381828911795</v>
      </c>
      <c r="D40" s="4" t="s">
        <v>31</v>
      </c>
      <c r="E40" s="4" t="s">
        <v>27</v>
      </c>
    </row>
    <row r="41" spans="2:17" x14ac:dyDescent="0.2">
      <c r="B41" s="4" t="s">
        <v>94</v>
      </c>
      <c r="C41" s="4">
        <v>7.7896725092658436E-2</v>
      </c>
      <c r="D41" s="4" t="s">
        <v>23</v>
      </c>
      <c r="E41" s="4" t="s">
        <v>36</v>
      </c>
    </row>
    <row r="42" spans="2:17" x14ac:dyDescent="0.2">
      <c r="B42" s="4" t="s">
        <v>93</v>
      </c>
      <c r="C42" s="4">
        <v>0.65542830970793808</v>
      </c>
      <c r="D42" s="4" t="s">
        <v>20</v>
      </c>
      <c r="E42" s="4" t="s">
        <v>27</v>
      </c>
    </row>
    <row r="43" spans="2:17" x14ac:dyDescent="0.2">
      <c r="B43" s="4" t="s">
        <v>92</v>
      </c>
      <c r="C43" s="4">
        <v>0.25203125416123051</v>
      </c>
      <c r="D43" s="4" t="s">
        <v>36</v>
      </c>
      <c r="E43" s="4" t="s">
        <v>36</v>
      </c>
    </row>
    <row r="44" spans="2:17" x14ac:dyDescent="0.2">
      <c r="B44" s="4" t="s">
        <v>91</v>
      </c>
      <c r="C44" s="4">
        <v>0.7342850127525723</v>
      </c>
      <c r="D44" s="4" t="s">
        <v>20</v>
      </c>
      <c r="E44" s="4" t="s">
        <v>31</v>
      </c>
    </row>
    <row r="45" spans="2:17" x14ac:dyDescent="0.2">
      <c r="B45" s="4" t="s">
        <v>90</v>
      </c>
      <c r="C45" s="4">
        <v>0.45807898016892368</v>
      </c>
      <c r="D45" s="4" t="s">
        <v>21</v>
      </c>
      <c r="E45" s="4" t="s">
        <v>36</v>
      </c>
    </row>
    <row r="46" spans="2:17" x14ac:dyDescent="0.2">
      <c r="B46" s="4" t="s">
        <v>89</v>
      </c>
      <c r="C46" s="4">
        <v>0.84594615337373491</v>
      </c>
      <c r="D46" s="4" t="s">
        <v>31</v>
      </c>
      <c r="E46" s="4" t="s">
        <v>31</v>
      </c>
    </row>
    <row r="47" spans="2:17" x14ac:dyDescent="0.2">
      <c r="B47" s="4" t="s">
        <v>88</v>
      </c>
      <c r="C47" s="4">
        <v>0.86957152007842897</v>
      </c>
      <c r="D47" s="4" t="s">
        <v>31</v>
      </c>
      <c r="E47" s="4" t="s">
        <v>27</v>
      </c>
    </row>
    <row r="48" spans="2:17" x14ac:dyDescent="0.2">
      <c r="B48" s="4" t="s">
        <v>87</v>
      </c>
      <c r="C48" s="4">
        <v>0.24226555051074961</v>
      </c>
      <c r="D48" s="4" t="s">
        <v>36</v>
      </c>
      <c r="E48" s="4" t="s">
        <v>36</v>
      </c>
    </row>
    <row r="49" spans="2:5" x14ac:dyDescent="0.2">
      <c r="B49" s="4" t="s">
        <v>86</v>
      </c>
      <c r="C49" s="4">
        <v>0.73988308548461668</v>
      </c>
      <c r="D49" s="4" t="s">
        <v>20</v>
      </c>
      <c r="E49" s="4" t="s">
        <v>31</v>
      </c>
    </row>
    <row r="50" spans="2:5" x14ac:dyDescent="0.2">
      <c r="B50" s="4" t="s">
        <v>85</v>
      </c>
      <c r="C50" s="4">
        <v>0.27086535835866432</v>
      </c>
      <c r="D50" s="4" t="s">
        <v>36</v>
      </c>
      <c r="E50" s="4" t="s">
        <v>36</v>
      </c>
    </row>
    <row r="51" spans="2:5" x14ac:dyDescent="0.2">
      <c r="B51" s="4" t="s">
        <v>84</v>
      </c>
      <c r="C51" s="4">
        <v>0.52463050106771492</v>
      </c>
      <c r="D51" s="4" t="s">
        <v>21</v>
      </c>
      <c r="E51" s="4" t="s">
        <v>20</v>
      </c>
    </row>
    <row r="52" spans="2:5" x14ac:dyDescent="0.2">
      <c r="B52" s="4" t="s">
        <v>83</v>
      </c>
      <c r="C52" s="4">
        <v>0.32596892448905102</v>
      </c>
      <c r="D52" s="4" t="s">
        <v>36</v>
      </c>
      <c r="E52" s="4" t="s">
        <v>36</v>
      </c>
    </row>
    <row r="53" spans="2:5" x14ac:dyDescent="0.2">
      <c r="B53" s="4" t="s">
        <v>82</v>
      </c>
      <c r="C53" s="4">
        <v>9.9770131781005578E-2</v>
      </c>
      <c r="D53" s="4" t="s">
        <v>23</v>
      </c>
      <c r="E53" s="4" t="s">
        <v>23</v>
      </c>
    </row>
    <row r="54" spans="2:5" x14ac:dyDescent="0.2">
      <c r="B54" s="4" t="s">
        <v>81</v>
      </c>
      <c r="C54" s="4">
        <v>0.93095117946155259</v>
      </c>
      <c r="D54" s="4" t="s">
        <v>31</v>
      </c>
      <c r="E54" s="4" t="s">
        <v>31</v>
      </c>
    </row>
    <row r="55" spans="2:5" x14ac:dyDescent="0.2">
      <c r="B55" s="4" t="s">
        <v>80</v>
      </c>
      <c r="C55" s="4">
        <v>0.90830874893691682</v>
      </c>
      <c r="D55" s="4" t="s">
        <v>31</v>
      </c>
      <c r="E55" s="4" t="s">
        <v>31</v>
      </c>
    </row>
    <row r="56" spans="2:5" x14ac:dyDescent="0.2">
      <c r="B56" s="4" t="s">
        <v>79</v>
      </c>
      <c r="C56" s="4">
        <v>0.73348855941533408</v>
      </c>
      <c r="D56" s="4" t="s">
        <v>20</v>
      </c>
      <c r="E56" s="4" t="s">
        <v>20</v>
      </c>
    </row>
    <row r="57" spans="2:5" x14ac:dyDescent="0.2">
      <c r="B57" s="4" t="s">
        <v>78</v>
      </c>
      <c r="C57" s="4">
        <v>0.89357778535202403</v>
      </c>
      <c r="D57" s="4" t="s">
        <v>31</v>
      </c>
      <c r="E57" s="4" t="s">
        <v>27</v>
      </c>
    </row>
    <row r="58" spans="2:5" x14ac:dyDescent="0.2">
      <c r="B58" s="4" t="s">
        <v>77</v>
      </c>
      <c r="C58" s="4">
        <v>0.52346847344780068</v>
      </c>
      <c r="D58" s="4" t="s">
        <v>21</v>
      </c>
      <c r="E58" s="4" t="s">
        <v>31</v>
      </c>
    </row>
    <row r="59" spans="2:5" x14ac:dyDescent="0.2">
      <c r="B59" s="4" t="s">
        <v>76</v>
      </c>
      <c r="C59" s="4">
        <v>0.76656607302887836</v>
      </c>
      <c r="D59" s="4" t="s">
        <v>20</v>
      </c>
      <c r="E59" s="4" t="s">
        <v>20</v>
      </c>
    </row>
    <row r="60" spans="2:5" x14ac:dyDescent="0.2">
      <c r="B60" s="4" t="s">
        <v>75</v>
      </c>
      <c r="C60" s="4">
        <v>0.80003286318070632</v>
      </c>
      <c r="D60" s="4" t="s">
        <v>31</v>
      </c>
      <c r="E60" s="4" t="s">
        <v>27</v>
      </c>
    </row>
    <row r="61" spans="2:5" x14ac:dyDescent="0.2">
      <c r="B61" s="4" t="s">
        <v>74</v>
      </c>
      <c r="C61" s="4">
        <v>0.3892708311063463</v>
      </c>
      <c r="D61" s="4" t="s">
        <v>36</v>
      </c>
      <c r="E61" s="4" t="s">
        <v>20</v>
      </c>
    </row>
    <row r="62" spans="2:5" x14ac:dyDescent="0.2">
      <c r="B62" s="4" t="s">
        <v>73</v>
      </c>
      <c r="C62" s="4">
        <v>0.87159427427051139</v>
      </c>
      <c r="D62" s="4" t="s">
        <v>31</v>
      </c>
      <c r="E62" s="4" t="s">
        <v>27</v>
      </c>
    </row>
    <row r="63" spans="2:5" x14ac:dyDescent="0.2">
      <c r="B63" s="4" t="s">
        <v>72</v>
      </c>
      <c r="C63" s="4">
        <v>0.76945535483045513</v>
      </c>
      <c r="D63" s="4" t="s">
        <v>20</v>
      </c>
      <c r="E63" s="4" t="s">
        <v>31</v>
      </c>
    </row>
    <row r="64" spans="2:5" x14ac:dyDescent="0.2">
      <c r="B64" s="4" t="s">
        <v>71</v>
      </c>
      <c r="C64" s="4">
        <v>0.26480621363728485</v>
      </c>
      <c r="D64" s="4" t="s">
        <v>36</v>
      </c>
      <c r="E64" s="4" t="s">
        <v>21</v>
      </c>
    </row>
    <row r="65" spans="2:5" x14ac:dyDescent="0.2">
      <c r="B65" s="4" t="s">
        <v>70</v>
      </c>
      <c r="C65" s="4">
        <v>0.32324350412310388</v>
      </c>
      <c r="D65" s="4" t="s">
        <v>36</v>
      </c>
      <c r="E65" s="4" t="s">
        <v>20</v>
      </c>
    </row>
    <row r="66" spans="2:5" x14ac:dyDescent="0.2">
      <c r="B66" s="4" t="s">
        <v>69</v>
      </c>
      <c r="C66" s="4">
        <v>0.15627153384850234</v>
      </c>
      <c r="D66" s="4" t="s">
        <v>23</v>
      </c>
      <c r="E66" s="4" t="s">
        <v>21</v>
      </c>
    </row>
    <row r="67" spans="2:5" x14ac:dyDescent="0.2">
      <c r="B67" s="4" t="s">
        <v>68</v>
      </c>
      <c r="C67" s="4">
        <v>0.89680710594891</v>
      </c>
      <c r="D67" s="4" t="s">
        <v>31</v>
      </c>
      <c r="E67" s="4" t="s">
        <v>27</v>
      </c>
    </row>
    <row r="68" spans="2:5" x14ac:dyDescent="0.2">
      <c r="B68" s="4" t="s">
        <v>67</v>
      </c>
      <c r="C68" s="4">
        <v>0.54385095261031646</v>
      </c>
      <c r="D68" s="4" t="s">
        <v>21</v>
      </c>
      <c r="E68" s="4" t="s">
        <v>20</v>
      </c>
    </row>
    <row r="69" spans="2:5" x14ac:dyDescent="0.2">
      <c r="B69" s="4" t="s">
        <v>66</v>
      </c>
      <c r="C69" s="4">
        <v>0.28179185236382631</v>
      </c>
      <c r="D69" s="4" t="s">
        <v>36</v>
      </c>
      <c r="E69" s="4" t="s">
        <v>36</v>
      </c>
    </row>
    <row r="70" spans="2:5" x14ac:dyDescent="0.2">
      <c r="B70" s="4" t="s">
        <v>65</v>
      </c>
      <c r="C70" s="4">
        <v>0.8451739188641425</v>
      </c>
      <c r="D70" s="4" t="s">
        <v>31</v>
      </c>
      <c r="E70" s="4" t="s">
        <v>27</v>
      </c>
    </row>
    <row r="71" spans="2:5" x14ac:dyDescent="0.2">
      <c r="B71" s="4" t="s">
        <v>64</v>
      </c>
      <c r="C71" s="4">
        <v>0.27090936711256719</v>
      </c>
      <c r="D71" s="4" t="s">
        <v>36</v>
      </c>
      <c r="E71" s="4" t="s">
        <v>21</v>
      </c>
    </row>
    <row r="72" spans="2:5" x14ac:dyDescent="0.2">
      <c r="B72" s="4" t="s">
        <v>63</v>
      </c>
      <c r="C72" s="4">
        <v>0.49441714721295671</v>
      </c>
      <c r="D72" s="4" t="s">
        <v>21</v>
      </c>
      <c r="E72" s="4" t="s">
        <v>21</v>
      </c>
    </row>
    <row r="73" spans="2:5" x14ac:dyDescent="0.2">
      <c r="B73" s="4" t="s">
        <v>62</v>
      </c>
      <c r="C73" s="4">
        <v>0.26694834177577897</v>
      </c>
      <c r="D73" s="4" t="s">
        <v>36</v>
      </c>
      <c r="E73" s="4" t="s">
        <v>36</v>
      </c>
    </row>
    <row r="74" spans="2:5" x14ac:dyDescent="0.2">
      <c r="B74" s="4" t="s">
        <v>61</v>
      </c>
      <c r="C74" s="4">
        <v>0.18641457449884424</v>
      </c>
      <c r="D74" s="4" t="s">
        <v>23</v>
      </c>
      <c r="E74" s="4" t="s">
        <v>36</v>
      </c>
    </row>
    <row r="75" spans="2:5" x14ac:dyDescent="0.2">
      <c r="B75" s="4" t="s">
        <v>60</v>
      </c>
      <c r="C75" s="4">
        <v>0.63893952539851484</v>
      </c>
      <c r="D75" s="4" t="s">
        <v>20</v>
      </c>
      <c r="E75" s="4" t="s">
        <v>21</v>
      </c>
    </row>
    <row r="76" spans="2:5" x14ac:dyDescent="0.2">
      <c r="B76" s="4" t="s">
        <v>59</v>
      </c>
      <c r="C76" s="4">
        <v>0.71676697075327966</v>
      </c>
      <c r="D76" s="4" t="s">
        <v>20</v>
      </c>
      <c r="E76" s="4" t="s">
        <v>20</v>
      </c>
    </row>
    <row r="77" spans="2:5" x14ac:dyDescent="0.2">
      <c r="B77" s="4" t="s">
        <v>58</v>
      </c>
      <c r="C77" s="4">
        <v>0.44150564930995051</v>
      </c>
      <c r="D77" s="4" t="s">
        <v>21</v>
      </c>
      <c r="E77" s="4" t="s">
        <v>20</v>
      </c>
    </row>
    <row r="78" spans="2:5" x14ac:dyDescent="0.2">
      <c r="B78" s="4" t="s">
        <v>57</v>
      </c>
      <c r="C78" s="4">
        <v>0.20931085094305968</v>
      </c>
      <c r="D78" s="4" t="s">
        <v>36</v>
      </c>
      <c r="E78" s="4" t="s">
        <v>23</v>
      </c>
    </row>
    <row r="79" spans="2:5" x14ac:dyDescent="0.2">
      <c r="B79" s="4" t="s">
        <v>56</v>
      </c>
      <c r="C79" s="4">
        <v>0.33312080808404332</v>
      </c>
      <c r="D79" s="4" t="s">
        <v>36</v>
      </c>
      <c r="E79" s="4" t="s">
        <v>21</v>
      </c>
    </row>
    <row r="80" spans="2:5" x14ac:dyDescent="0.2">
      <c r="B80" s="4" t="s">
        <v>55</v>
      </c>
      <c r="C80" s="4">
        <v>0.4576175646538907</v>
      </c>
      <c r="D80" s="4" t="s">
        <v>21</v>
      </c>
      <c r="E80" s="4" t="s">
        <v>20</v>
      </c>
    </row>
    <row r="81" spans="2:5" x14ac:dyDescent="0.2">
      <c r="B81" s="4" t="s">
        <v>54</v>
      </c>
      <c r="C81" s="4">
        <v>0.98714157385309476</v>
      </c>
      <c r="D81" s="4" t="s">
        <v>31</v>
      </c>
      <c r="E81" s="4" t="s">
        <v>27</v>
      </c>
    </row>
    <row r="82" spans="2:5" x14ac:dyDescent="0.2">
      <c r="B82" s="4" t="s">
        <v>53</v>
      </c>
      <c r="C82" s="4">
        <v>0.10380078292225448</v>
      </c>
      <c r="D82" s="4" t="s">
        <v>23</v>
      </c>
      <c r="E82" s="4" t="s">
        <v>36</v>
      </c>
    </row>
    <row r="83" spans="2:5" x14ac:dyDescent="0.2">
      <c r="B83" s="4" t="s">
        <v>52</v>
      </c>
      <c r="C83" s="4">
        <v>6.2017494817444563E-2</v>
      </c>
      <c r="D83" s="4" t="s">
        <v>23</v>
      </c>
      <c r="E83" s="4" t="s">
        <v>23</v>
      </c>
    </row>
    <row r="84" spans="2:5" x14ac:dyDescent="0.2">
      <c r="B84" s="4" t="s">
        <v>51</v>
      </c>
      <c r="C84" s="4">
        <v>0.78450070831783014</v>
      </c>
      <c r="D84" s="4" t="s">
        <v>20</v>
      </c>
      <c r="E84" s="4" t="s">
        <v>20</v>
      </c>
    </row>
    <row r="85" spans="2:5" x14ac:dyDescent="0.2">
      <c r="B85" s="4" t="s">
        <v>50</v>
      </c>
      <c r="C85" s="4">
        <v>0.22724111322015161</v>
      </c>
      <c r="D85" s="4" t="s">
        <v>36</v>
      </c>
      <c r="E85" s="4" t="s">
        <v>36</v>
      </c>
    </row>
    <row r="86" spans="2:5" x14ac:dyDescent="0.2">
      <c r="B86" s="4" t="s">
        <v>49</v>
      </c>
      <c r="C86" s="4">
        <v>0.98565679401413675</v>
      </c>
      <c r="D86" s="4" t="s">
        <v>31</v>
      </c>
      <c r="E86" s="4" t="s">
        <v>27</v>
      </c>
    </row>
    <row r="87" spans="2:5" x14ac:dyDescent="0.2">
      <c r="B87" s="4" t="s">
        <v>48</v>
      </c>
      <c r="C87" s="4">
        <v>0.56165831800490862</v>
      </c>
      <c r="D87" s="4" t="s">
        <v>21</v>
      </c>
      <c r="E87" s="4" t="s">
        <v>31</v>
      </c>
    </row>
    <row r="88" spans="2:5" x14ac:dyDescent="0.2">
      <c r="B88" s="4" t="s">
        <v>47</v>
      </c>
      <c r="C88" s="4">
        <v>0.78028204907125442</v>
      </c>
      <c r="D88" s="4" t="s">
        <v>20</v>
      </c>
      <c r="E88" s="4" t="s">
        <v>31</v>
      </c>
    </row>
    <row r="89" spans="2:5" x14ac:dyDescent="0.2">
      <c r="B89" s="4" t="s">
        <v>46</v>
      </c>
      <c r="C89" s="4">
        <v>0.434984899765402</v>
      </c>
      <c r="D89" s="4" t="s">
        <v>21</v>
      </c>
      <c r="E89" s="4" t="s">
        <v>36</v>
      </c>
    </row>
    <row r="90" spans="2:5" x14ac:dyDescent="0.2">
      <c r="B90" s="4" t="s">
        <v>45</v>
      </c>
      <c r="C90" s="4">
        <v>0.83827533834394208</v>
      </c>
      <c r="D90" s="4" t="s">
        <v>31</v>
      </c>
      <c r="E90" s="4" t="s">
        <v>31</v>
      </c>
    </row>
    <row r="91" spans="2:5" x14ac:dyDescent="0.2">
      <c r="B91" s="4" t="s">
        <v>44</v>
      </c>
      <c r="C91" s="4">
        <v>0.53822666933083452</v>
      </c>
      <c r="D91" s="4" t="s">
        <v>21</v>
      </c>
      <c r="E91" s="4" t="s">
        <v>31</v>
      </c>
    </row>
    <row r="92" spans="2:5" x14ac:dyDescent="0.2">
      <c r="B92" s="4" t="s">
        <v>43</v>
      </c>
      <c r="C92" s="4">
        <v>0.78100542885218072</v>
      </c>
      <c r="D92" s="4" t="s">
        <v>20</v>
      </c>
      <c r="E92" s="4" t="s">
        <v>31</v>
      </c>
    </row>
    <row r="93" spans="2:5" x14ac:dyDescent="0.2">
      <c r="B93" s="4" t="s">
        <v>42</v>
      </c>
      <c r="C93" s="4">
        <v>0.36391068529626602</v>
      </c>
      <c r="D93" s="4" t="s">
        <v>36</v>
      </c>
      <c r="E93" s="4" t="s">
        <v>36</v>
      </c>
    </row>
    <row r="94" spans="2:5" x14ac:dyDescent="0.2">
      <c r="B94" s="4" t="s">
        <v>41</v>
      </c>
      <c r="C94" s="4">
        <v>0.87143062788127279</v>
      </c>
      <c r="D94" s="4" t="s">
        <v>31</v>
      </c>
      <c r="E94" s="4" t="s">
        <v>27</v>
      </c>
    </row>
    <row r="95" spans="2:5" x14ac:dyDescent="0.2">
      <c r="B95" s="4" t="s">
        <v>40</v>
      </c>
      <c r="C95" s="4">
        <v>0.67461747316541898</v>
      </c>
      <c r="D95" s="4" t="s">
        <v>20</v>
      </c>
      <c r="E95" s="4" t="s">
        <v>31</v>
      </c>
    </row>
    <row r="96" spans="2:5" x14ac:dyDescent="0.2">
      <c r="B96" s="4" t="s">
        <v>39</v>
      </c>
      <c r="C96" s="4">
        <v>0.190127743072105</v>
      </c>
      <c r="D96" s="4" t="s">
        <v>23</v>
      </c>
      <c r="E96" s="4" t="s">
        <v>23</v>
      </c>
    </row>
    <row r="97" spans="2:5" x14ac:dyDescent="0.2">
      <c r="B97" s="4" t="s">
        <v>38</v>
      </c>
      <c r="C97" s="4">
        <v>0.3015815400587385</v>
      </c>
      <c r="D97" s="4" t="s">
        <v>36</v>
      </c>
      <c r="E97" s="4" t="s">
        <v>36</v>
      </c>
    </row>
    <row r="98" spans="2:5" x14ac:dyDescent="0.2">
      <c r="B98" s="4" t="s">
        <v>37</v>
      </c>
      <c r="C98" s="4">
        <v>0.33749567042133943</v>
      </c>
      <c r="D98" s="4" t="s">
        <v>36</v>
      </c>
      <c r="E98" s="4" t="s">
        <v>21</v>
      </c>
    </row>
    <row r="99" spans="2:5" x14ac:dyDescent="0.2">
      <c r="B99" s="4" t="s">
        <v>35</v>
      </c>
      <c r="C99" s="4">
        <v>0.41743570679011921</v>
      </c>
      <c r="D99" s="4" t="s">
        <v>21</v>
      </c>
      <c r="E99" s="4" t="s">
        <v>21</v>
      </c>
    </row>
    <row r="100" spans="2:5" x14ac:dyDescent="0.2">
      <c r="B100" s="4" t="s">
        <v>34</v>
      </c>
      <c r="C100" s="4">
        <v>0.87620699852378636</v>
      </c>
      <c r="D100" s="4" t="s">
        <v>31</v>
      </c>
      <c r="E100" s="4" t="s">
        <v>20</v>
      </c>
    </row>
    <row r="101" spans="2:5" x14ac:dyDescent="0.2">
      <c r="B101" s="4" t="s">
        <v>33</v>
      </c>
      <c r="C101" s="4">
        <v>0.93159355039564817</v>
      </c>
      <c r="D101" s="4" t="s">
        <v>31</v>
      </c>
      <c r="E101" s="4" t="s">
        <v>27</v>
      </c>
    </row>
    <row r="102" spans="2:5" x14ac:dyDescent="0.2">
      <c r="B102" s="4" t="s">
        <v>32</v>
      </c>
      <c r="C102" s="4">
        <v>0.5974665198857787</v>
      </c>
      <c r="D102" s="4" t="s">
        <v>21</v>
      </c>
      <c r="E102" s="4" t="s">
        <v>31</v>
      </c>
    </row>
    <row r="103" spans="2:5" x14ac:dyDescent="0.2">
      <c r="B103" s="4" t="s">
        <v>30</v>
      </c>
      <c r="C103" s="4">
        <v>0.47410685578653822</v>
      </c>
      <c r="D103" s="4" t="s">
        <v>21</v>
      </c>
      <c r="E103" s="4" t="s">
        <v>20</v>
      </c>
    </row>
    <row r="104" spans="2:5" x14ac:dyDescent="0.2">
      <c r="B104" s="4" t="s">
        <v>29</v>
      </c>
      <c r="C104" s="4">
        <v>0.65559589565764997</v>
      </c>
      <c r="D104" s="4" t="s">
        <v>20</v>
      </c>
      <c r="E104" s="4" t="s">
        <v>27</v>
      </c>
    </row>
    <row r="105" spans="2:5" x14ac:dyDescent="0.2">
      <c r="B105" s="4" t="s">
        <v>28</v>
      </c>
      <c r="C105" s="4">
        <v>0.76356759394203066</v>
      </c>
      <c r="D105" s="4" t="s">
        <v>20</v>
      </c>
      <c r="E105" s="4" t="s">
        <v>27</v>
      </c>
    </row>
    <row r="106" spans="2:5" x14ac:dyDescent="0.2">
      <c r="B106" s="4" t="s">
        <v>26</v>
      </c>
      <c r="C106" s="4">
        <v>0.42212135662889816</v>
      </c>
      <c r="D106" s="4" t="s">
        <v>21</v>
      </c>
      <c r="E106" s="4" t="s">
        <v>21</v>
      </c>
    </row>
    <row r="107" spans="2:5" x14ac:dyDescent="0.2">
      <c r="B107" s="4" t="s">
        <v>25</v>
      </c>
      <c r="C107" s="4">
        <v>0.607187631368174</v>
      </c>
      <c r="D107" s="4" t="s">
        <v>20</v>
      </c>
      <c r="E107" s="4" t="s">
        <v>20</v>
      </c>
    </row>
    <row r="108" spans="2:5" x14ac:dyDescent="0.2">
      <c r="B108" s="4" t="s">
        <v>24</v>
      </c>
      <c r="C108" s="4">
        <v>0.19009590420046663</v>
      </c>
      <c r="D108" s="4" t="s">
        <v>23</v>
      </c>
      <c r="E108" s="4" t="s">
        <v>23</v>
      </c>
    </row>
    <row r="109" spans="2:5" x14ac:dyDescent="0.2">
      <c r="B109" s="4" t="s">
        <v>22</v>
      </c>
      <c r="C109" s="4">
        <v>0.54256136479850625</v>
      </c>
      <c r="D109" s="4" t="s">
        <v>21</v>
      </c>
      <c r="E109" s="4" t="s">
        <v>20</v>
      </c>
    </row>
  </sheetData>
  <pageMargins left="0.7" right="0.7" top="0.75" bottom="0.75" header="0.3" footer="0.3"/>
  <extLst>
    <ext xmlns:x14="http://schemas.microsoft.com/office/spreadsheetml/2009/9/main" uri="{05C60535-1F16-4fd2-B633-F4F36F0B64E0}">
      <x14:sparklineGroups xmlns:xm="http://schemas.microsoft.com/office/excel/2006/main">
        <x14:sparklineGroup manualMax="0" manualMin="0" type="column" displayEmptyCellsAs="gap" xr2:uid="{00000000-0003-0000-0600-000000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CreditMetrics!J20:O20</xm:f>
              <xm:sqref>Q20</xm:sqref>
            </x14:sparkline>
            <x14:sparkline>
              <xm:f>CreditMetrics!J21:O21</xm:f>
              <xm:sqref>Q21</xm:sqref>
            </x14:sparkline>
            <x14:sparkline>
              <xm:f>CreditMetrics!J22:O22</xm:f>
              <xm:sqref>Q22</xm:sqref>
            </x14:sparkline>
            <x14:sparkline>
              <xm:f>CreditMetrics!J23:O23</xm:f>
              <xm:sqref>Q23</xm:sqref>
            </x14:sparkline>
            <x14:sparkline>
              <xm:f>CreditMetrics!J24:O24</xm:f>
              <xm:sqref>Q24</xm:sqref>
            </x14:sparkline>
            <x14:sparkline>
              <xm:f>CreditMetrics!J25:O25</xm:f>
              <xm:sqref>Q25</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31F1A-856F-CB45-A32F-5A5270021A9C}">
  <sheetPr>
    <tabColor rgb="FFFF0000"/>
  </sheetPr>
  <dimension ref="B3:AH288"/>
  <sheetViews>
    <sheetView workbookViewId="0"/>
  </sheetViews>
  <sheetFormatPr baseColWidth="10" defaultColWidth="8.83203125" defaultRowHeight="15" x14ac:dyDescent="0.2"/>
  <cols>
    <col min="1" max="1" width="8.83203125" style="4"/>
    <col min="2" max="2" width="11.33203125" style="4" bestFit="1" customWidth="1"/>
    <col min="3" max="3" width="11.33203125" style="4" customWidth="1"/>
    <col min="4" max="4" width="10" style="4" bestFit="1" customWidth="1"/>
    <col min="5" max="5" width="10.6640625" style="4" bestFit="1" customWidth="1"/>
    <col min="6" max="6" width="5" style="4" bestFit="1" customWidth="1"/>
    <col min="7" max="7" width="8" style="4" bestFit="1" customWidth="1"/>
    <col min="8" max="16384" width="8.83203125" style="4"/>
  </cols>
  <sheetData>
    <row r="3" spans="2:16" ht="29" x14ac:dyDescent="0.35">
      <c r="B3" s="31" t="s">
        <v>135</v>
      </c>
    </row>
    <row r="8" spans="2:16" x14ac:dyDescent="0.2">
      <c r="I8" s="24" t="s">
        <v>134</v>
      </c>
      <c r="J8" s="24"/>
      <c r="K8" s="24"/>
      <c r="L8" s="24"/>
      <c r="M8" s="24"/>
      <c r="N8" s="24"/>
      <c r="O8" s="24"/>
      <c r="P8" s="8"/>
    </row>
    <row r="9" spans="2:16" x14ac:dyDescent="0.2">
      <c r="B9" s="4" t="s">
        <v>133</v>
      </c>
      <c r="C9" s="4" t="s">
        <v>132</v>
      </c>
      <c r="D9" s="4" t="s">
        <v>131</v>
      </c>
      <c r="E9" s="4" t="s">
        <v>130</v>
      </c>
      <c r="F9" s="4" t="s">
        <v>429</v>
      </c>
      <c r="G9" s="4" t="s">
        <v>430</v>
      </c>
      <c r="I9" s="24"/>
      <c r="J9" s="30" t="s">
        <v>23</v>
      </c>
      <c r="K9" s="30" t="s">
        <v>36</v>
      </c>
      <c r="L9" s="30" t="s">
        <v>21</v>
      </c>
      <c r="M9" s="30" t="s">
        <v>20</v>
      </c>
      <c r="N9" s="30" t="s">
        <v>31</v>
      </c>
      <c r="O9" s="30" t="s">
        <v>27</v>
      </c>
      <c r="P9" s="8"/>
    </row>
    <row r="10" spans="2:16" x14ac:dyDescent="0.2">
      <c r="B10" s="4" t="s">
        <v>129</v>
      </c>
      <c r="C10" s="4">
        <v>0.87837986396496903</v>
      </c>
      <c r="D10" s="4" t="s">
        <v>31</v>
      </c>
      <c r="E10" s="4" t="s">
        <v>27</v>
      </c>
      <c r="F10" s="38">
        <v>8.2116889611948682</v>
      </c>
      <c r="G10" s="264">
        <v>1.39787817085794</v>
      </c>
      <c r="I10" s="24" t="s">
        <v>23</v>
      </c>
      <c r="J10" s="29">
        <f t="shared" ref="J10:O15" si="0">COUNTIFS(RatingLast,$I10,RatingNow,J$9)</f>
        <v>7</v>
      </c>
      <c r="K10" s="28">
        <f t="shared" si="0"/>
        <v>4</v>
      </c>
      <c r="L10" s="28">
        <f t="shared" si="0"/>
        <v>2</v>
      </c>
      <c r="M10" s="28">
        <f t="shared" si="0"/>
        <v>0</v>
      </c>
      <c r="N10" s="28">
        <f t="shared" si="0"/>
        <v>0</v>
      </c>
      <c r="O10" s="27">
        <f t="shared" si="0"/>
        <v>0</v>
      </c>
      <c r="P10" s="8"/>
    </row>
    <row r="11" spans="2:16" x14ac:dyDescent="0.2">
      <c r="B11" s="4" t="s">
        <v>128</v>
      </c>
      <c r="C11" s="4">
        <v>0.86778592575709479</v>
      </c>
      <c r="D11" s="4" t="s">
        <v>31</v>
      </c>
      <c r="E11" s="4" t="s">
        <v>31</v>
      </c>
      <c r="F11" s="38">
        <v>2.0821978323688706</v>
      </c>
      <c r="G11" s="264">
        <v>1.6252926650112602</v>
      </c>
      <c r="I11" s="24" t="s">
        <v>36</v>
      </c>
      <c r="J11" s="26">
        <f t="shared" si="0"/>
        <v>2</v>
      </c>
      <c r="K11" s="24">
        <f t="shared" si="0"/>
        <v>11</v>
      </c>
      <c r="L11" s="24">
        <f t="shared" si="0"/>
        <v>6</v>
      </c>
      <c r="M11" s="24">
        <f t="shared" si="0"/>
        <v>2</v>
      </c>
      <c r="N11" s="24">
        <f t="shared" si="0"/>
        <v>0</v>
      </c>
      <c r="O11" s="25">
        <f t="shared" si="0"/>
        <v>0</v>
      </c>
      <c r="P11" s="8"/>
    </row>
    <row r="12" spans="2:16" x14ac:dyDescent="0.2">
      <c r="B12" s="4" t="s">
        <v>127</v>
      </c>
      <c r="C12" s="4">
        <v>0.52119145596927485</v>
      </c>
      <c r="D12" s="4" t="s">
        <v>21</v>
      </c>
      <c r="E12" s="4" t="s">
        <v>20</v>
      </c>
      <c r="F12" s="38">
        <v>67.129219523606139</v>
      </c>
      <c r="G12" s="264">
        <v>7.4590248775114931</v>
      </c>
      <c r="I12" s="24" t="s">
        <v>21</v>
      </c>
      <c r="J12" s="26">
        <f t="shared" si="0"/>
        <v>0</v>
      </c>
      <c r="K12" s="24">
        <f t="shared" si="0"/>
        <v>2</v>
      </c>
      <c r="L12" s="24">
        <f t="shared" si="0"/>
        <v>4</v>
      </c>
      <c r="M12" s="24">
        <f t="shared" si="0"/>
        <v>9</v>
      </c>
      <c r="N12" s="24">
        <f t="shared" si="0"/>
        <v>6</v>
      </c>
      <c r="O12" s="25">
        <f t="shared" si="0"/>
        <v>0</v>
      </c>
      <c r="P12" s="8"/>
    </row>
    <row r="13" spans="2:16" x14ac:dyDescent="0.2">
      <c r="B13" s="4" t="s">
        <v>126</v>
      </c>
      <c r="C13" s="4">
        <v>0.84786367665154105</v>
      </c>
      <c r="D13" s="4" t="s">
        <v>31</v>
      </c>
      <c r="E13" s="4" t="s">
        <v>27</v>
      </c>
      <c r="F13" s="38">
        <v>23.919401965204763</v>
      </c>
      <c r="G13" s="264">
        <v>1.0138721046124297</v>
      </c>
      <c r="I13" s="24" t="s">
        <v>20</v>
      </c>
      <c r="J13" s="26">
        <f t="shared" si="0"/>
        <v>0</v>
      </c>
      <c r="K13" s="24">
        <f t="shared" si="0"/>
        <v>0</v>
      </c>
      <c r="L13" s="24">
        <f t="shared" si="0"/>
        <v>2</v>
      </c>
      <c r="M13" s="24">
        <f t="shared" si="0"/>
        <v>8</v>
      </c>
      <c r="N13" s="24">
        <f t="shared" si="0"/>
        <v>7</v>
      </c>
      <c r="O13" s="25">
        <f t="shared" si="0"/>
        <v>3</v>
      </c>
      <c r="P13" s="8"/>
    </row>
    <row r="14" spans="2:16" x14ac:dyDescent="0.2">
      <c r="B14" s="4" t="s">
        <v>125</v>
      </c>
      <c r="C14" s="4">
        <v>0.74482071432451058</v>
      </c>
      <c r="D14" s="4" t="s">
        <v>20</v>
      </c>
      <c r="E14" s="4" t="s">
        <v>20</v>
      </c>
      <c r="F14" s="38">
        <v>67.226538868279505</v>
      </c>
      <c r="G14" s="264">
        <v>7.0882993287412512</v>
      </c>
      <c r="I14" s="24" t="s">
        <v>31</v>
      </c>
      <c r="J14" s="26">
        <f t="shared" si="0"/>
        <v>0</v>
      </c>
      <c r="K14" s="24">
        <f t="shared" si="0"/>
        <v>0</v>
      </c>
      <c r="L14" s="24">
        <f t="shared" si="0"/>
        <v>0</v>
      </c>
      <c r="M14" s="24">
        <f t="shared" si="0"/>
        <v>3</v>
      </c>
      <c r="N14" s="24">
        <f t="shared" si="0"/>
        <v>6</v>
      </c>
      <c r="O14" s="25">
        <f t="shared" si="0"/>
        <v>16</v>
      </c>
      <c r="P14" s="8"/>
    </row>
    <row r="15" spans="2:16" x14ac:dyDescent="0.2">
      <c r="B15" s="4" t="s">
        <v>124</v>
      </c>
      <c r="C15" s="4">
        <v>0.85633854254513686</v>
      </c>
      <c r="D15" s="4" t="s">
        <v>31</v>
      </c>
      <c r="E15" s="4" t="s">
        <v>31</v>
      </c>
      <c r="F15" s="38">
        <v>40.365796255204877</v>
      </c>
      <c r="G15" s="264">
        <v>3.0220181451316055</v>
      </c>
      <c r="I15" s="24" t="s">
        <v>27</v>
      </c>
      <c r="J15" s="23">
        <f t="shared" si="0"/>
        <v>0</v>
      </c>
      <c r="K15" s="22">
        <f t="shared" si="0"/>
        <v>0</v>
      </c>
      <c r="L15" s="22">
        <f t="shared" si="0"/>
        <v>0</v>
      </c>
      <c r="M15" s="22">
        <f t="shared" si="0"/>
        <v>0</v>
      </c>
      <c r="N15" s="22">
        <f t="shared" si="0"/>
        <v>0</v>
      </c>
      <c r="O15" s="21">
        <f t="shared" si="0"/>
        <v>0</v>
      </c>
      <c r="P15" s="8"/>
    </row>
    <row r="16" spans="2:16" x14ac:dyDescent="0.2">
      <c r="B16" s="4" t="s">
        <v>123</v>
      </c>
      <c r="C16" s="4">
        <v>3.1748623600066805E-2</v>
      </c>
      <c r="D16" s="4" t="s">
        <v>23</v>
      </c>
      <c r="E16" s="4" t="s">
        <v>23</v>
      </c>
      <c r="F16" s="38">
        <v>80.467834923351319</v>
      </c>
      <c r="G16" s="264">
        <v>9.5506402260277916</v>
      </c>
      <c r="I16" s="8"/>
      <c r="J16" s="8"/>
      <c r="K16" s="8"/>
      <c r="L16" s="8"/>
      <c r="M16" s="8"/>
      <c r="N16" s="8"/>
      <c r="O16" s="8"/>
      <c r="P16" s="8"/>
    </row>
    <row r="17" spans="2:34" x14ac:dyDescent="0.2">
      <c r="B17" s="4" t="s">
        <v>122</v>
      </c>
      <c r="C17" s="4">
        <v>0.13847525438575636</v>
      </c>
      <c r="D17" s="4" t="s">
        <v>23</v>
      </c>
      <c r="E17" s="4" t="s">
        <v>21</v>
      </c>
      <c r="F17" s="38">
        <v>74.294695771915386</v>
      </c>
      <c r="G17" s="264">
        <v>9.8434192564738119</v>
      </c>
    </row>
    <row r="18" spans="2:34" x14ac:dyDescent="0.2">
      <c r="B18" s="4" t="s">
        <v>121</v>
      </c>
      <c r="C18" s="4">
        <v>0.35239980324078335</v>
      </c>
      <c r="D18" s="4" t="s">
        <v>36</v>
      </c>
      <c r="E18" s="4" t="s">
        <v>21</v>
      </c>
      <c r="F18" s="38">
        <v>37.636930947623661</v>
      </c>
      <c r="G18" s="264">
        <v>8.344474777321544</v>
      </c>
      <c r="I18" s="4" t="s">
        <v>120</v>
      </c>
    </row>
    <row r="19" spans="2:34" x14ac:dyDescent="0.2">
      <c r="B19" s="4" t="s">
        <v>119</v>
      </c>
      <c r="C19" s="4">
        <v>0.629727923495492</v>
      </c>
      <c r="D19" s="4" t="s">
        <v>20</v>
      </c>
      <c r="E19" s="4" t="s">
        <v>21</v>
      </c>
      <c r="F19" s="38">
        <v>76.753161003324905</v>
      </c>
      <c r="G19" s="264">
        <v>7.9150148005442347</v>
      </c>
      <c r="J19" s="9" t="s">
        <v>23</v>
      </c>
      <c r="K19" s="9" t="s">
        <v>36</v>
      </c>
      <c r="L19" s="9" t="s">
        <v>21</v>
      </c>
      <c r="M19" s="9" t="s">
        <v>20</v>
      </c>
      <c r="N19" s="9" t="s">
        <v>31</v>
      </c>
      <c r="O19" s="9" t="s">
        <v>27</v>
      </c>
      <c r="Q19" s="10" t="s">
        <v>118</v>
      </c>
    </row>
    <row r="20" spans="2:34" x14ac:dyDescent="0.2">
      <c r="B20" s="4" t="s">
        <v>117</v>
      </c>
      <c r="C20" s="4">
        <v>0.30133037852189781</v>
      </c>
      <c r="D20" s="4" t="s">
        <v>36</v>
      </c>
      <c r="E20" s="4" t="s">
        <v>21</v>
      </c>
      <c r="F20" s="38">
        <v>21.187561451253998</v>
      </c>
      <c r="G20" s="264">
        <v>7.1277270027175987</v>
      </c>
      <c r="I20" s="4" t="s">
        <v>23</v>
      </c>
      <c r="J20" s="20">
        <f t="array" ref="J20:O20">J10:O10/SUM(J10:O10)</f>
        <v>0.53846153846153844</v>
      </c>
      <c r="K20" s="19">
        <v>0.30769230769230771</v>
      </c>
      <c r="L20" s="19">
        <v>0.15384615384615385</v>
      </c>
      <c r="M20" s="19">
        <v>0</v>
      </c>
      <c r="N20" s="19">
        <v>0</v>
      </c>
      <c r="O20" s="18">
        <v>0</v>
      </c>
    </row>
    <row r="21" spans="2:34" x14ac:dyDescent="0.2">
      <c r="B21" s="4" t="s">
        <v>116</v>
      </c>
      <c r="C21" s="4">
        <v>0.55932131678917996</v>
      </c>
      <c r="D21" s="4" t="s">
        <v>21</v>
      </c>
      <c r="E21" s="4" t="s">
        <v>31</v>
      </c>
      <c r="F21" s="38">
        <v>99.017852588544912</v>
      </c>
      <c r="G21" s="264">
        <v>1.4969246243228673</v>
      </c>
      <c r="I21" s="4" t="s">
        <v>36</v>
      </c>
      <c r="J21" s="17">
        <f t="array" ref="J21:O21">J11:O11/SUM(J11:O11)</f>
        <v>9.5238095238095233E-2</v>
      </c>
      <c r="K21" s="15">
        <v>0.52380952380952384</v>
      </c>
      <c r="L21" s="16">
        <v>0.2857142857142857</v>
      </c>
      <c r="M21" s="16">
        <v>9.5238095238095233E-2</v>
      </c>
      <c r="N21" s="16">
        <v>0</v>
      </c>
      <c r="O21" s="14">
        <v>0</v>
      </c>
    </row>
    <row r="22" spans="2:34" x14ac:dyDescent="0.2">
      <c r="B22" s="4" t="s">
        <v>115</v>
      </c>
      <c r="C22" s="4">
        <v>0.57897251751359091</v>
      </c>
      <c r="D22" s="4" t="s">
        <v>21</v>
      </c>
      <c r="E22" s="4" t="s">
        <v>21</v>
      </c>
      <c r="F22" s="38">
        <v>89.428696095140779</v>
      </c>
      <c r="G22" s="264">
        <v>7.6093974701891414</v>
      </c>
      <c r="I22" s="4" t="s">
        <v>21</v>
      </c>
      <c r="J22" s="17">
        <f t="array" ref="J22:O22">J12:O12/SUM(J12:O12)</f>
        <v>0</v>
      </c>
      <c r="K22" s="16">
        <v>9.5238095238095233E-2</v>
      </c>
      <c r="L22" s="15">
        <v>0.19047619047619047</v>
      </c>
      <c r="M22" s="16">
        <v>0.42857142857142855</v>
      </c>
      <c r="N22" s="16">
        <v>0.2857142857142857</v>
      </c>
      <c r="O22" s="14">
        <v>0</v>
      </c>
    </row>
    <row r="23" spans="2:34" x14ac:dyDescent="0.2">
      <c r="B23" s="4" t="s">
        <v>114</v>
      </c>
      <c r="C23" s="4">
        <v>0.57354336706452547</v>
      </c>
      <c r="D23" s="4" t="s">
        <v>21</v>
      </c>
      <c r="E23" s="4" t="s">
        <v>20</v>
      </c>
      <c r="F23" s="38">
        <v>97.490593750922798</v>
      </c>
      <c r="G23" s="264">
        <v>6.8702237255337684</v>
      </c>
      <c r="I23" s="4" t="s">
        <v>20</v>
      </c>
      <c r="J23" s="17">
        <f t="array" ref="J23:O23">J13:O13/SUM(J13:O13)</f>
        <v>0</v>
      </c>
      <c r="K23" s="16">
        <v>0</v>
      </c>
      <c r="L23" s="16">
        <v>0.1</v>
      </c>
      <c r="M23" s="15">
        <v>0.4</v>
      </c>
      <c r="N23" s="16">
        <v>0.35</v>
      </c>
      <c r="O23" s="14">
        <v>0.15</v>
      </c>
    </row>
    <row r="24" spans="2:34" x14ac:dyDescent="0.2">
      <c r="B24" s="4" t="s">
        <v>113</v>
      </c>
      <c r="C24" s="4">
        <v>0.2220152633174447</v>
      </c>
      <c r="D24" s="4" t="s">
        <v>36</v>
      </c>
      <c r="E24" s="4" t="s">
        <v>23</v>
      </c>
      <c r="F24" s="38">
        <v>11.835634126517435</v>
      </c>
      <c r="G24" s="264">
        <v>10.932351871754516</v>
      </c>
      <c r="I24" s="4" t="s">
        <v>31</v>
      </c>
      <c r="J24" s="17">
        <f t="array" ref="J24:O24">J14:O14/SUM(J14:O14)</f>
        <v>0</v>
      </c>
      <c r="K24" s="16">
        <v>0</v>
      </c>
      <c r="L24" s="16">
        <v>0</v>
      </c>
      <c r="M24" s="16">
        <v>0.12</v>
      </c>
      <c r="N24" s="15">
        <v>0.24</v>
      </c>
      <c r="O24" s="14">
        <v>0.64</v>
      </c>
    </row>
    <row r="25" spans="2:34" x14ac:dyDescent="0.2">
      <c r="B25" s="4" t="s">
        <v>112</v>
      </c>
      <c r="C25" s="4">
        <v>0.93262582287957241</v>
      </c>
      <c r="D25" s="4" t="s">
        <v>31</v>
      </c>
      <c r="E25" s="4" t="s">
        <v>27</v>
      </c>
      <c r="F25" s="38">
        <v>16.788775597477603</v>
      </c>
      <c r="G25" s="264">
        <v>1.5244219381878628</v>
      </c>
      <c r="I25" s="4" t="s">
        <v>27</v>
      </c>
      <c r="J25" s="13">
        <f t="array" ref="J25:O25">IFERROR(J15:O15/SUM(J15:O15),0)</f>
        <v>0</v>
      </c>
      <c r="K25" s="12">
        <v>0</v>
      </c>
      <c r="L25" s="12">
        <v>0</v>
      </c>
      <c r="M25" s="12">
        <v>0</v>
      </c>
      <c r="N25" s="12">
        <v>0</v>
      </c>
      <c r="O25" s="11">
        <v>0</v>
      </c>
    </row>
    <row r="26" spans="2:34" x14ac:dyDescent="0.2">
      <c r="B26" s="4" t="s">
        <v>111</v>
      </c>
      <c r="C26" s="4">
        <v>0.62075910543702517</v>
      </c>
      <c r="D26" s="4" t="s">
        <v>20</v>
      </c>
      <c r="E26" s="4" t="s">
        <v>20</v>
      </c>
      <c r="F26" s="38">
        <v>25.594671943319081</v>
      </c>
      <c r="G26" s="264">
        <v>5.1703871658063152</v>
      </c>
    </row>
    <row r="27" spans="2:34" x14ac:dyDescent="0.2">
      <c r="B27" s="4" t="s">
        <v>110</v>
      </c>
      <c r="C27" s="4">
        <v>0.22819056193474963</v>
      </c>
      <c r="D27" s="4" t="s">
        <v>36</v>
      </c>
      <c r="E27" s="4" t="s">
        <v>36</v>
      </c>
      <c r="F27" s="38">
        <v>46.397183218041768</v>
      </c>
      <c r="G27" s="264">
        <v>8.0711338068908027</v>
      </c>
    </row>
    <row r="28" spans="2:34" x14ac:dyDescent="0.2">
      <c r="B28" s="4" t="s">
        <v>109</v>
      </c>
      <c r="C28" s="4">
        <v>0.77132432197816658</v>
      </c>
      <c r="D28" s="4" t="s">
        <v>20</v>
      </c>
      <c r="E28" s="4" t="s">
        <v>20</v>
      </c>
      <c r="F28" s="38">
        <v>22.422308321723992</v>
      </c>
      <c r="G28" s="264">
        <v>5.0711388322277493</v>
      </c>
    </row>
    <row r="29" spans="2:34" x14ac:dyDescent="0.2">
      <c r="B29" s="4" t="s">
        <v>108</v>
      </c>
      <c r="C29" s="4">
        <v>0.57246332435771263</v>
      </c>
      <c r="D29" s="4" t="s">
        <v>21</v>
      </c>
      <c r="E29" s="4" t="s">
        <v>31</v>
      </c>
      <c r="F29" s="38">
        <v>49.900240230025631</v>
      </c>
      <c r="G29" s="264">
        <v>3.5278072841494366</v>
      </c>
      <c r="I29" s="10" t="s">
        <v>107</v>
      </c>
    </row>
    <row r="30" spans="2:34" x14ac:dyDescent="0.2">
      <c r="B30" s="4" t="s">
        <v>106</v>
      </c>
      <c r="C30" s="4">
        <v>0.86103184618814521</v>
      </c>
      <c r="D30" s="4" t="s">
        <v>31</v>
      </c>
      <c r="E30" s="4" t="s">
        <v>20</v>
      </c>
      <c r="F30" s="38">
        <v>88.634516281821547</v>
      </c>
      <c r="G30" s="264">
        <v>5.3101370653186271</v>
      </c>
      <c r="I30" s="5" t="s">
        <v>23</v>
      </c>
      <c r="J30" s="9" t="s">
        <v>23</v>
      </c>
      <c r="K30" s="9" t="s">
        <v>36</v>
      </c>
      <c r="L30" s="9" t="s">
        <v>21</v>
      </c>
      <c r="M30" s="9" t="s">
        <v>20</v>
      </c>
      <c r="N30" s="9" t="s">
        <v>31</v>
      </c>
      <c r="O30" s="9" t="s">
        <v>27</v>
      </c>
      <c r="Q30" s="4" t="s">
        <v>105</v>
      </c>
      <c r="T30" s="268" t="s">
        <v>142</v>
      </c>
      <c r="U30" s="35" t="s">
        <v>360</v>
      </c>
      <c r="V30" s="35" t="s">
        <v>362</v>
      </c>
      <c r="X30" s="35" t="s">
        <v>141</v>
      </c>
      <c r="Y30" s="285" t="s">
        <v>486</v>
      </c>
      <c r="Z30" s="9"/>
      <c r="AA30" s="10" t="s">
        <v>140</v>
      </c>
      <c r="AB30" s="10" t="s">
        <v>139</v>
      </c>
    </row>
    <row r="31" spans="2:34" x14ac:dyDescent="0.2">
      <c r="B31" s="4" t="s">
        <v>104</v>
      </c>
      <c r="C31" s="4">
        <v>0.94709052952496053</v>
      </c>
      <c r="D31" s="4" t="s">
        <v>31</v>
      </c>
      <c r="E31" s="4" t="s">
        <v>27</v>
      </c>
      <c r="F31" s="38">
        <v>28.880299552292112</v>
      </c>
      <c r="G31" s="264">
        <v>0.80637700826324499</v>
      </c>
      <c r="I31" s="8">
        <v>0</v>
      </c>
      <c r="J31" s="7">
        <f t="shared" ref="J31:O36" si="1">J20+I31</f>
        <v>0.53846153846153844</v>
      </c>
      <c r="K31" s="7">
        <f t="shared" si="1"/>
        <v>0.84615384615384615</v>
      </c>
      <c r="L31" s="7">
        <f t="shared" si="1"/>
        <v>1</v>
      </c>
      <c r="M31" s="7">
        <f t="shared" si="1"/>
        <v>1</v>
      </c>
      <c r="N31" s="7">
        <f t="shared" si="1"/>
        <v>1</v>
      </c>
      <c r="O31" s="7">
        <f t="shared" si="1"/>
        <v>1</v>
      </c>
      <c r="Q31" s="262" t="str">
        <f ca="1">HLOOKUP(RAND(),I31:$O$37,ROWS(I31:$O$37),1)</f>
        <v>A</v>
      </c>
      <c r="S31" s="9" t="s">
        <v>23</v>
      </c>
      <c r="T31" s="263">
        <f t="array" ref="T31">SUM(Duration_*Price_*(RatingNow=S31))/SUM(Price_*(RatingNow=S31))</f>
        <v>10.077750469970599</v>
      </c>
      <c r="U31" s="263">
        <f t="shared" ref="U31:U36" si="2">SUMIFS(Price_,RatingNow,S31)</f>
        <v>339.87564772964527</v>
      </c>
      <c r="V31" s="32">
        <v>5.0000000000000001E-3</v>
      </c>
      <c r="X31" s="33">
        <f ca="1">VLOOKUP(Q31,$S$31:$V$35,4,0)</f>
        <v>5.0000000000000001E-3</v>
      </c>
      <c r="Y31" s="32">
        <f ca="1">X31-V31</f>
        <v>0</v>
      </c>
      <c r="AA31" s="4">
        <f>-Duration*Notional</f>
        <v>-3425.1819686389945</v>
      </c>
      <c r="AB31" s="263">
        <f ca="1">dr*Sensitivity</f>
        <v>0</v>
      </c>
    </row>
    <row r="32" spans="2:34" x14ac:dyDescent="0.2">
      <c r="B32" s="4" t="s">
        <v>103</v>
      </c>
      <c r="C32" s="4">
        <v>0.85909824540678892</v>
      </c>
      <c r="D32" s="4" t="s">
        <v>31</v>
      </c>
      <c r="E32" s="4" t="s">
        <v>20</v>
      </c>
      <c r="F32" s="38">
        <v>21.610227046155149</v>
      </c>
      <c r="G32" s="264">
        <v>6.9531340803672181</v>
      </c>
      <c r="I32" s="8">
        <v>0</v>
      </c>
      <c r="J32" s="7">
        <f t="shared" si="1"/>
        <v>9.5238095238095233E-2</v>
      </c>
      <c r="K32" s="7">
        <f t="shared" si="1"/>
        <v>0.61904761904761907</v>
      </c>
      <c r="L32" s="7">
        <f t="shared" si="1"/>
        <v>0.90476190476190477</v>
      </c>
      <c r="M32" s="7">
        <f t="shared" si="1"/>
        <v>1</v>
      </c>
      <c r="N32" s="7">
        <f t="shared" si="1"/>
        <v>1</v>
      </c>
      <c r="O32" s="7">
        <f t="shared" si="1"/>
        <v>1</v>
      </c>
      <c r="Q32" s="262" t="str">
        <f ca="1">HLOOKUP(RAND(),I32:$O$37,ROWS(I32:$O$37),1)</f>
        <v>A</v>
      </c>
      <c r="S32" s="9" t="s">
        <v>36</v>
      </c>
      <c r="T32" s="263">
        <f t="array" ref="T32">SUM(Duration_*Price_*(RatingNow=S32))/SUM(Price_*(RatingNow=S32))</f>
        <v>9.086674227276168</v>
      </c>
      <c r="U32" s="263">
        <f t="shared" si="2"/>
        <v>886.25994751657777</v>
      </c>
      <c r="V32" s="34">
        <v>0.01</v>
      </c>
      <c r="X32" s="33">
        <f t="shared" ref="X32:X35" ca="1" si="3">VLOOKUP(Q32,$S$31:$V$35,4,0)</f>
        <v>5.0000000000000001E-3</v>
      </c>
      <c r="Y32" s="32">
        <f ca="1">X32-V32</f>
        <v>-5.0000000000000001E-3</v>
      </c>
      <c r="AA32" s="4">
        <f>-Duration*Notional</f>
        <v>-8053.1554237660166</v>
      </c>
      <c r="AB32" s="263">
        <f ca="1">dr*Sensitivity</f>
        <v>40.265777118830087</v>
      </c>
      <c r="AF32" s="4">
        <v>0</v>
      </c>
      <c r="AG32" s="38">
        <f t="shared" ref="AG32:AG52" si="4">min+range*AF32</f>
        <v>-809.93765870882316</v>
      </c>
      <c r="AH32" s="4">
        <f t="array" ref="AH32:AH52">FREQUENCY(AB39:AB288,AG32:AG52)</f>
        <v>1</v>
      </c>
    </row>
    <row r="33" spans="2:34" x14ac:dyDescent="0.2">
      <c r="B33" s="4" t="s">
        <v>102</v>
      </c>
      <c r="C33" s="4">
        <v>0.13326863734457084</v>
      </c>
      <c r="D33" s="4" t="s">
        <v>23</v>
      </c>
      <c r="E33" s="4" t="s">
        <v>23</v>
      </c>
      <c r="F33" s="38">
        <v>85.021688878712865</v>
      </c>
      <c r="G33" s="264">
        <v>10.399959882403085</v>
      </c>
      <c r="I33" s="8">
        <v>0</v>
      </c>
      <c r="J33" s="7">
        <f t="shared" si="1"/>
        <v>0</v>
      </c>
      <c r="K33" s="7">
        <f t="shared" si="1"/>
        <v>9.5238095238095233E-2</v>
      </c>
      <c r="L33" s="7">
        <f t="shared" si="1"/>
        <v>0.2857142857142857</v>
      </c>
      <c r="M33" s="7">
        <f t="shared" si="1"/>
        <v>0.71428571428571419</v>
      </c>
      <c r="N33" s="7">
        <f t="shared" si="1"/>
        <v>0.99999999999999989</v>
      </c>
      <c r="O33" s="7">
        <f t="shared" si="1"/>
        <v>0.99999999999999989</v>
      </c>
      <c r="Q33" s="262" t="str">
        <f ca="1">HLOOKUP(RAND(),I33:$O$37,ROWS(I33:$O$37),1)</f>
        <v>C</v>
      </c>
      <c r="S33" s="9" t="s">
        <v>21</v>
      </c>
      <c r="T33" s="263">
        <f t="array" ref="T33">SUM(Duration_*Price_*(RatingNow=S33))/SUM(Price_*(RatingNow=S33))</f>
        <v>8.1634870821407741</v>
      </c>
      <c r="U33" s="263">
        <f t="shared" si="2"/>
        <v>801.65006754439185</v>
      </c>
      <c r="V33" s="34">
        <v>0.02</v>
      </c>
      <c r="X33" s="33">
        <f t="shared" ca="1" si="3"/>
        <v>0.02</v>
      </c>
      <c r="Y33" s="32">
        <f ca="1">X33-V33</f>
        <v>0</v>
      </c>
      <c r="AA33" s="4">
        <f>-Duration*Notional</f>
        <v>-6544.2599707959216</v>
      </c>
      <c r="AB33" s="263">
        <f ca="1">dr*Sensitivity</f>
        <v>0</v>
      </c>
      <c r="AF33" s="4">
        <v>0.05</v>
      </c>
      <c r="AG33" s="38">
        <f t="shared" si="4"/>
        <v>-762.28866512867853</v>
      </c>
      <c r="AH33" s="4">
        <v>0</v>
      </c>
    </row>
    <row r="34" spans="2:34" x14ac:dyDescent="0.2">
      <c r="B34" s="4" t="s">
        <v>101</v>
      </c>
      <c r="C34" s="4">
        <v>2.4561640532133056E-2</v>
      </c>
      <c r="D34" s="4" t="s">
        <v>23</v>
      </c>
      <c r="E34" s="4" t="s">
        <v>23</v>
      </c>
      <c r="F34" s="38">
        <v>21.473754008323841</v>
      </c>
      <c r="G34" s="264">
        <v>8.2059291658347995</v>
      </c>
      <c r="I34" s="8">
        <v>0</v>
      </c>
      <c r="J34" s="7">
        <f t="shared" si="1"/>
        <v>0</v>
      </c>
      <c r="K34" s="7">
        <f t="shared" si="1"/>
        <v>0</v>
      </c>
      <c r="L34" s="7">
        <f t="shared" si="1"/>
        <v>0.1</v>
      </c>
      <c r="M34" s="7">
        <f t="shared" si="1"/>
        <v>0.5</v>
      </c>
      <c r="N34" s="7">
        <f t="shared" si="1"/>
        <v>0.85</v>
      </c>
      <c r="O34" s="7">
        <f t="shared" si="1"/>
        <v>1</v>
      </c>
      <c r="Q34" s="262" t="str">
        <f ca="1">HLOOKUP(RAND(),I34:$O$37,ROWS(I34:$O$37),1)</f>
        <v>B</v>
      </c>
      <c r="S34" s="9" t="s">
        <v>20</v>
      </c>
      <c r="T34" s="263">
        <f t="array" ref="T34">SUM(Duration_*Price_*(RatingNow=S34))/SUM(Price_*(RatingNow=S34))</f>
        <v>6.348771319371469</v>
      </c>
      <c r="U34" s="263">
        <f t="shared" si="2"/>
        <v>1185.7669568609131</v>
      </c>
      <c r="V34" s="34">
        <v>0.04</v>
      </c>
      <c r="X34" s="33">
        <f t="shared" ca="1" si="3"/>
        <v>0.01</v>
      </c>
      <c r="Y34" s="32">
        <f ca="1">X34-V34</f>
        <v>-0.03</v>
      </c>
      <c r="AA34" s="4">
        <f>-Duration*Notional</f>
        <v>-7528.1632471769508</v>
      </c>
      <c r="AB34" s="263">
        <f ca="1">dr*Sensitivity</f>
        <v>225.84489741530851</v>
      </c>
      <c r="AF34" s="4">
        <v>0.1</v>
      </c>
      <c r="AG34" s="38">
        <f t="shared" si="4"/>
        <v>-714.6396715485339</v>
      </c>
      <c r="AH34" s="4">
        <v>1</v>
      </c>
    </row>
    <row r="35" spans="2:34" x14ac:dyDescent="0.2">
      <c r="B35" s="4" t="s">
        <v>100</v>
      </c>
      <c r="C35" s="4">
        <v>0.69102718204006508</v>
      </c>
      <c r="D35" s="4" t="s">
        <v>20</v>
      </c>
      <c r="E35" s="4" t="s">
        <v>31</v>
      </c>
      <c r="F35" s="38">
        <v>61.912255756391033</v>
      </c>
      <c r="G35" s="264">
        <v>1.8594266660912036</v>
      </c>
      <c r="I35" s="8">
        <v>0</v>
      </c>
      <c r="J35" s="7">
        <f t="shared" si="1"/>
        <v>0</v>
      </c>
      <c r="K35" s="7">
        <f t="shared" si="1"/>
        <v>0</v>
      </c>
      <c r="L35" s="7">
        <f t="shared" si="1"/>
        <v>0</v>
      </c>
      <c r="M35" s="7">
        <f t="shared" si="1"/>
        <v>0.12</v>
      </c>
      <c r="N35" s="7">
        <f t="shared" si="1"/>
        <v>0.36</v>
      </c>
      <c r="O35" s="7">
        <f t="shared" si="1"/>
        <v>1</v>
      </c>
      <c r="Q35" s="262" t="str">
        <f ca="1">HLOOKUP(RAND(),I35:$O$37,ROWS(I35:$O$37),1)</f>
        <v>C</v>
      </c>
      <c r="S35" s="9" t="s">
        <v>31</v>
      </c>
      <c r="T35" s="263">
        <f t="array" ref="T35">SUM(Duration_*Price_*(RatingNow=S35))/SUM(Price_*(RatingNow=S35))</f>
        <v>2.726232492295753</v>
      </c>
      <c r="U35" s="263">
        <f t="shared" si="2"/>
        <v>925.84208467120197</v>
      </c>
      <c r="V35" s="34">
        <v>0.08</v>
      </c>
      <c r="X35" s="33">
        <f t="shared" ca="1" si="3"/>
        <v>0.02</v>
      </c>
      <c r="Y35" s="32">
        <f ca="1">X35-V35</f>
        <v>-0.06</v>
      </c>
      <c r="AA35" s="4">
        <f>-Duration*Notional</f>
        <v>-2524.0607739654665</v>
      </c>
      <c r="AB35" s="263">
        <f ca="1">dr*Sensitivity</f>
        <v>151.44364643792798</v>
      </c>
      <c r="AF35" s="4">
        <v>0.15</v>
      </c>
      <c r="AG35" s="38">
        <f t="shared" si="4"/>
        <v>-666.99067796838926</v>
      </c>
      <c r="AH35" s="4">
        <v>5</v>
      </c>
    </row>
    <row r="36" spans="2:34" x14ac:dyDescent="0.2">
      <c r="B36" s="4" t="s">
        <v>99</v>
      </c>
      <c r="C36" s="4">
        <v>0.47219088645737706</v>
      </c>
      <c r="D36" s="4" t="s">
        <v>21</v>
      </c>
      <c r="E36" s="4" t="s">
        <v>20</v>
      </c>
      <c r="F36" s="38">
        <v>53.322073630811737</v>
      </c>
      <c r="G36" s="264">
        <v>6.4046647552474081</v>
      </c>
      <c r="I36" s="8">
        <v>0</v>
      </c>
      <c r="J36" s="7">
        <f t="shared" si="1"/>
        <v>0</v>
      </c>
      <c r="K36" s="7">
        <f t="shared" si="1"/>
        <v>0</v>
      </c>
      <c r="L36" s="7">
        <f t="shared" si="1"/>
        <v>0</v>
      </c>
      <c r="M36" s="7">
        <f t="shared" si="1"/>
        <v>0</v>
      </c>
      <c r="N36" s="7">
        <f t="shared" si="1"/>
        <v>0</v>
      </c>
      <c r="O36" s="7">
        <f t="shared" si="1"/>
        <v>0</v>
      </c>
      <c r="Q36" s="262" t="str">
        <f ca="1">HLOOKUP(RAND(),I36:$O$37,ROWS(I36:$O$37),1)</f>
        <v>F</v>
      </c>
      <c r="S36" s="9" t="s">
        <v>27</v>
      </c>
      <c r="T36" s="263">
        <f t="shared" ref="T36" si="5">AVERAGEIFS(Duration_,RatingNow,S36)</f>
        <v>1.4548170137688583</v>
      </c>
      <c r="U36" s="263">
        <f t="shared" si="2"/>
        <v>495.65729194694416</v>
      </c>
      <c r="V36" s="9" t="s">
        <v>431</v>
      </c>
      <c r="X36" s="9" t="s">
        <v>431</v>
      </c>
      <c r="Y36" s="9" t="s">
        <v>431</v>
      </c>
      <c r="AA36" s="9" t="s">
        <v>431</v>
      </c>
      <c r="AB36" s="263">
        <f>-U36*(1-40%)</f>
        <v>-297.3943751681665</v>
      </c>
      <c r="AF36" s="4">
        <v>0.2</v>
      </c>
      <c r="AG36" s="38">
        <f t="shared" si="4"/>
        <v>-619.34168438824463</v>
      </c>
      <c r="AH36" s="4">
        <v>3</v>
      </c>
    </row>
    <row r="37" spans="2:34" x14ac:dyDescent="0.2">
      <c r="B37" s="4" t="s">
        <v>98</v>
      </c>
      <c r="C37" s="4">
        <v>0.96736610542638979</v>
      </c>
      <c r="D37" s="4" t="s">
        <v>31</v>
      </c>
      <c r="E37" s="4" t="s">
        <v>27</v>
      </c>
      <c r="F37" s="38">
        <v>36.39863146840986</v>
      </c>
      <c r="G37" s="264">
        <v>0.49332315522988845</v>
      </c>
      <c r="I37" s="5" t="s">
        <v>23</v>
      </c>
      <c r="J37" s="5" t="s">
        <v>23</v>
      </c>
      <c r="K37" s="5" t="s">
        <v>36</v>
      </c>
      <c r="L37" s="5" t="s">
        <v>21</v>
      </c>
      <c r="M37" s="5" t="s">
        <v>20</v>
      </c>
      <c r="N37" s="5" t="s">
        <v>31</v>
      </c>
      <c r="O37" s="5" t="s">
        <v>27</v>
      </c>
      <c r="AF37" s="4">
        <v>0.25</v>
      </c>
      <c r="AG37" s="38">
        <f t="shared" si="4"/>
        <v>-571.6926908081</v>
      </c>
      <c r="AH37" s="4">
        <v>7</v>
      </c>
    </row>
    <row r="38" spans="2:34" x14ac:dyDescent="0.2">
      <c r="B38" s="4" t="s">
        <v>97</v>
      </c>
      <c r="C38" s="4">
        <v>0.32731700081355264</v>
      </c>
      <c r="D38" s="4" t="s">
        <v>36</v>
      </c>
      <c r="E38" s="4" t="s">
        <v>36</v>
      </c>
      <c r="F38" s="38">
        <v>66.337934995536642</v>
      </c>
      <c r="G38" s="264">
        <v>8.4695858142277398</v>
      </c>
      <c r="AB38" s="263">
        <f ca="1">SUM(AB31:AB36)</f>
        <v>120.15994580390003</v>
      </c>
      <c r="AF38" s="4">
        <v>0.3</v>
      </c>
      <c r="AG38" s="38">
        <f t="shared" si="4"/>
        <v>-524.04369722795536</v>
      </c>
      <c r="AH38" s="4">
        <v>9</v>
      </c>
    </row>
    <row r="39" spans="2:34" x14ac:dyDescent="0.2">
      <c r="B39" s="4" t="s">
        <v>96</v>
      </c>
      <c r="C39" s="4">
        <v>2.2840188242793991E-2</v>
      </c>
      <c r="D39" s="4" t="s">
        <v>23</v>
      </c>
      <c r="E39" s="4" t="s">
        <v>36</v>
      </c>
      <c r="F39" s="38">
        <v>79.531764776477075</v>
      </c>
      <c r="G39" s="264">
        <v>9.1851074752231554</v>
      </c>
      <c r="AA39" s="4">
        <v>1</v>
      </c>
      <c r="AB39" s="4">
        <f t="dataTable" ref="AB39:AB288" dt2D="0" dtr="0" r1="Z268" ca="1"/>
        <v>59.839697560780451</v>
      </c>
      <c r="AC39" s="10" t="s">
        <v>138</v>
      </c>
      <c r="AD39" s="4">
        <f>MIN(AB39:AB288)</f>
        <v>-809.93765870882316</v>
      </c>
      <c r="AF39" s="4">
        <v>0.35</v>
      </c>
      <c r="AG39" s="38">
        <f t="shared" si="4"/>
        <v>-476.39470364781073</v>
      </c>
      <c r="AH39" s="4">
        <v>7</v>
      </c>
    </row>
    <row r="40" spans="2:34" x14ac:dyDescent="0.2">
      <c r="B40" s="4" t="s">
        <v>95</v>
      </c>
      <c r="C40" s="4">
        <v>0.92397381828911795</v>
      </c>
      <c r="D40" s="4" t="s">
        <v>31</v>
      </c>
      <c r="E40" s="4" t="s">
        <v>27</v>
      </c>
      <c r="F40" s="38">
        <v>48.107876050329644</v>
      </c>
      <c r="G40" s="264">
        <v>0.84851868925850327</v>
      </c>
      <c r="AA40" s="4">
        <v>2</v>
      </c>
      <c r="AB40" s="4">
        <v>-98.514420359863237</v>
      </c>
      <c r="AC40" s="10" t="s">
        <v>137</v>
      </c>
      <c r="AD40" s="4">
        <f>MAX(AB39:AB288)</f>
        <v>143.04221289406945</v>
      </c>
      <c r="AF40" s="4">
        <v>0.4</v>
      </c>
      <c r="AG40" s="38">
        <f t="shared" si="4"/>
        <v>-428.7457100676661</v>
      </c>
      <c r="AH40" s="4">
        <v>10</v>
      </c>
    </row>
    <row r="41" spans="2:34" x14ac:dyDescent="0.2">
      <c r="B41" s="4" t="s">
        <v>94</v>
      </c>
      <c r="C41" s="4">
        <v>7.7896725092658436E-2</v>
      </c>
      <c r="D41" s="4" t="s">
        <v>23</v>
      </c>
      <c r="E41" s="4" t="s">
        <v>36</v>
      </c>
      <c r="F41" s="38">
        <v>2.2467468190886297</v>
      </c>
      <c r="G41" s="264">
        <v>8.9158168755440457</v>
      </c>
      <c r="AA41" s="4">
        <v>3</v>
      </c>
      <c r="AB41" s="4">
        <v>-689.14032735233286</v>
      </c>
      <c r="AC41" s="10" t="s">
        <v>136</v>
      </c>
      <c r="AD41" s="4">
        <f>AD40-AD39</f>
        <v>952.97987160289267</v>
      </c>
      <c r="AF41" s="4">
        <v>0.45</v>
      </c>
      <c r="AG41" s="38">
        <f t="shared" si="4"/>
        <v>-381.09671648752146</v>
      </c>
      <c r="AH41" s="4">
        <v>13</v>
      </c>
    </row>
    <row r="42" spans="2:34" x14ac:dyDescent="0.2">
      <c r="B42" s="4" t="s">
        <v>93</v>
      </c>
      <c r="C42" s="4">
        <v>0.65542830970793808</v>
      </c>
      <c r="D42" s="4" t="s">
        <v>20</v>
      </c>
      <c r="E42" s="4" t="s">
        <v>27</v>
      </c>
      <c r="F42" s="38">
        <v>31.342457566370989</v>
      </c>
      <c r="G42" s="264">
        <v>1.0770348505322942</v>
      </c>
      <c r="AA42" s="4">
        <v>4</v>
      </c>
      <c r="AB42" s="4">
        <v>4.6125362133005297</v>
      </c>
      <c r="AF42" s="4">
        <v>0.5</v>
      </c>
      <c r="AG42" s="38">
        <f t="shared" si="4"/>
        <v>-333.44772290737683</v>
      </c>
      <c r="AH42" s="4">
        <v>6</v>
      </c>
    </row>
    <row r="43" spans="2:34" x14ac:dyDescent="0.2">
      <c r="B43" s="4" t="s">
        <v>92</v>
      </c>
      <c r="C43" s="4">
        <v>0.25203125416123051</v>
      </c>
      <c r="D43" s="4" t="s">
        <v>36</v>
      </c>
      <c r="E43" s="4" t="s">
        <v>36</v>
      </c>
      <c r="F43" s="38">
        <v>7.9718097117669533</v>
      </c>
      <c r="G43" s="264">
        <v>8.2397599453990953</v>
      </c>
      <c r="AA43" s="4">
        <v>5</v>
      </c>
      <c r="AB43" s="4">
        <v>44.878313332130631</v>
      </c>
      <c r="AF43" s="4">
        <v>0.55000000000000004</v>
      </c>
      <c r="AG43" s="38">
        <f t="shared" si="4"/>
        <v>-285.79872932723219</v>
      </c>
      <c r="AH43" s="4">
        <v>11</v>
      </c>
    </row>
    <row r="44" spans="2:34" x14ac:dyDescent="0.2">
      <c r="B44" s="4" t="s">
        <v>91</v>
      </c>
      <c r="C44" s="4">
        <v>0.7342850127525723</v>
      </c>
      <c r="D44" s="4" t="s">
        <v>20</v>
      </c>
      <c r="E44" s="4" t="s">
        <v>31</v>
      </c>
      <c r="F44" s="38">
        <v>26.135955656809497</v>
      </c>
      <c r="G44" s="264">
        <v>3.2675530419423335</v>
      </c>
      <c r="AA44" s="4">
        <v>6</v>
      </c>
      <c r="AB44" s="4">
        <v>-105.68495161140845</v>
      </c>
      <c r="AF44" s="4">
        <v>0.6</v>
      </c>
      <c r="AG44" s="38">
        <f t="shared" si="4"/>
        <v>-238.14973574708756</v>
      </c>
      <c r="AH44" s="4">
        <v>21</v>
      </c>
    </row>
    <row r="45" spans="2:34" x14ac:dyDescent="0.2">
      <c r="B45" s="4" t="s">
        <v>90</v>
      </c>
      <c r="C45" s="4">
        <v>0.45807898016892368</v>
      </c>
      <c r="D45" s="4" t="s">
        <v>21</v>
      </c>
      <c r="E45" s="4" t="s">
        <v>36</v>
      </c>
      <c r="F45" s="38">
        <v>9.6442588257074746</v>
      </c>
      <c r="G45" s="264">
        <v>9.5628427305637889</v>
      </c>
      <c r="AA45" s="4">
        <v>7</v>
      </c>
      <c r="AB45" s="4">
        <v>-58.00226752877893</v>
      </c>
      <c r="AF45" s="4">
        <v>0.65</v>
      </c>
      <c r="AG45" s="38">
        <f t="shared" si="4"/>
        <v>-190.50074216694293</v>
      </c>
      <c r="AH45" s="4">
        <v>38</v>
      </c>
    </row>
    <row r="46" spans="2:34" x14ac:dyDescent="0.2">
      <c r="B46" s="4" t="s">
        <v>89</v>
      </c>
      <c r="C46" s="4">
        <v>0.84594615337373491</v>
      </c>
      <c r="D46" s="4" t="s">
        <v>31</v>
      </c>
      <c r="E46" s="4" t="s">
        <v>31</v>
      </c>
      <c r="F46" s="38">
        <v>14.543691075171283</v>
      </c>
      <c r="G46" s="264">
        <v>3.5512028209207998</v>
      </c>
      <c r="AA46" s="4">
        <v>8</v>
      </c>
      <c r="AB46" s="4">
        <v>-237.45053252171584</v>
      </c>
      <c r="AF46" s="4">
        <v>0.7</v>
      </c>
      <c r="AG46" s="38">
        <f t="shared" si="4"/>
        <v>-142.85174858679829</v>
      </c>
      <c r="AH46" s="4">
        <v>26</v>
      </c>
    </row>
    <row r="47" spans="2:34" x14ac:dyDescent="0.2">
      <c r="B47" s="4" t="s">
        <v>88</v>
      </c>
      <c r="C47" s="4">
        <v>0.86957152007842897</v>
      </c>
      <c r="D47" s="4" t="s">
        <v>31</v>
      </c>
      <c r="E47" s="4" t="s">
        <v>27</v>
      </c>
      <c r="F47" s="38">
        <v>23.899388938944831</v>
      </c>
      <c r="G47" s="264">
        <v>2.9720115944967027</v>
      </c>
      <c r="AA47" s="4">
        <v>9</v>
      </c>
      <c r="AB47" s="4">
        <v>-558.25512793641451</v>
      </c>
      <c r="AF47" s="4">
        <v>0.75</v>
      </c>
      <c r="AG47" s="38">
        <f t="shared" si="4"/>
        <v>-95.202755006653661</v>
      </c>
      <c r="AH47" s="4">
        <v>41</v>
      </c>
    </row>
    <row r="48" spans="2:34" x14ac:dyDescent="0.2">
      <c r="B48" s="4" t="s">
        <v>87</v>
      </c>
      <c r="C48" s="4">
        <v>0.24226555051074961</v>
      </c>
      <c r="D48" s="4" t="s">
        <v>36</v>
      </c>
      <c r="E48" s="4" t="s">
        <v>36</v>
      </c>
      <c r="F48" s="38">
        <v>71.394255931414179</v>
      </c>
      <c r="G48" s="264">
        <v>8.8153401585859292</v>
      </c>
      <c r="AA48" s="4">
        <v>10</v>
      </c>
      <c r="AB48" s="4">
        <v>-257.1285980493364</v>
      </c>
      <c r="AF48" s="4">
        <v>0.8</v>
      </c>
      <c r="AG48" s="38">
        <f t="shared" si="4"/>
        <v>-47.553761426509027</v>
      </c>
      <c r="AH48" s="4">
        <v>7</v>
      </c>
    </row>
    <row r="49" spans="2:34" x14ac:dyDescent="0.2">
      <c r="B49" s="4" t="s">
        <v>86</v>
      </c>
      <c r="C49" s="4">
        <v>0.73988308548461668</v>
      </c>
      <c r="D49" s="4" t="s">
        <v>20</v>
      </c>
      <c r="E49" s="4" t="s">
        <v>31</v>
      </c>
      <c r="F49" s="38">
        <v>61.495453505551026</v>
      </c>
      <c r="G49" s="264">
        <v>3.8049899036922326</v>
      </c>
      <c r="AA49" s="4">
        <v>11</v>
      </c>
      <c r="AB49" s="4">
        <v>-136.48810156309716</v>
      </c>
      <c r="AF49" s="4">
        <v>0.85</v>
      </c>
      <c r="AG49" s="38">
        <f t="shared" si="4"/>
        <v>9.5232153635606664E-2</v>
      </c>
      <c r="AH49" s="4">
        <v>21</v>
      </c>
    </row>
    <row r="50" spans="2:34" x14ac:dyDescent="0.2">
      <c r="B50" s="4" t="s">
        <v>85</v>
      </c>
      <c r="C50" s="4">
        <v>0.27086535835866432</v>
      </c>
      <c r="D50" s="4" t="s">
        <v>36</v>
      </c>
      <c r="E50" s="4" t="s">
        <v>36</v>
      </c>
      <c r="F50" s="38">
        <v>44.889833123723179</v>
      </c>
      <c r="G50" s="264">
        <v>9.5582436040277514</v>
      </c>
      <c r="AA50" s="4">
        <v>12</v>
      </c>
      <c r="AB50" s="4">
        <v>-199.23047560622769</v>
      </c>
      <c r="AF50" s="4">
        <v>0.9</v>
      </c>
      <c r="AG50" s="38">
        <f t="shared" si="4"/>
        <v>47.74422573378024</v>
      </c>
      <c r="AH50" s="4">
        <v>10</v>
      </c>
    </row>
    <row r="51" spans="2:34" x14ac:dyDescent="0.2">
      <c r="B51" s="4" t="s">
        <v>84</v>
      </c>
      <c r="C51" s="4">
        <v>0.52463050106771492</v>
      </c>
      <c r="D51" s="4" t="s">
        <v>21</v>
      </c>
      <c r="E51" s="4" t="s">
        <v>20</v>
      </c>
      <c r="F51" s="38">
        <v>50.470138481801882</v>
      </c>
      <c r="G51" s="264">
        <v>6.0564739366749079</v>
      </c>
      <c r="AA51" s="4">
        <v>13</v>
      </c>
      <c r="AB51" s="4">
        <v>29.412953205760687</v>
      </c>
      <c r="AF51" s="4">
        <v>0.95</v>
      </c>
      <c r="AG51" s="38">
        <f t="shared" si="4"/>
        <v>95.393219313924874</v>
      </c>
      <c r="AH51" s="4">
        <v>6</v>
      </c>
    </row>
    <row r="52" spans="2:34" x14ac:dyDescent="0.2">
      <c r="B52" s="4" t="s">
        <v>83</v>
      </c>
      <c r="C52" s="4">
        <v>0.32596892448905102</v>
      </c>
      <c r="D52" s="4" t="s">
        <v>36</v>
      </c>
      <c r="E52" s="4" t="s">
        <v>36</v>
      </c>
      <c r="F52" s="38">
        <v>93.672740630001144</v>
      </c>
      <c r="G52" s="264">
        <v>8.6096086213825274</v>
      </c>
      <c r="AA52" s="4">
        <v>14</v>
      </c>
      <c r="AB52" s="4">
        <v>-98.514420359863237</v>
      </c>
      <c r="AF52" s="4">
        <v>1</v>
      </c>
      <c r="AG52" s="38">
        <f t="shared" si="4"/>
        <v>143.04221289406951</v>
      </c>
      <c r="AH52" s="4">
        <v>7</v>
      </c>
    </row>
    <row r="53" spans="2:34" x14ac:dyDescent="0.2">
      <c r="B53" s="4" t="s">
        <v>82</v>
      </c>
      <c r="C53" s="4">
        <v>9.9770131781005578E-2</v>
      </c>
      <c r="D53" s="4" t="s">
        <v>23</v>
      </c>
      <c r="E53" s="4" t="s">
        <v>23</v>
      </c>
      <c r="F53" s="38">
        <v>36.368657808978199</v>
      </c>
      <c r="G53" s="264">
        <v>12.3989274863437</v>
      </c>
      <c r="AA53" s="4">
        <v>15</v>
      </c>
      <c r="AB53" s="4">
        <v>-145.95072873023852</v>
      </c>
    </row>
    <row r="54" spans="2:34" x14ac:dyDescent="0.2">
      <c r="B54" s="4" t="s">
        <v>81</v>
      </c>
      <c r="C54" s="4">
        <v>0.93095117946155259</v>
      </c>
      <c r="D54" s="4" t="s">
        <v>31</v>
      </c>
      <c r="E54" s="4" t="s">
        <v>31</v>
      </c>
      <c r="F54" s="38">
        <v>9.9536617596477246</v>
      </c>
      <c r="G54" s="264">
        <v>1.9161232820866372</v>
      </c>
      <c r="AA54" s="4">
        <v>16</v>
      </c>
      <c r="AB54" s="4">
        <v>110.32091304008981</v>
      </c>
    </row>
    <row r="55" spans="2:34" x14ac:dyDescent="0.2">
      <c r="B55" s="4" t="s">
        <v>80</v>
      </c>
      <c r="C55" s="4">
        <v>0.90830874893691682</v>
      </c>
      <c r="D55" s="4" t="s">
        <v>31</v>
      </c>
      <c r="E55" s="4" t="s">
        <v>31</v>
      </c>
      <c r="F55" s="38">
        <v>43.509889242414786</v>
      </c>
      <c r="G55" s="264">
        <v>2.0485582183711153</v>
      </c>
      <c r="AA55" s="4">
        <v>17</v>
      </c>
      <c r="AB55" s="4">
        <v>-388.01379746525487</v>
      </c>
    </row>
    <row r="56" spans="2:34" x14ac:dyDescent="0.2">
      <c r="B56" s="4" t="s">
        <v>79</v>
      </c>
      <c r="C56" s="4">
        <v>0.73348855941533408</v>
      </c>
      <c r="D56" s="4" t="s">
        <v>20</v>
      </c>
      <c r="E56" s="4" t="s">
        <v>20</v>
      </c>
      <c r="F56" s="38">
        <v>36.493712381663144</v>
      </c>
      <c r="G56" s="264">
        <v>7.7824519823070579</v>
      </c>
      <c r="AA56" s="4">
        <v>18</v>
      </c>
      <c r="AB56" s="4">
        <v>-191.6859983413772</v>
      </c>
    </row>
    <row r="57" spans="2:34" x14ac:dyDescent="0.2">
      <c r="B57" s="4" t="s">
        <v>78</v>
      </c>
      <c r="C57" s="4">
        <v>0.89357778535202403</v>
      </c>
      <c r="D57" s="4" t="s">
        <v>31</v>
      </c>
      <c r="E57" s="4" t="s">
        <v>27</v>
      </c>
      <c r="F57" s="38">
        <v>39.272391384318439</v>
      </c>
      <c r="G57" s="264">
        <v>0.39515078209381382</v>
      </c>
      <c r="AA57" s="4">
        <v>19</v>
      </c>
      <c r="AB57" s="4">
        <v>-236.57015102732686</v>
      </c>
    </row>
    <row r="58" spans="2:34" x14ac:dyDescent="0.2">
      <c r="B58" s="4" t="s">
        <v>77</v>
      </c>
      <c r="C58" s="4">
        <v>0.52346847344780068</v>
      </c>
      <c r="D58" s="4" t="s">
        <v>21</v>
      </c>
      <c r="E58" s="4" t="s">
        <v>31</v>
      </c>
      <c r="F58" s="38">
        <v>81.916094566727949</v>
      </c>
      <c r="G58" s="264">
        <v>1.8901120390004595</v>
      </c>
      <c r="AA58" s="4">
        <v>20</v>
      </c>
      <c r="AB58" s="4">
        <v>-106.56533310579738</v>
      </c>
    </row>
    <row r="59" spans="2:34" x14ac:dyDescent="0.2">
      <c r="B59" s="4" t="s">
        <v>76</v>
      </c>
      <c r="C59" s="4">
        <v>0.76656607302887836</v>
      </c>
      <c r="D59" s="4" t="s">
        <v>20</v>
      </c>
      <c r="E59" s="4" t="s">
        <v>20</v>
      </c>
      <c r="F59" s="38">
        <v>17.547757976448196</v>
      </c>
      <c r="G59" s="264">
        <v>5.3362822973589097</v>
      </c>
      <c r="AA59" s="4">
        <v>21</v>
      </c>
      <c r="AB59" s="4">
        <v>-578.0900283342861</v>
      </c>
    </row>
    <row r="60" spans="2:34" x14ac:dyDescent="0.2">
      <c r="B60" s="4" t="s">
        <v>75</v>
      </c>
      <c r="C60" s="4">
        <v>0.80003286318070632</v>
      </c>
      <c r="D60" s="4" t="s">
        <v>31</v>
      </c>
      <c r="E60" s="4" t="s">
        <v>27</v>
      </c>
      <c r="F60" s="38">
        <v>27.00156976124531</v>
      </c>
      <c r="G60" s="264">
        <v>2.0118084551317819</v>
      </c>
      <c r="AA60" s="4">
        <v>22</v>
      </c>
      <c r="AB60" s="4">
        <v>143.04221289406945</v>
      </c>
    </row>
    <row r="61" spans="2:34" x14ac:dyDescent="0.2">
      <c r="B61" s="4" t="s">
        <v>74</v>
      </c>
      <c r="C61" s="4">
        <v>0.3892708311063463</v>
      </c>
      <c r="D61" s="4" t="s">
        <v>36</v>
      </c>
      <c r="E61" s="4" t="s">
        <v>20</v>
      </c>
      <c r="F61" s="38">
        <v>86.088366895490026</v>
      </c>
      <c r="G61" s="264">
        <v>6.9113168477631826</v>
      </c>
      <c r="AA61" s="4">
        <v>23</v>
      </c>
      <c r="AB61" s="4">
        <v>-558.25512793641451</v>
      </c>
    </row>
    <row r="62" spans="2:34" x14ac:dyDescent="0.2">
      <c r="B62" s="4" t="s">
        <v>73</v>
      </c>
      <c r="C62" s="4">
        <v>0.87159427427051139</v>
      </c>
      <c r="D62" s="4" t="s">
        <v>31</v>
      </c>
      <c r="E62" s="4" t="s">
        <v>27</v>
      </c>
      <c r="F62" s="38">
        <v>2.3364521983521791</v>
      </c>
      <c r="G62" s="264">
        <v>1.707253877523514</v>
      </c>
      <c r="AA62" s="4">
        <v>24</v>
      </c>
      <c r="AB62" s="4">
        <v>-405.13970730844983</v>
      </c>
    </row>
    <row r="63" spans="2:34" x14ac:dyDescent="0.2">
      <c r="B63" s="4" t="s">
        <v>72</v>
      </c>
      <c r="C63" s="4">
        <v>0.76945535483045513</v>
      </c>
      <c r="D63" s="4" t="s">
        <v>20</v>
      </c>
      <c r="E63" s="4" t="s">
        <v>31</v>
      </c>
      <c r="F63" s="38">
        <v>36.894824773996859</v>
      </c>
      <c r="G63" s="264">
        <v>3.1701762274239376</v>
      </c>
      <c r="AA63" s="4">
        <v>25</v>
      </c>
      <c r="AB63" s="4">
        <v>-327.31714362546626</v>
      </c>
    </row>
    <row r="64" spans="2:34" x14ac:dyDescent="0.2">
      <c r="B64" s="4" t="s">
        <v>71</v>
      </c>
      <c r="C64" s="4">
        <v>0.26480621363728485</v>
      </c>
      <c r="D64" s="4" t="s">
        <v>36</v>
      </c>
      <c r="E64" s="4" t="s">
        <v>21</v>
      </c>
      <c r="F64" s="38">
        <v>18.505649799476064</v>
      </c>
      <c r="G64" s="264">
        <v>8.240817803401864</v>
      </c>
      <c r="AA64" s="4">
        <v>26</v>
      </c>
      <c r="AB64" s="4">
        <v>-41.122733397838203</v>
      </c>
    </row>
    <row r="65" spans="2:28" x14ac:dyDescent="0.2">
      <c r="B65" s="4" t="s">
        <v>70</v>
      </c>
      <c r="C65" s="4">
        <v>0.32324350412310388</v>
      </c>
      <c r="D65" s="4" t="s">
        <v>36</v>
      </c>
      <c r="E65" s="4" t="s">
        <v>20</v>
      </c>
      <c r="F65" s="38">
        <v>14.172183158684494</v>
      </c>
      <c r="G65" s="264">
        <v>7.1352513619731521</v>
      </c>
      <c r="AA65" s="4">
        <v>27</v>
      </c>
      <c r="AB65" s="4">
        <v>-191.6859983413772</v>
      </c>
    </row>
    <row r="66" spans="2:28" x14ac:dyDescent="0.2">
      <c r="B66" s="4" t="s">
        <v>69</v>
      </c>
      <c r="C66" s="4">
        <v>0.15627153384850234</v>
      </c>
      <c r="D66" s="4" t="s">
        <v>23</v>
      </c>
      <c r="E66" s="4" t="s">
        <v>21</v>
      </c>
      <c r="F66" s="38">
        <v>50.532425086567159</v>
      </c>
      <c r="G66" s="264">
        <v>8.7924706736250382</v>
      </c>
      <c r="AA66" s="4">
        <v>28</v>
      </c>
      <c r="AB66" s="4">
        <v>-8.401433543858559</v>
      </c>
    </row>
    <row r="67" spans="2:28" x14ac:dyDescent="0.2">
      <c r="B67" s="4" t="s">
        <v>68</v>
      </c>
      <c r="C67" s="4">
        <v>0.89680710594891</v>
      </c>
      <c r="D67" s="4" t="s">
        <v>31</v>
      </c>
      <c r="E67" s="4" t="s">
        <v>27</v>
      </c>
      <c r="F67" s="38">
        <v>28.982449633517319</v>
      </c>
      <c r="G67" s="264">
        <v>1.2393435701789142</v>
      </c>
      <c r="AA67" s="4">
        <v>29</v>
      </c>
      <c r="AB67" s="4">
        <v>-231.95177546020727</v>
      </c>
    </row>
    <row r="68" spans="2:28" x14ac:dyDescent="0.2">
      <c r="B68" s="4" t="s">
        <v>67</v>
      </c>
      <c r="C68" s="4">
        <v>0.54385095261031646</v>
      </c>
      <c r="D68" s="4" t="s">
        <v>21</v>
      </c>
      <c r="E68" s="4" t="s">
        <v>20</v>
      </c>
      <c r="F68" s="38">
        <v>84.415957534522121</v>
      </c>
      <c r="G68" s="264">
        <v>6.1952629474234886</v>
      </c>
      <c r="AA68" s="4">
        <v>30</v>
      </c>
      <c r="AB68" s="4">
        <v>-106.56533310579738</v>
      </c>
    </row>
    <row r="69" spans="2:28" x14ac:dyDescent="0.2">
      <c r="B69" s="4" t="s">
        <v>66</v>
      </c>
      <c r="C69" s="4">
        <v>0.28179185236382631</v>
      </c>
      <c r="D69" s="4" t="s">
        <v>36</v>
      </c>
      <c r="E69" s="4" t="s">
        <v>36</v>
      </c>
      <c r="F69" s="38">
        <v>48.550727106120881</v>
      </c>
      <c r="G69" s="264">
        <v>8.838558619220283</v>
      </c>
      <c r="AA69" s="4">
        <v>31</v>
      </c>
      <c r="AB69" s="4">
        <v>-106.56533310579738</v>
      </c>
    </row>
    <row r="70" spans="2:28" x14ac:dyDescent="0.2">
      <c r="B70" s="4" t="s">
        <v>65</v>
      </c>
      <c r="C70" s="4">
        <v>0.8451739188641425</v>
      </c>
      <c r="D70" s="4" t="s">
        <v>31</v>
      </c>
      <c r="E70" s="4" t="s">
        <v>27</v>
      </c>
      <c r="F70" s="38">
        <v>0.19262168374306055</v>
      </c>
      <c r="G70" s="264">
        <v>1.4452769504095961</v>
      </c>
      <c r="AA70" s="4">
        <v>32</v>
      </c>
      <c r="AB70" s="4">
        <v>-41.122733397838203</v>
      </c>
    </row>
    <row r="71" spans="2:28" x14ac:dyDescent="0.2">
      <c r="B71" s="4" t="s">
        <v>64</v>
      </c>
      <c r="C71" s="4">
        <v>0.27090936711256719</v>
      </c>
      <c r="D71" s="4" t="s">
        <v>36</v>
      </c>
      <c r="E71" s="4" t="s">
        <v>21</v>
      </c>
      <c r="F71" s="38">
        <v>94.790243600197627</v>
      </c>
      <c r="G71" s="264">
        <v>7.1622244148841983</v>
      </c>
      <c r="AA71" s="4">
        <v>33</v>
      </c>
      <c r="AB71" s="4">
        <v>-227.36266446228765</v>
      </c>
    </row>
    <row r="72" spans="2:28" x14ac:dyDescent="0.2">
      <c r="B72" s="4" t="s">
        <v>63</v>
      </c>
      <c r="C72" s="4">
        <v>0.49441714721295671</v>
      </c>
      <c r="D72" s="4" t="s">
        <v>21</v>
      </c>
      <c r="E72" s="4" t="s">
        <v>21</v>
      </c>
      <c r="F72" s="38">
        <v>16.584570714019019</v>
      </c>
      <c r="G72" s="264">
        <v>8.6023854462746083</v>
      </c>
      <c r="AA72" s="4">
        <v>34</v>
      </c>
      <c r="AB72" s="4">
        <v>-163.95702006782244</v>
      </c>
    </row>
    <row r="73" spans="2:28" x14ac:dyDescent="0.2">
      <c r="B73" s="4" t="s">
        <v>62</v>
      </c>
      <c r="C73" s="4">
        <v>0.26694834177577897</v>
      </c>
      <c r="D73" s="4" t="s">
        <v>36</v>
      </c>
      <c r="E73" s="4" t="s">
        <v>36</v>
      </c>
      <c r="F73" s="38">
        <v>17.065403004306113</v>
      </c>
      <c r="G73" s="264">
        <v>10.513662490475356</v>
      </c>
      <c r="AA73" s="4">
        <v>35</v>
      </c>
      <c r="AB73" s="4">
        <v>-388.01379746525487</v>
      </c>
    </row>
    <row r="74" spans="2:28" x14ac:dyDescent="0.2">
      <c r="B74" s="4" t="s">
        <v>61</v>
      </c>
      <c r="C74" s="4">
        <v>0.18641457449884424</v>
      </c>
      <c r="D74" s="4" t="s">
        <v>23</v>
      </c>
      <c r="E74" s="4" t="s">
        <v>36</v>
      </c>
      <c r="F74" s="38">
        <v>97.996324402972434</v>
      </c>
      <c r="G74" s="264">
        <v>10.499013271951931</v>
      </c>
      <c r="AA74" s="4">
        <v>36</v>
      </c>
      <c r="AB74" s="4">
        <v>-106.56533310579738</v>
      </c>
    </row>
    <row r="75" spans="2:28" x14ac:dyDescent="0.2">
      <c r="B75" s="4" t="s">
        <v>60</v>
      </c>
      <c r="C75" s="4">
        <v>0.63893952539851484</v>
      </c>
      <c r="D75" s="4" t="s">
        <v>20</v>
      </c>
      <c r="E75" s="4" t="s">
        <v>21</v>
      </c>
      <c r="F75" s="38">
        <v>99.416309784681957</v>
      </c>
      <c r="G75" s="264">
        <v>7.197808013391974</v>
      </c>
      <c r="AA75" s="4">
        <v>37</v>
      </c>
      <c r="AB75" s="4">
        <v>-428.27957458408491</v>
      </c>
    </row>
    <row r="76" spans="2:28" x14ac:dyDescent="0.2">
      <c r="B76" s="4" t="s">
        <v>59</v>
      </c>
      <c r="C76" s="4">
        <v>0.71676697075327966</v>
      </c>
      <c r="D76" s="4" t="s">
        <v>20</v>
      </c>
      <c r="E76" s="4" t="s">
        <v>20</v>
      </c>
      <c r="F76" s="38">
        <v>14.969320801855568</v>
      </c>
      <c r="G76" s="264">
        <v>7.8538548430685129</v>
      </c>
      <c r="AA76" s="4">
        <v>38</v>
      </c>
      <c r="AB76" s="4">
        <v>-6.1068780448987923</v>
      </c>
    </row>
    <row r="77" spans="2:28" x14ac:dyDescent="0.2">
      <c r="B77" s="4" t="s">
        <v>58</v>
      </c>
      <c r="C77" s="4">
        <v>0.44150564930995051</v>
      </c>
      <c r="D77" s="4" t="s">
        <v>21</v>
      </c>
      <c r="E77" s="4" t="s">
        <v>20</v>
      </c>
      <c r="F77" s="38">
        <v>14.792749254190618</v>
      </c>
      <c r="G77" s="264">
        <v>7.3677925752447608</v>
      </c>
      <c r="AA77" s="4">
        <v>39</v>
      </c>
      <c r="AB77" s="4">
        <v>-106.56533310579738</v>
      </c>
    </row>
    <row r="78" spans="2:28" x14ac:dyDescent="0.2">
      <c r="B78" s="4" t="s">
        <v>57</v>
      </c>
      <c r="C78" s="4">
        <v>0.20931085094305968</v>
      </c>
      <c r="D78" s="4" t="s">
        <v>36</v>
      </c>
      <c r="E78" s="4" t="s">
        <v>23</v>
      </c>
      <c r="F78" s="38">
        <v>19.110465115345264</v>
      </c>
      <c r="G78" s="264">
        <v>9.7965619907102646</v>
      </c>
      <c r="AA78" s="4">
        <v>40</v>
      </c>
      <c r="AB78" s="4">
        <v>-106.56533310579738</v>
      </c>
    </row>
    <row r="79" spans="2:28" x14ac:dyDescent="0.2">
      <c r="B79" s="4" t="s">
        <v>56</v>
      </c>
      <c r="C79" s="4">
        <v>0.33312080808404332</v>
      </c>
      <c r="D79" s="4" t="s">
        <v>36</v>
      </c>
      <c r="E79" s="4" t="s">
        <v>21</v>
      </c>
      <c r="F79" s="38">
        <v>85.908216451236967</v>
      </c>
      <c r="G79" s="264">
        <v>9.8371193831294672</v>
      </c>
      <c r="AA79" s="4">
        <v>41</v>
      </c>
      <c r="AB79" s="4">
        <v>-257.1285980493364</v>
      </c>
    </row>
    <row r="80" spans="2:28" x14ac:dyDescent="0.2">
      <c r="B80" s="4" t="s">
        <v>55</v>
      </c>
      <c r="C80" s="4">
        <v>0.4576175646538907</v>
      </c>
      <c r="D80" s="4" t="s">
        <v>21</v>
      </c>
      <c r="E80" s="4" t="s">
        <v>20</v>
      </c>
      <c r="F80" s="38">
        <v>68.68157858891864</v>
      </c>
      <c r="G80" s="264">
        <v>6.4155090821084286</v>
      </c>
      <c r="AA80" s="4">
        <v>42</v>
      </c>
      <c r="AB80" s="4">
        <v>-227.36266446228765</v>
      </c>
    </row>
    <row r="81" spans="2:28" x14ac:dyDescent="0.2">
      <c r="B81" s="4" t="s">
        <v>54</v>
      </c>
      <c r="C81" s="4">
        <v>0.98714157385309476</v>
      </c>
      <c r="D81" s="4" t="s">
        <v>31</v>
      </c>
      <c r="E81" s="4" t="s">
        <v>27</v>
      </c>
      <c r="F81" s="38">
        <v>42.387915278252429</v>
      </c>
      <c r="G81" s="264">
        <v>2.1207756298389895</v>
      </c>
      <c r="AA81" s="4">
        <v>43</v>
      </c>
      <c r="AB81" s="4">
        <v>143.04221289406945</v>
      </c>
    </row>
    <row r="82" spans="2:28" x14ac:dyDescent="0.2">
      <c r="B82" s="4" t="s">
        <v>53</v>
      </c>
      <c r="C82" s="4">
        <v>0.10380078292225448</v>
      </c>
      <c r="D82" s="4" t="s">
        <v>23</v>
      </c>
      <c r="E82" s="4" t="s">
        <v>36</v>
      </c>
      <c r="F82" s="38">
        <v>51.804975968572073</v>
      </c>
      <c r="G82" s="264">
        <v>10.738439564341935</v>
      </c>
      <c r="AA82" s="4">
        <v>44</v>
      </c>
      <c r="AB82" s="4">
        <v>-327.31714362546626</v>
      </c>
    </row>
    <row r="83" spans="2:28" x14ac:dyDescent="0.2">
      <c r="B83" s="4" t="s">
        <v>52</v>
      </c>
      <c r="C83" s="4">
        <v>6.2017494817444563E-2</v>
      </c>
      <c r="D83" s="4" t="s">
        <v>23</v>
      </c>
      <c r="E83" s="4" t="s">
        <v>23</v>
      </c>
      <c r="F83" s="38">
        <v>8.2783903108533679</v>
      </c>
      <c r="G83" s="264">
        <v>8.7050140143292065</v>
      </c>
      <c r="AA83" s="4">
        <v>45</v>
      </c>
      <c r="AB83" s="4">
        <v>-575.38103777960941</v>
      </c>
    </row>
    <row r="84" spans="2:28" x14ac:dyDescent="0.2">
      <c r="B84" s="4" t="s">
        <v>51</v>
      </c>
      <c r="C84" s="4">
        <v>0.78450070831783014</v>
      </c>
      <c r="D84" s="4" t="s">
        <v>20</v>
      </c>
      <c r="E84" s="4" t="s">
        <v>20</v>
      </c>
      <c r="F84" s="38">
        <v>90.243705402323087</v>
      </c>
      <c r="G84" s="264">
        <v>5.7083338289998258</v>
      </c>
      <c r="AA84" s="4">
        <v>46</v>
      </c>
      <c r="AB84" s="4">
        <v>-406.8114814984865</v>
      </c>
    </row>
    <row r="85" spans="2:28" x14ac:dyDescent="0.2">
      <c r="B85" s="4" t="s">
        <v>50</v>
      </c>
      <c r="C85" s="4">
        <v>0.22724111322015161</v>
      </c>
      <c r="D85" s="4" t="s">
        <v>36</v>
      </c>
      <c r="E85" s="4" t="s">
        <v>36</v>
      </c>
      <c r="F85" s="38">
        <v>78.506579465083945</v>
      </c>
      <c r="G85" s="264">
        <v>9.2567581635757588</v>
      </c>
      <c r="AA85" s="4">
        <v>47</v>
      </c>
      <c r="AB85" s="4">
        <v>69.678730324590731</v>
      </c>
    </row>
    <row r="86" spans="2:28" x14ac:dyDescent="0.2">
      <c r="B86" s="4" t="s">
        <v>49</v>
      </c>
      <c r="C86" s="4">
        <v>0.98565679401413675</v>
      </c>
      <c r="D86" s="4" t="s">
        <v>31</v>
      </c>
      <c r="E86" s="4" t="s">
        <v>27</v>
      </c>
      <c r="F86" s="38">
        <v>19.031860118986621</v>
      </c>
      <c r="G86" s="264">
        <v>2.8787209093899961</v>
      </c>
      <c r="AA86" s="4">
        <v>48</v>
      </c>
      <c r="AB86" s="4">
        <v>-156.16616709071775</v>
      </c>
    </row>
    <row r="87" spans="2:28" x14ac:dyDescent="0.2">
      <c r="B87" s="4" t="s">
        <v>48</v>
      </c>
      <c r="C87" s="4">
        <v>0.56165831800490862</v>
      </c>
      <c r="D87" s="4" t="s">
        <v>21</v>
      </c>
      <c r="E87" s="4" t="s">
        <v>31</v>
      </c>
      <c r="F87" s="38">
        <v>16.766483343881809</v>
      </c>
      <c r="G87" s="264">
        <v>2.3133062556866202</v>
      </c>
      <c r="AA87" s="4">
        <v>49</v>
      </c>
      <c r="AB87" s="4">
        <v>-287.05136650663621</v>
      </c>
    </row>
    <row r="88" spans="2:28" x14ac:dyDescent="0.2">
      <c r="B88" s="4" t="s">
        <v>47</v>
      </c>
      <c r="C88" s="4">
        <v>0.78028204907125442</v>
      </c>
      <c r="D88" s="4" t="s">
        <v>20</v>
      </c>
      <c r="E88" s="4" t="s">
        <v>31</v>
      </c>
      <c r="F88" s="38">
        <v>42.295637722709913</v>
      </c>
      <c r="G88" s="264">
        <v>3.5445228141367422</v>
      </c>
      <c r="AA88" s="4">
        <v>50</v>
      </c>
      <c r="AB88" s="4">
        <v>-6.1068780448987923</v>
      </c>
    </row>
    <row r="89" spans="2:28" x14ac:dyDescent="0.2">
      <c r="B89" s="4" t="s">
        <v>46</v>
      </c>
      <c r="C89" s="4">
        <v>0.434984899765402</v>
      </c>
      <c r="D89" s="4" t="s">
        <v>21</v>
      </c>
      <c r="E89" s="4" t="s">
        <v>36</v>
      </c>
      <c r="F89" s="38">
        <v>0.47752840883801273</v>
      </c>
      <c r="G89" s="264">
        <v>9.3846887639024654</v>
      </c>
      <c r="AA89" s="4">
        <v>51</v>
      </c>
      <c r="AB89" s="4">
        <v>-533.07830534728532</v>
      </c>
    </row>
    <row r="90" spans="2:28" x14ac:dyDescent="0.2">
      <c r="B90" s="4" t="s">
        <v>45</v>
      </c>
      <c r="C90" s="4">
        <v>0.83827533834394208</v>
      </c>
      <c r="D90" s="4" t="s">
        <v>31</v>
      </c>
      <c r="E90" s="4" t="s">
        <v>31</v>
      </c>
      <c r="F90" s="38">
        <v>63.85261731434678</v>
      </c>
      <c r="G90" s="264">
        <v>2.6562703793921041</v>
      </c>
      <c r="AA90" s="4">
        <v>52</v>
      </c>
      <c r="AB90" s="4">
        <v>-156.16616709071775</v>
      </c>
    </row>
    <row r="91" spans="2:28" x14ac:dyDescent="0.2">
      <c r="B91" s="4" t="s">
        <v>44</v>
      </c>
      <c r="C91" s="4">
        <v>0.53822666933083452</v>
      </c>
      <c r="D91" s="4" t="s">
        <v>21</v>
      </c>
      <c r="E91" s="4" t="s">
        <v>31</v>
      </c>
      <c r="F91" s="38">
        <v>74.484454613584461</v>
      </c>
      <c r="G91" s="264">
        <v>3.5853906193890581</v>
      </c>
      <c r="AA91" s="4">
        <v>53</v>
      </c>
      <c r="AB91" s="4">
        <v>-497.5584740966259</v>
      </c>
    </row>
    <row r="92" spans="2:28" x14ac:dyDescent="0.2">
      <c r="B92" s="4" t="s">
        <v>43</v>
      </c>
      <c r="C92" s="4">
        <v>0.78100542885218072</v>
      </c>
      <c r="D92" s="4" t="s">
        <v>20</v>
      </c>
      <c r="E92" s="4" t="s">
        <v>31</v>
      </c>
      <c r="F92" s="38">
        <v>96.724609382262159</v>
      </c>
      <c r="G92" s="264">
        <v>2.6262341414169561</v>
      </c>
      <c r="AA92" s="4">
        <v>54</v>
      </c>
      <c r="AB92" s="4">
        <v>-106.56533310579738</v>
      </c>
    </row>
    <row r="93" spans="2:28" x14ac:dyDescent="0.2">
      <c r="B93" s="4" t="s">
        <v>42</v>
      </c>
      <c r="C93" s="4">
        <v>0.36391068529626602</v>
      </c>
      <c r="D93" s="4" t="s">
        <v>36</v>
      </c>
      <c r="E93" s="4" t="s">
        <v>36</v>
      </c>
      <c r="F93" s="38">
        <v>80.864704132654879</v>
      </c>
      <c r="G93" s="264">
        <v>8.1598692452692294</v>
      </c>
      <c r="AA93" s="4">
        <v>55</v>
      </c>
      <c r="AB93" s="4">
        <v>-689.14032735233286</v>
      </c>
    </row>
    <row r="94" spans="2:28" x14ac:dyDescent="0.2">
      <c r="B94" s="4" t="s">
        <v>41</v>
      </c>
      <c r="C94" s="4">
        <v>0.87143062788127279</v>
      </c>
      <c r="D94" s="4" t="s">
        <v>31</v>
      </c>
      <c r="E94" s="4" t="s">
        <v>27</v>
      </c>
      <c r="F94" s="38">
        <v>47.641729430050354</v>
      </c>
      <c r="G94" s="264">
        <v>1.2026504189420528E-2</v>
      </c>
      <c r="AA94" s="4">
        <v>56</v>
      </c>
      <c r="AB94" s="4">
        <v>-257.1285980493364</v>
      </c>
    </row>
    <row r="95" spans="2:28" x14ac:dyDescent="0.2">
      <c r="B95" s="4" t="s">
        <v>40</v>
      </c>
      <c r="C95" s="4">
        <v>0.67461747316541898</v>
      </c>
      <c r="D95" s="4" t="s">
        <v>20</v>
      </c>
      <c r="E95" s="4" t="s">
        <v>31</v>
      </c>
      <c r="F95" s="38">
        <v>27.892599466123869</v>
      </c>
      <c r="G95" s="264">
        <v>2.5937053053895949</v>
      </c>
      <c r="AA95" s="4">
        <v>57</v>
      </c>
      <c r="AB95" s="4">
        <v>-428.27957458408491</v>
      </c>
    </row>
    <row r="96" spans="2:28" x14ac:dyDescent="0.2">
      <c r="B96" s="4" t="s">
        <v>39</v>
      </c>
      <c r="C96" s="4">
        <v>0.190127743072105</v>
      </c>
      <c r="D96" s="4" t="s">
        <v>23</v>
      </c>
      <c r="E96" s="4" t="s">
        <v>23</v>
      </c>
      <c r="F96" s="38">
        <v>67.106419204318897</v>
      </c>
      <c r="G96" s="264">
        <v>9.6544124807289879</v>
      </c>
      <c r="AA96" s="4">
        <v>58</v>
      </c>
      <c r="AB96" s="4">
        <v>-457.2926969777958</v>
      </c>
    </row>
    <row r="97" spans="2:28" x14ac:dyDescent="0.2">
      <c r="B97" s="4" t="s">
        <v>38</v>
      </c>
      <c r="C97" s="4">
        <v>0.3015815400587385</v>
      </c>
      <c r="D97" s="4" t="s">
        <v>36</v>
      </c>
      <c r="E97" s="4" t="s">
        <v>36</v>
      </c>
      <c r="F97" s="38">
        <v>88.907176996272412</v>
      </c>
      <c r="G97" s="264">
        <v>8.5336396769490115</v>
      </c>
      <c r="AA97" s="4">
        <v>59</v>
      </c>
      <c r="AB97" s="4">
        <v>-628.44367351254436</v>
      </c>
    </row>
    <row r="98" spans="2:28" x14ac:dyDescent="0.2">
      <c r="B98" s="4" t="s">
        <v>37</v>
      </c>
      <c r="C98" s="4">
        <v>0.33749567042133943</v>
      </c>
      <c r="D98" s="4" t="s">
        <v>36</v>
      </c>
      <c r="E98" s="4" t="s">
        <v>21</v>
      </c>
      <c r="F98" s="38">
        <v>47.654324325615626</v>
      </c>
      <c r="G98" s="264">
        <v>8.4951872297418731</v>
      </c>
      <c r="AA98" s="4">
        <v>60</v>
      </c>
      <c r="AB98" s="4">
        <v>-297.3943751681665</v>
      </c>
    </row>
    <row r="99" spans="2:28" x14ac:dyDescent="0.2">
      <c r="B99" s="4" t="s">
        <v>35</v>
      </c>
      <c r="C99" s="4">
        <v>0.41743570679011921</v>
      </c>
      <c r="D99" s="4" t="s">
        <v>21</v>
      </c>
      <c r="E99" s="4" t="s">
        <v>21</v>
      </c>
      <c r="F99" s="38">
        <v>47.441377081877768</v>
      </c>
      <c r="G99" s="264">
        <v>7.4091104969574344</v>
      </c>
      <c r="AA99" s="4">
        <v>61</v>
      </c>
      <c r="AB99" s="4">
        <v>-428.27957458408491</v>
      </c>
    </row>
    <row r="100" spans="2:28" x14ac:dyDescent="0.2">
      <c r="B100" s="4" t="s">
        <v>34</v>
      </c>
      <c r="C100" s="4">
        <v>0.87620699852378636</v>
      </c>
      <c r="D100" s="4" t="s">
        <v>31</v>
      </c>
      <c r="E100" s="4" t="s">
        <v>20</v>
      </c>
      <c r="F100" s="38">
        <v>58.929210125533857</v>
      </c>
      <c r="G100" s="264">
        <v>5.3269695800033627</v>
      </c>
      <c r="AA100" s="4">
        <v>62</v>
      </c>
      <c r="AB100" s="4">
        <v>-122.81086145460341</v>
      </c>
    </row>
    <row r="101" spans="2:28" x14ac:dyDescent="0.2">
      <c r="B101" s="4" t="s">
        <v>33</v>
      </c>
      <c r="C101" s="4">
        <v>0.93159355039564817</v>
      </c>
      <c r="D101" s="4" t="s">
        <v>31</v>
      </c>
      <c r="E101" s="4" t="s">
        <v>27</v>
      </c>
      <c r="F101" s="38">
        <v>11.092231390635309</v>
      </c>
      <c r="G101" s="264">
        <v>2.0084027892347884</v>
      </c>
      <c r="AA101" s="4">
        <v>63</v>
      </c>
      <c r="AB101" s="4">
        <v>-628.44367351254436</v>
      </c>
    </row>
    <row r="102" spans="2:28" x14ac:dyDescent="0.2">
      <c r="B102" s="4" t="s">
        <v>32</v>
      </c>
      <c r="C102" s="4">
        <v>0.5974665198857787</v>
      </c>
      <c r="D102" s="4" t="s">
        <v>21</v>
      </c>
      <c r="E102" s="4" t="s">
        <v>31</v>
      </c>
      <c r="F102" s="38">
        <v>76.097769585438584</v>
      </c>
      <c r="G102" s="264">
        <v>3.3711337325898234</v>
      </c>
      <c r="AA102" s="4">
        <v>64</v>
      </c>
      <c r="AB102" s="4">
        <v>-237.45053252171584</v>
      </c>
    </row>
    <row r="103" spans="2:28" x14ac:dyDescent="0.2">
      <c r="B103" s="4" t="s">
        <v>30</v>
      </c>
      <c r="C103" s="4">
        <v>0.47410685578653822</v>
      </c>
      <c r="D103" s="4" t="s">
        <v>21</v>
      </c>
      <c r="E103" s="4" t="s">
        <v>20</v>
      </c>
      <c r="F103" s="38">
        <v>81.022779930552375</v>
      </c>
      <c r="G103" s="264">
        <v>5.1587719180004612</v>
      </c>
      <c r="AA103" s="4">
        <v>65</v>
      </c>
      <c r="AB103" s="4">
        <v>-106.56533310579738</v>
      </c>
    </row>
    <row r="104" spans="2:28" x14ac:dyDescent="0.2">
      <c r="B104" s="4" t="s">
        <v>29</v>
      </c>
      <c r="C104" s="4">
        <v>0.65559589565764997</v>
      </c>
      <c r="D104" s="4" t="s">
        <v>20</v>
      </c>
      <c r="E104" s="4" t="s">
        <v>27</v>
      </c>
      <c r="F104" s="38">
        <v>42.636145159749503</v>
      </c>
      <c r="G104" s="264">
        <v>1.1133427327017777</v>
      </c>
      <c r="AA104" s="4">
        <v>66</v>
      </c>
      <c r="AB104" s="4">
        <v>-199.23047560622769</v>
      </c>
    </row>
    <row r="105" spans="2:28" x14ac:dyDescent="0.2">
      <c r="B105" s="4" t="s">
        <v>28</v>
      </c>
      <c r="C105" s="4">
        <v>0.76356759394203066</v>
      </c>
      <c r="D105" s="4" t="s">
        <v>20</v>
      </c>
      <c r="E105" s="4" t="s">
        <v>27</v>
      </c>
      <c r="F105" s="38">
        <v>17.533405807868935</v>
      </c>
      <c r="G105" s="264">
        <v>2.5759835494768506</v>
      </c>
      <c r="AA105" s="4">
        <v>67</v>
      </c>
      <c r="AB105" s="4">
        <v>-106.56533310579738</v>
      </c>
    </row>
    <row r="106" spans="2:28" x14ac:dyDescent="0.2">
      <c r="B106" s="4" t="s">
        <v>26</v>
      </c>
      <c r="C106" s="4">
        <v>0.42212135662889816</v>
      </c>
      <c r="D106" s="4" t="s">
        <v>21</v>
      </c>
      <c r="E106" s="4" t="s">
        <v>21</v>
      </c>
      <c r="F106" s="38">
        <v>41.515905431460766</v>
      </c>
      <c r="G106" s="264">
        <v>7.8158847513967515</v>
      </c>
      <c r="AA106" s="4">
        <v>68</v>
      </c>
      <c r="AB106" s="4">
        <v>-492.81252822845522</v>
      </c>
    </row>
    <row r="107" spans="2:28" x14ac:dyDescent="0.2">
      <c r="B107" s="4" t="s">
        <v>25</v>
      </c>
      <c r="C107" s="4">
        <v>0.607187631368174</v>
      </c>
      <c r="D107" s="4" t="s">
        <v>20</v>
      </c>
      <c r="E107" s="4" t="s">
        <v>20</v>
      </c>
      <c r="F107" s="38">
        <v>83.136272627126687</v>
      </c>
      <c r="G107" s="264">
        <v>6.6269269721391648</v>
      </c>
      <c r="AA107" s="4">
        <v>69</v>
      </c>
      <c r="AB107" s="4">
        <v>-45.868679266008826</v>
      </c>
    </row>
    <row r="108" spans="2:28" x14ac:dyDescent="0.2">
      <c r="B108" s="4" t="s">
        <v>24</v>
      </c>
      <c r="C108" s="4">
        <v>0.19009590420046663</v>
      </c>
      <c r="D108" s="4" t="s">
        <v>23</v>
      </c>
      <c r="E108" s="4" t="s">
        <v>23</v>
      </c>
      <c r="F108" s="38">
        <v>10.212803353244038</v>
      </c>
      <c r="G108" s="264">
        <v>10.648524912587206</v>
      </c>
      <c r="AA108" s="4">
        <v>70</v>
      </c>
      <c r="AB108" s="4">
        <v>103.03403596070513</v>
      </c>
    </row>
    <row r="109" spans="2:28" x14ac:dyDescent="0.2">
      <c r="B109" s="4" t="s">
        <v>22</v>
      </c>
      <c r="C109" s="4">
        <v>0.54256136479850625</v>
      </c>
      <c r="D109" s="4" t="s">
        <v>21</v>
      </c>
      <c r="E109" s="4" t="s">
        <v>20</v>
      </c>
      <c r="F109" s="38">
        <v>41.373074335162165</v>
      </c>
      <c r="G109" s="264">
        <v>7.3745421523699548</v>
      </c>
      <c r="AA109" s="4">
        <v>71</v>
      </c>
      <c r="AB109" s="4">
        <v>-106.56533310579738</v>
      </c>
    </row>
    <row r="110" spans="2:28" x14ac:dyDescent="0.2">
      <c r="AA110" s="4">
        <v>72</v>
      </c>
      <c r="AB110" s="4">
        <v>-407.84869786312646</v>
      </c>
    </row>
    <row r="111" spans="2:28" x14ac:dyDescent="0.2">
      <c r="AA111" s="4">
        <v>73</v>
      </c>
      <c r="AB111" s="4">
        <v>-500.35700549330573</v>
      </c>
    </row>
    <row r="112" spans="2:28" x14ac:dyDescent="0.2">
      <c r="AA112" s="4">
        <v>74</v>
      </c>
      <c r="AB112" s="4">
        <v>-237.45053252171584</v>
      </c>
    </row>
    <row r="113" spans="27:28" x14ac:dyDescent="0.2">
      <c r="AA113" s="4">
        <v>75</v>
      </c>
      <c r="AB113" s="4">
        <v>-460.09122837447563</v>
      </c>
    </row>
    <row r="114" spans="27:28" x14ac:dyDescent="0.2">
      <c r="AA114" s="4">
        <v>76</v>
      </c>
      <c r="AB114" s="4">
        <v>-231.95177546020727</v>
      </c>
    </row>
    <row r="115" spans="27:28" x14ac:dyDescent="0.2">
      <c r="AA115" s="4">
        <v>77</v>
      </c>
      <c r="AB115" s="4">
        <v>-206.80421744027811</v>
      </c>
    </row>
    <row r="116" spans="27:28" x14ac:dyDescent="0.2">
      <c r="AA116" s="4">
        <v>78</v>
      </c>
      <c r="AB116" s="4">
        <v>44.878313332130631</v>
      </c>
    </row>
    <row r="117" spans="27:28" x14ac:dyDescent="0.2">
      <c r="AA117" s="4">
        <v>79</v>
      </c>
      <c r="AB117" s="4">
        <v>-226.4822829678987</v>
      </c>
    </row>
    <row r="118" spans="27:28" x14ac:dyDescent="0.2">
      <c r="AA118" s="4">
        <v>80</v>
      </c>
      <c r="AB118" s="4">
        <v>-106.56533310579738</v>
      </c>
    </row>
    <row r="119" spans="27:28" x14ac:dyDescent="0.2">
      <c r="AA119" s="4">
        <v>81</v>
      </c>
      <c r="AB119" s="4">
        <v>-153.61401140629215</v>
      </c>
    </row>
    <row r="120" spans="27:28" x14ac:dyDescent="0.2">
      <c r="AA120" s="4">
        <v>82</v>
      </c>
      <c r="AB120" s="4">
        <v>-287.05136650663621</v>
      </c>
    </row>
    <row r="121" spans="27:28" x14ac:dyDescent="0.2">
      <c r="AA121" s="4">
        <v>83</v>
      </c>
      <c r="AB121" s="4">
        <v>-226.4822829678987</v>
      </c>
    </row>
    <row r="122" spans="27:28" x14ac:dyDescent="0.2">
      <c r="AA122" s="4">
        <v>84</v>
      </c>
      <c r="AB122" s="4">
        <v>-312.48332969786748</v>
      </c>
    </row>
    <row r="123" spans="27:28" x14ac:dyDescent="0.2">
      <c r="AA123" s="4">
        <v>85</v>
      </c>
      <c r="AB123" s="4">
        <v>-136.48810156309716</v>
      </c>
    </row>
    <row r="124" spans="27:28" x14ac:dyDescent="0.2">
      <c r="AA124" s="4">
        <v>86</v>
      </c>
      <c r="AB124" s="4">
        <v>-358.24786387820609</v>
      </c>
    </row>
    <row r="125" spans="27:28" x14ac:dyDescent="0.2">
      <c r="AA125" s="4">
        <v>87</v>
      </c>
      <c r="AB125" s="4">
        <v>-706.26623719552788</v>
      </c>
    </row>
    <row r="126" spans="27:28" x14ac:dyDescent="0.2">
      <c r="AA126" s="4">
        <v>88</v>
      </c>
      <c r="AB126" s="4">
        <v>-257.1285980493364</v>
      </c>
    </row>
    <row r="127" spans="27:28" x14ac:dyDescent="0.2">
      <c r="AA127" s="4">
        <v>89</v>
      </c>
      <c r="AB127" s="4">
        <v>-199.23047560622769</v>
      </c>
    </row>
    <row r="128" spans="27:28" x14ac:dyDescent="0.2">
      <c r="AA128" s="4">
        <v>90</v>
      </c>
      <c r="AB128" s="4">
        <v>-8.401433543858559</v>
      </c>
    </row>
    <row r="129" spans="27:28" x14ac:dyDescent="0.2">
      <c r="AA129" s="4">
        <v>91</v>
      </c>
      <c r="AB129" s="4">
        <v>52.295220295929994</v>
      </c>
    </row>
    <row r="130" spans="27:28" x14ac:dyDescent="0.2">
      <c r="AA130" s="4">
        <v>92</v>
      </c>
      <c r="AB130" s="4">
        <v>-679.05245929290481</v>
      </c>
    </row>
    <row r="131" spans="27:28" x14ac:dyDescent="0.2">
      <c r="AA131" s="4">
        <v>93</v>
      </c>
      <c r="AB131" s="4">
        <v>-213.55785405274281</v>
      </c>
    </row>
    <row r="132" spans="27:28" x14ac:dyDescent="0.2">
      <c r="AA132" s="4">
        <v>94</v>
      </c>
      <c r="AB132" s="4">
        <v>-161.92006475432845</v>
      </c>
    </row>
    <row r="133" spans="27:28" x14ac:dyDescent="0.2">
      <c r="AA133" s="4">
        <v>95</v>
      </c>
      <c r="AB133" s="4">
        <v>-106.56533310579738</v>
      </c>
    </row>
    <row r="134" spans="27:28" x14ac:dyDescent="0.2">
      <c r="AA134" s="4">
        <v>96</v>
      </c>
      <c r="AB134" s="4">
        <v>-558.25512793641451</v>
      </c>
    </row>
    <row r="135" spans="27:28" x14ac:dyDescent="0.2">
      <c r="AA135" s="4">
        <v>97</v>
      </c>
      <c r="AB135" s="4">
        <v>-130.98934450158862</v>
      </c>
    </row>
    <row r="136" spans="27:28" x14ac:dyDescent="0.2">
      <c r="AA136" s="4">
        <v>98</v>
      </c>
      <c r="AB136" s="4">
        <v>120.15994580390003</v>
      </c>
    </row>
    <row r="137" spans="27:28" x14ac:dyDescent="0.2">
      <c r="AA137" s="4">
        <v>99</v>
      </c>
      <c r="AB137" s="4">
        <v>-57.36826174664418</v>
      </c>
    </row>
    <row r="138" spans="27:28" x14ac:dyDescent="0.2">
      <c r="AA138" s="4">
        <v>100</v>
      </c>
      <c r="AB138" s="4">
        <v>-327.31714362546626</v>
      </c>
    </row>
    <row r="139" spans="27:28" x14ac:dyDescent="0.2">
      <c r="AA139" s="4">
        <v>101</v>
      </c>
      <c r="AB139" s="4">
        <v>-237.45053252171584</v>
      </c>
    </row>
    <row r="140" spans="27:28" x14ac:dyDescent="0.2">
      <c r="AA140" s="4">
        <v>102</v>
      </c>
      <c r="AB140" s="4">
        <v>-106.56533310579738</v>
      </c>
    </row>
    <row r="141" spans="27:28" x14ac:dyDescent="0.2">
      <c r="AA141" s="4">
        <v>103</v>
      </c>
      <c r="AB141" s="4">
        <v>-219.56058701197139</v>
      </c>
    </row>
    <row r="142" spans="27:28" x14ac:dyDescent="0.2">
      <c r="AA142" s="4">
        <v>104</v>
      </c>
      <c r="AB142" s="4">
        <v>-645.56958335573927</v>
      </c>
    </row>
    <row r="143" spans="27:28" x14ac:dyDescent="0.2">
      <c r="AA143" s="4">
        <v>105</v>
      </c>
      <c r="AB143" s="4">
        <v>-231.95177546020727</v>
      </c>
    </row>
    <row r="144" spans="27:28" x14ac:dyDescent="0.2">
      <c r="AA144" s="4">
        <v>106</v>
      </c>
      <c r="AB144" s="4">
        <v>-257.1285980493364</v>
      </c>
    </row>
    <row r="145" spans="27:28" x14ac:dyDescent="0.2">
      <c r="AA145" s="4">
        <v>107</v>
      </c>
      <c r="AB145" s="4">
        <v>-558.25512793641451</v>
      </c>
    </row>
    <row r="146" spans="27:28" x14ac:dyDescent="0.2">
      <c r="AA146" s="4">
        <v>108</v>
      </c>
      <c r="AB146" s="4">
        <v>44.878313332130631</v>
      </c>
    </row>
    <row r="147" spans="27:28" x14ac:dyDescent="0.2">
      <c r="AA147" s="4">
        <v>109</v>
      </c>
      <c r="AB147" s="4">
        <v>-588.17789639371426</v>
      </c>
    </row>
    <row r="148" spans="27:28" x14ac:dyDescent="0.2">
      <c r="AA148" s="4">
        <v>110</v>
      </c>
      <c r="AB148" s="4">
        <v>-136.48810156309716</v>
      </c>
    </row>
    <row r="149" spans="27:28" x14ac:dyDescent="0.2">
      <c r="AA149" s="4">
        <v>111</v>
      </c>
      <c r="AB149" s="4">
        <v>44.878313332130631</v>
      </c>
    </row>
    <row r="150" spans="27:28" x14ac:dyDescent="0.2">
      <c r="AA150" s="4">
        <v>112</v>
      </c>
      <c r="AB150" s="4">
        <v>-156.16616709071775</v>
      </c>
    </row>
    <row r="151" spans="27:28" x14ac:dyDescent="0.2">
      <c r="AA151" s="4">
        <v>113</v>
      </c>
      <c r="AB151" s="4">
        <v>-106.56533310579738</v>
      </c>
    </row>
    <row r="152" spans="27:28" x14ac:dyDescent="0.2">
      <c r="AA152" s="4">
        <v>114</v>
      </c>
      <c r="AB152" s="4">
        <v>-48.66721066268866</v>
      </c>
    </row>
    <row r="153" spans="27:28" x14ac:dyDescent="0.2">
      <c r="AA153" s="4">
        <v>115</v>
      </c>
      <c r="AB153" s="4">
        <v>-428.27957458408491</v>
      </c>
    </row>
    <row r="154" spans="27:28" x14ac:dyDescent="0.2">
      <c r="AA154" s="4">
        <v>116</v>
      </c>
      <c r="AB154" s="4">
        <v>-381.63465890935731</v>
      </c>
    </row>
    <row r="155" spans="27:28" x14ac:dyDescent="0.2">
      <c r="AA155" s="4">
        <v>117</v>
      </c>
      <c r="AB155" s="4">
        <v>-31.283700634027923</v>
      </c>
    </row>
    <row r="156" spans="27:28" x14ac:dyDescent="0.2">
      <c r="AA156" s="4">
        <v>118</v>
      </c>
      <c r="AB156" s="4">
        <v>-237.45053252171584</v>
      </c>
    </row>
    <row r="157" spans="27:28" x14ac:dyDescent="0.2">
      <c r="AA157" s="4">
        <v>119</v>
      </c>
      <c r="AB157" s="4">
        <v>-156.16616709071775</v>
      </c>
    </row>
    <row r="158" spans="27:28" x14ac:dyDescent="0.2">
      <c r="AA158" s="4">
        <v>120</v>
      </c>
      <c r="AB158" s="4">
        <v>-48.409610477222884</v>
      </c>
    </row>
    <row r="159" spans="27:28" x14ac:dyDescent="0.2">
      <c r="AA159" s="4">
        <v>121</v>
      </c>
      <c r="AB159" s="4">
        <v>-391.85009726983657</v>
      </c>
    </row>
    <row r="160" spans="27:28" x14ac:dyDescent="0.2">
      <c r="AA160" s="4">
        <v>122</v>
      </c>
      <c r="AB160" s="4">
        <v>-106.56533310579738</v>
      </c>
    </row>
    <row r="161" spans="27:28" x14ac:dyDescent="0.2">
      <c r="AA161" s="4">
        <v>123</v>
      </c>
      <c r="AB161" s="4">
        <v>-227.36266446228765</v>
      </c>
    </row>
    <row r="162" spans="27:28" x14ac:dyDescent="0.2">
      <c r="AA162" s="4">
        <v>124</v>
      </c>
      <c r="AB162" s="4">
        <v>-274.25450789253136</v>
      </c>
    </row>
    <row r="163" spans="27:28" x14ac:dyDescent="0.2">
      <c r="AA163" s="4">
        <v>125</v>
      </c>
      <c r="AB163" s="4">
        <v>120.15994580390003</v>
      </c>
    </row>
    <row r="164" spans="27:28" x14ac:dyDescent="0.2">
      <c r="AA164" s="4">
        <v>126</v>
      </c>
      <c r="AB164" s="4">
        <v>-615.64681489843952</v>
      </c>
    </row>
    <row r="165" spans="27:28" x14ac:dyDescent="0.2">
      <c r="AA165" s="4">
        <v>127</v>
      </c>
      <c r="AB165" s="4">
        <v>-388.01379746525487</v>
      </c>
    </row>
    <row r="166" spans="27:28" x14ac:dyDescent="0.2">
      <c r="AA166" s="4">
        <v>128</v>
      </c>
      <c r="AB166" s="4">
        <v>-126.27266320261793</v>
      </c>
    </row>
    <row r="167" spans="27:28" x14ac:dyDescent="0.2">
      <c r="AA167" s="4">
        <v>129</v>
      </c>
      <c r="AB167" s="4">
        <v>-146.83111022462748</v>
      </c>
    </row>
    <row r="168" spans="27:28" x14ac:dyDescent="0.2">
      <c r="AA168" s="4">
        <v>130</v>
      </c>
      <c r="AB168" s="4">
        <v>-103.13279592698282</v>
      </c>
    </row>
    <row r="169" spans="27:28" x14ac:dyDescent="0.2">
      <c r="AA169" s="4">
        <v>131</v>
      </c>
      <c r="AB169" s="4">
        <v>-10.725253612018321</v>
      </c>
    </row>
    <row r="170" spans="27:28" x14ac:dyDescent="0.2">
      <c r="AA170" s="4">
        <v>132</v>
      </c>
      <c r="AB170" s="4">
        <v>-237.45053252171584</v>
      </c>
    </row>
    <row r="171" spans="27:28" x14ac:dyDescent="0.2">
      <c r="AA171" s="4">
        <v>133</v>
      </c>
      <c r="AB171" s="4">
        <v>-729.40610447116296</v>
      </c>
    </row>
    <row r="172" spans="27:28" x14ac:dyDescent="0.2">
      <c r="AA172" s="4">
        <v>134</v>
      </c>
      <c r="AB172" s="4">
        <v>-41.122733397838203</v>
      </c>
    </row>
    <row r="173" spans="27:28" x14ac:dyDescent="0.2">
      <c r="AA173" s="4">
        <v>135</v>
      </c>
      <c r="AB173" s="4">
        <v>-243.60819281109366</v>
      </c>
    </row>
    <row r="174" spans="27:28" x14ac:dyDescent="0.2">
      <c r="AA174" s="4">
        <v>136</v>
      </c>
      <c r="AB174" s="4">
        <v>-254.5764423649108</v>
      </c>
    </row>
    <row r="175" spans="27:28" x14ac:dyDescent="0.2">
      <c r="AA175" s="4">
        <v>137</v>
      </c>
      <c r="AB175" s="4">
        <v>-8.401433543858559</v>
      </c>
    </row>
    <row r="176" spans="27:28" x14ac:dyDescent="0.2">
      <c r="AA176" s="4">
        <v>138</v>
      </c>
      <c r="AB176" s="4">
        <v>-146.83111022462748</v>
      </c>
    </row>
    <row r="177" spans="27:28" x14ac:dyDescent="0.2">
      <c r="AA177" s="4">
        <v>139</v>
      </c>
      <c r="AB177" s="4">
        <v>-31.283700634027923</v>
      </c>
    </row>
    <row r="178" spans="27:28" x14ac:dyDescent="0.2">
      <c r="AA178" s="4">
        <v>140</v>
      </c>
      <c r="AB178" s="4">
        <v>-237.45053252171584</v>
      </c>
    </row>
    <row r="179" spans="27:28" x14ac:dyDescent="0.2">
      <c r="AA179" s="4">
        <v>141</v>
      </c>
      <c r="AB179" s="4">
        <v>-106.56533310579738</v>
      </c>
    </row>
    <row r="180" spans="27:28" x14ac:dyDescent="0.2">
      <c r="AA180" s="4">
        <v>142</v>
      </c>
      <c r="AB180" s="4">
        <v>-277.71630964054589</v>
      </c>
    </row>
    <row r="181" spans="27:28" x14ac:dyDescent="0.2">
      <c r="AA181" s="4">
        <v>143</v>
      </c>
      <c r="AB181" s="4">
        <v>-449.24178423186163</v>
      </c>
    </row>
    <row r="182" spans="27:28" x14ac:dyDescent="0.2">
      <c r="AA182" s="4">
        <v>144</v>
      </c>
      <c r="AB182" s="4">
        <v>-277.71630964054589</v>
      </c>
    </row>
    <row r="183" spans="27:28" x14ac:dyDescent="0.2">
      <c r="AA183" s="4">
        <v>145</v>
      </c>
      <c r="AB183" s="4">
        <v>-191.6859983413772</v>
      </c>
    </row>
    <row r="184" spans="27:28" x14ac:dyDescent="0.2">
      <c r="AA184" s="4">
        <v>146</v>
      </c>
      <c r="AB184" s="4">
        <v>-457.2926969777958</v>
      </c>
    </row>
    <row r="185" spans="27:28" x14ac:dyDescent="0.2">
      <c r="AA185" s="4">
        <v>147</v>
      </c>
      <c r="AB185" s="4">
        <v>-163.95702006782244</v>
      </c>
    </row>
    <row r="186" spans="27:28" x14ac:dyDescent="0.2">
      <c r="AA186" s="4">
        <v>148</v>
      </c>
      <c r="AB186" s="4">
        <v>-580.88855973096588</v>
      </c>
    </row>
    <row r="187" spans="27:28" x14ac:dyDescent="0.2">
      <c r="AA187" s="4">
        <v>149</v>
      </c>
      <c r="AB187" s="4">
        <v>-297.3943751681665</v>
      </c>
    </row>
    <row r="188" spans="27:28" x14ac:dyDescent="0.2">
      <c r="AA188" s="4">
        <v>150</v>
      </c>
      <c r="AB188" s="4">
        <v>34.158899073931309</v>
      </c>
    </row>
    <row r="189" spans="27:28" x14ac:dyDescent="0.2">
      <c r="AA189" s="4">
        <v>151</v>
      </c>
      <c r="AB189" s="4">
        <v>-575.38103777960941</v>
      </c>
    </row>
    <row r="190" spans="27:28" x14ac:dyDescent="0.2">
      <c r="AA190" s="4">
        <v>152</v>
      </c>
      <c r="AB190" s="4">
        <v>-163.95702006782244</v>
      </c>
    </row>
    <row r="191" spans="27:28" x14ac:dyDescent="0.2">
      <c r="AA191" s="4">
        <v>153</v>
      </c>
      <c r="AB191" s="4">
        <v>-492.81252822845522</v>
      </c>
    </row>
    <row r="192" spans="27:28" x14ac:dyDescent="0.2">
      <c r="AA192" s="4">
        <v>154</v>
      </c>
      <c r="AB192" s="4">
        <v>-106.56533310579738</v>
      </c>
    </row>
    <row r="193" spans="27:28" x14ac:dyDescent="0.2">
      <c r="AA193" s="4">
        <v>155</v>
      </c>
      <c r="AB193" s="4">
        <v>-106.56533310579738</v>
      </c>
    </row>
    <row r="194" spans="27:28" x14ac:dyDescent="0.2">
      <c r="AA194" s="4">
        <v>156</v>
      </c>
      <c r="AB194" s="4">
        <v>-358.24786387820609</v>
      </c>
    </row>
    <row r="195" spans="27:28" x14ac:dyDescent="0.2">
      <c r="AA195" s="4">
        <v>157</v>
      </c>
      <c r="AB195" s="4">
        <v>-359.12879741585698</v>
      </c>
    </row>
    <row r="196" spans="27:28" x14ac:dyDescent="0.2">
      <c r="AA196" s="4">
        <v>158</v>
      </c>
      <c r="AB196" s="4">
        <v>-41.122733397838203</v>
      </c>
    </row>
    <row r="197" spans="27:28" x14ac:dyDescent="0.2">
      <c r="AA197" s="4">
        <v>159</v>
      </c>
      <c r="AB197" s="4">
        <v>-90.723567382758517</v>
      </c>
    </row>
    <row r="198" spans="27:28" x14ac:dyDescent="0.2">
      <c r="AA198" s="4">
        <v>160</v>
      </c>
      <c r="AB198" s="4">
        <v>-158.96469848739758</v>
      </c>
    </row>
    <row r="199" spans="27:28" x14ac:dyDescent="0.2">
      <c r="AA199" s="4">
        <v>161</v>
      </c>
      <c r="AB199" s="4">
        <v>-191.6859983413772</v>
      </c>
    </row>
    <row r="200" spans="27:28" x14ac:dyDescent="0.2">
      <c r="AA200" s="4">
        <v>162</v>
      </c>
      <c r="AB200" s="4">
        <v>-492.81252822845522</v>
      </c>
    </row>
    <row r="201" spans="27:28" x14ac:dyDescent="0.2">
      <c r="AA201" s="4">
        <v>163</v>
      </c>
      <c r="AB201" s="4">
        <v>44.878313332130631</v>
      </c>
    </row>
    <row r="202" spans="27:28" x14ac:dyDescent="0.2">
      <c r="AA202" s="4">
        <v>164</v>
      </c>
      <c r="AB202" s="4">
        <v>-202.43467716877643</v>
      </c>
    </row>
    <row r="203" spans="27:28" x14ac:dyDescent="0.2">
      <c r="AA203" s="4">
        <v>165</v>
      </c>
      <c r="AB203" s="4">
        <v>-106.56533310579738</v>
      </c>
    </row>
    <row r="204" spans="27:28" x14ac:dyDescent="0.2">
      <c r="AA204" s="4">
        <v>166</v>
      </c>
      <c r="AB204" s="4">
        <v>-237.45053252171584</v>
      </c>
    </row>
    <row r="205" spans="27:28" x14ac:dyDescent="0.2">
      <c r="AA205" s="4">
        <v>167</v>
      </c>
      <c r="AB205" s="4">
        <v>-106.56533310579738</v>
      </c>
    </row>
    <row r="206" spans="27:28" x14ac:dyDescent="0.2">
      <c r="AA206" s="4">
        <v>168</v>
      </c>
      <c r="AB206" s="4">
        <v>-457.2926969777958</v>
      </c>
    </row>
    <row r="207" spans="27:28" x14ac:dyDescent="0.2">
      <c r="AA207" s="4">
        <v>169</v>
      </c>
      <c r="AB207" s="4">
        <v>-474.41860682099076</v>
      </c>
    </row>
    <row r="208" spans="27:28" x14ac:dyDescent="0.2">
      <c r="AA208" s="4">
        <v>170</v>
      </c>
      <c r="AB208" s="4">
        <v>-558.25512793641451</v>
      </c>
    </row>
    <row r="209" spans="27:28" x14ac:dyDescent="0.2">
      <c r="AA209" s="4">
        <v>171</v>
      </c>
      <c r="AB209" s="4">
        <v>-191.6859983413772</v>
      </c>
    </row>
    <row r="210" spans="27:28" x14ac:dyDescent="0.2">
      <c r="AA210" s="4">
        <v>172</v>
      </c>
      <c r="AB210" s="4">
        <v>-7.5210520494695743</v>
      </c>
    </row>
    <row r="211" spans="27:28" x14ac:dyDescent="0.2">
      <c r="AA211" s="4">
        <v>173</v>
      </c>
      <c r="AB211" s="4">
        <v>-156.16616709071775</v>
      </c>
    </row>
    <row r="212" spans="27:28" x14ac:dyDescent="0.2">
      <c r="AA212" s="4">
        <v>174</v>
      </c>
      <c r="AB212" s="4">
        <v>69.678730324590731</v>
      </c>
    </row>
    <row r="213" spans="27:28" x14ac:dyDescent="0.2">
      <c r="AA213" s="4">
        <v>175</v>
      </c>
      <c r="AB213" s="4">
        <v>-274.25450789253136</v>
      </c>
    </row>
    <row r="214" spans="27:28" x14ac:dyDescent="0.2">
      <c r="AA214" s="4">
        <v>176</v>
      </c>
      <c r="AB214" s="4">
        <v>-388.01379746525487</v>
      </c>
    </row>
    <row r="215" spans="27:28" x14ac:dyDescent="0.2">
      <c r="AA215" s="4">
        <v>177</v>
      </c>
      <c r="AB215" s="4">
        <v>-257.1285980493364</v>
      </c>
    </row>
    <row r="216" spans="27:28" x14ac:dyDescent="0.2">
      <c r="AA216" s="4">
        <v>178</v>
      </c>
      <c r="AB216" s="4">
        <v>-276.83592814615696</v>
      </c>
    </row>
    <row r="217" spans="27:28" x14ac:dyDescent="0.2">
      <c r="AA217" s="4">
        <v>179</v>
      </c>
      <c r="AB217" s="4">
        <v>-191.6859983413772</v>
      </c>
    </row>
    <row r="218" spans="27:28" x14ac:dyDescent="0.2">
      <c r="AA218" s="4">
        <v>180</v>
      </c>
      <c r="AB218" s="4">
        <v>-152.08103199051817</v>
      </c>
    </row>
    <row r="219" spans="27:28" x14ac:dyDescent="0.2">
      <c r="AA219" s="4">
        <v>181</v>
      </c>
      <c r="AB219" s="4">
        <v>-358.24786387820609</v>
      </c>
    </row>
    <row r="220" spans="27:28" x14ac:dyDescent="0.2">
      <c r="AA220" s="4">
        <v>182</v>
      </c>
      <c r="AB220" s="4">
        <v>-123.69124294899237</v>
      </c>
    </row>
    <row r="221" spans="27:28" x14ac:dyDescent="0.2">
      <c r="AA221" s="4">
        <v>183</v>
      </c>
      <c r="AB221" s="4">
        <v>70.055135921259705</v>
      </c>
    </row>
    <row r="222" spans="27:28" x14ac:dyDescent="0.2">
      <c r="AA222" s="4">
        <v>184</v>
      </c>
      <c r="AB222" s="4">
        <v>-282.96623140643658</v>
      </c>
    </row>
    <row r="223" spans="27:28" x14ac:dyDescent="0.2">
      <c r="AA223" s="4">
        <v>185</v>
      </c>
      <c r="AB223" s="4">
        <v>-101.47224621015778</v>
      </c>
    </row>
    <row r="224" spans="27:28" x14ac:dyDescent="0.2">
      <c r="AA224" s="4">
        <v>186</v>
      </c>
      <c r="AB224" s="4">
        <v>-558.25512793641451</v>
      </c>
    </row>
    <row r="225" spans="27:28" x14ac:dyDescent="0.2">
      <c r="AA225" s="4">
        <v>187</v>
      </c>
      <c r="AB225" s="4">
        <v>-277.71630964054589</v>
      </c>
    </row>
    <row r="226" spans="27:28" x14ac:dyDescent="0.2">
      <c r="AA226" s="4">
        <v>188</v>
      </c>
      <c r="AB226" s="4">
        <v>-136.48810156309716</v>
      </c>
    </row>
    <row r="227" spans="27:28" x14ac:dyDescent="0.2">
      <c r="AA227" s="4">
        <v>189</v>
      </c>
      <c r="AB227" s="4">
        <v>-173.29207693391271</v>
      </c>
    </row>
    <row r="228" spans="27:28" x14ac:dyDescent="0.2">
      <c r="AA228" s="4">
        <v>190</v>
      </c>
      <c r="AB228" s="4">
        <v>-460.09122837447563</v>
      </c>
    </row>
    <row r="229" spans="27:28" x14ac:dyDescent="0.2">
      <c r="AA229" s="4">
        <v>191</v>
      </c>
      <c r="AB229" s="4">
        <v>-237.45053252171584</v>
      </c>
    </row>
    <row r="230" spans="27:28" x14ac:dyDescent="0.2">
      <c r="AA230" s="4">
        <v>192</v>
      </c>
      <c r="AB230" s="4">
        <v>-8.401433543858559</v>
      </c>
    </row>
    <row r="231" spans="27:28" x14ac:dyDescent="0.2">
      <c r="AA231" s="4">
        <v>193</v>
      </c>
      <c r="AB231" s="4">
        <v>-297.3943751681665</v>
      </c>
    </row>
    <row r="232" spans="27:28" x14ac:dyDescent="0.2">
      <c r="AA232" s="4">
        <v>194</v>
      </c>
      <c r="AB232" s="4">
        <v>-176.09060833059257</v>
      </c>
    </row>
    <row r="233" spans="27:28" x14ac:dyDescent="0.2">
      <c r="AA233" s="4">
        <v>195</v>
      </c>
      <c r="AB233" s="4">
        <v>-156.16616709071775</v>
      </c>
    </row>
    <row r="234" spans="27:28" x14ac:dyDescent="0.2">
      <c r="AA234" s="4">
        <v>196</v>
      </c>
      <c r="AB234" s="4">
        <v>-809.93765870882316</v>
      </c>
    </row>
    <row r="235" spans="27:28" x14ac:dyDescent="0.2">
      <c r="AA235" s="4">
        <v>197</v>
      </c>
      <c r="AB235" s="4">
        <v>-598.52090505524461</v>
      </c>
    </row>
    <row r="236" spans="27:28" x14ac:dyDescent="0.2">
      <c r="AA236" s="4">
        <v>198</v>
      </c>
      <c r="AB236" s="4">
        <v>-279.76202984388783</v>
      </c>
    </row>
    <row r="237" spans="27:28" x14ac:dyDescent="0.2">
      <c r="AA237" s="4">
        <v>199</v>
      </c>
      <c r="AB237" s="4">
        <v>-257.1285980493364</v>
      </c>
    </row>
    <row r="238" spans="27:28" x14ac:dyDescent="0.2">
      <c r="AA238" s="4">
        <v>200</v>
      </c>
      <c r="AB238" s="4">
        <v>-537.69668091440496</v>
      </c>
    </row>
    <row r="239" spans="27:28" x14ac:dyDescent="0.2">
      <c r="AA239" s="4">
        <v>201</v>
      </c>
      <c r="AB239" s="4">
        <v>-106.56533310579738</v>
      </c>
    </row>
    <row r="240" spans="27:28" x14ac:dyDescent="0.2">
      <c r="AA240" s="4">
        <v>202</v>
      </c>
      <c r="AB240" s="4">
        <v>-156.16616709071775</v>
      </c>
    </row>
    <row r="241" spans="27:28" x14ac:dyDescent="0.2">
      <c r="AA241" s="4">
        <v>203</v>
      </c>
      <c r="AB241" s="4">
        <v>-236.57015102732686</v>
      </c>
    </row>
    <row r="242" spans="27:28" x14ac:dyDescent="0.2">
      <c r="AA242" s="4">
        <v>204</v>
      </c>
      <c r="AB242" s="4">
        <v>-146.83111022462748</v>
      </c>
    </row>
    <row r="243" spans="27:28" x14ac:dyDescent="0.2">
      <c r="AA243" s="4">
        <v>205</v>
      </c>
      <c r="AB243" s="4">
        <v>-106.56533310579738</v>
      </c>
    </row>
    <row r="244" spans="27:28" x14ac:dyDescent="0.2">
      <c r="AA244" s="4">
        <v>206</v>
      </c>
      <c r="AB244" s="4">
        <v>-257.1285980493364</v>
      </c>
    </row>
    <row r="245" spans="27:28" x14ac:dyDescent="0.2">
      <c r="AA245" s="4">
        <v>207</v>
      </c>
      <c r="AB245" s="4">
        <v>-31.283700634027923</v>
      </c>
    </row>
    <row r="246" spans="27:28" x14ac:dyDescent="0.2">
      <c r="AA246" s="4">
        <v>208</v>
      </c>
      <c r="AB246" s="4">
        <v>34.158899073931309</v>
      </c>
    </row>
    <row r="247" spans="27:28" x14ac:dyDescent="0.2">
      <c r="AA247" s="4">
        <v>209</v>
      </c>
      <c r="AB247" s="4">
        <v>-341.36888179052727</v>
      </c>
    </row>
    <row r="248" spans="27:28" x14ac:dyDescent="0.2">
      <c r="AA248" s="4">
        <v>210</v>
      </c>
      <c r="AB248" s="4">
        <v>-329.60923954106244</v>
      </c>
    </row>
    <row r="249" spans="27:28" x14ac:dyDescent="0.2">
      <c r="AA249" s="4">
        <v>211</v>
      </c>
      <c r="AB249" s="4">
        <v>-274.25450789253136</v>
      </c>
    </row>
    <row r="250" spans="27:28" x14ac:dyDescent="0.2">
      <c r="AA250" s="4">
        <v>212</v>
      </c>
      <c r="AB250" s="4">
        <v>-257.1285980493364</v>
      </c>
    </row>
    <row r="251" spans="27:28" x14ac:dyDescent="0.2">
      <c r="AA251" s="4">
        <v>213</v>
      </c>
      <c r="AB251" s="4">
        <v>-191.6859983413772</v>
      </c>
    </row>
    <row r="252" spans="27:28" x14ac:dyDescent="0.2">
      <c r="AA252" s="4">
        <v>214</v>
      </c>
      <c r="AB252" s="4">
        <v>-231.95177546020727</v>
      </c>
    </row>
    <row r="253" spans="27:28" x14ac:dyDescent="0.2">
      <c r="AA253" s="4">
        <v>215</v>
      </c>
      <c r="AB253" s="4">
        <v>-179.29480989314132</v>
      </c>
    </row>
    <row r="254" spans="27:28" x14ac:dyDescent="0.2">
      <c r="AA254" s="4">
        <v>216</v>
      </c>
      <c r="AB254" s="4">
        <v>-123.69124294899237</v>
      </c>
    </row>
    <row r="255" spans="27:28" x14ac:dyDescent="0.2">
      <c r="AA255" s="4">
        <v>217</v>
      </c>
      <c r="AB255" s="4">
        <v>-81.388510516668248</v>
      </c>
    </row>
    <row r="256" spans="27:28" x14ac:dyDescent="0.2">
      <c r="AA256" s="4">
        <v>218</v>
      </c>
      <c r="AB256" s="4">
        <v>-106.56533310579738</v>
      </c>
    </row>
    <row r="257" spans="27:28" x14ac:dyDescent="0.2">
      <c r="AA257" s="4">
        <v>219</v>
      </c>
      <c r="AB257" s="4">
        <v>-5.6029021471787246</v>
      </c>
    </row>
    <row r="258" spans="27:28" x14ac:dyDescent="0.2">
      <c r="AA258" s="4">
        <v>220</v>
      </c>
      <c r="AB258" s="4">
        <v>-237.45053252171584</v>
      </c>
    </row>
    <row r="259" spans="27:28" x14ac:dyDescent="0.2">
      <c r="AA259" s="4">
        <v>221</v>
      </c>
      <c r="AB259" s="4">
        <v>-237.45053252171584</v>
      </c>
    </row>
    <row r="260" spans="27:28" x14ac:dyDescent="0.2">
      <c r="AA260" s="4">
        <v>222</v>
      </c>
      <c r="AB260" s="4">
        <v>-497.5584740966259</v>
      </c>
    </row>
    <row r="261" spans="27:28" x14ac:dyDescent="0.2">
      <c r="AA261" s="4">
        <v>223</v>
      </c>
      <c r="AB261" s="4">
        <v>-460.09122837447563</v>
      </c>
    </row>
    <row r="262" spans="27:28" x14ac:dyDescent="0.2">
      <c r="AA262" s="4">
        <v>224</v>
      </c>
      <c r="AB262" s="4">
        <v>-179.04597459752341</v>
      </c>
    </row>
    <row r="263" spans="27:28" x14ac:dyDescent="0.2">
      <c r="AA263" s="4">
        <v>225</v>
      </c>
      <c r="AB263" s="4">
        <v>92.560997414760095</v>
      </c>
    </row>
    <row r="264" spans="27:28" x14ac:dyDescent="0.2">
      <c r="AA264" s="4">
        <v>226</v>
      </c>
      <c r="AB264" s="4">
        <v>-314.52028501136147</v>
      </c>
    </row>
    <row r="265" spans="27:28" x14ac:dyDescent="0.2">
      <c r="AA265" s="4">
        <v>227</v>
      </c>
      <c r="AB265" s="4">
        <v>-81.388510516668248</v>
      </c>
    </row>
    <row r="266" spans="27:28" x14ac:dyDescent="0.2">
      <c r="AA266" s="4">
        <v>228</v>
      </c>
      <c r="AB266" s="4">
        <v>120.15994580390003</v>
      </c>
    </row>
    <row r="267" spans="27:28" x14ac:dyDescent="0.2">
      <c r="AA267" s="4">
        <v>229</v>
      </c>
      <c r="AB267" s="4">
        <v>-106.56533310579738</v>
      </c>
    </row>
    <row r="268" spans="27:28" x14ac:dyDescent="0.2">
      <c r="AA268" s="4">
        <v>230</v>
      </c>
      <c r="AB268" s="4">
        <v>-474.41860682099076</v>
      </c>
    </row>
    <row r="269" spans="27:28" x14ac:dyDescent="0.2">
      <c r="AA269" s="4">
        <v>231</v>
      </c>
      <c r="AB269" s="4">
        <v>-146.83111022462748</v>
      </c>
    </row>
    <row r="270" spans="27:28" x14ac:dyDescent="0.2">
      <c r="AA270" s="4">
        <v>232</v>
      </c>
      <c r="AB270" s="4">
        <v>-558.25512793641451</v>
      </c>
    </row>
    <row r="271" spans="27:28" x14ac:dyDescent="0.2">
      <c r="AA271" s="4">
        <v>233</v>
      </c>
      <c r="AB271" s="4">
        <v>-6.1068780448987923</v>
      </c>
    </row>
    <row r="272" spans="27:28" x14ac:dyDescent="0.2">
      <c r="AA272" s="4">
        <v>234</v>
      </c>
      <c r="AB272" s="4">
        <v>-41.122733397838203</v>
      </c>
    </row>
    <row r="273" spans="27:28" x14ac:dyDescent="0.2">
      <c r="AA273" s="4">
        <v>235</v>
      </c>
      <c r="AB273" s="4">
        <v>-146.83111022462748</v>
      </c>
    </row>
    <row r="274" spans="27:28" x14ac:dyDescent="0.2">
      <c r="AA274" s="4">
        <v>236</v>
      </c>
      <c r="AB274" s="4">
        <v>-257.1285980493364</v>
      </c>
    </row>
    <row r="275" spans="27:28" x14ac:dyDescent="0.2">
      <c r="AA275" s="4">
        <v>237</v>
      </c>
      <c r="AB275" s="4">
        <v>19.573920441950406</v>
      </c>
    </row>
    <row r="276" spans="27:28" x14ac:dyDescent="0.2">
      <c r="AA276" s="4">
        <v>238</v>
      </c>
      <c r="AB276" s="4">
        <v>-689.14032735233286</v>
      </c>
    </row>
    <row r="277" spans="27:28" x14ac:dyDescent="0.2">
      <c r="AA277" s="4">
        <v>239</v>
      </c>
      <c r="AB277" s="4">
        <v>-136.48810156309716</v>
      </c>
    </row>
    <row r="278" spans="27:28" x14ac:dyDescent="0.2">
      <c r="AA278" s="4">
        <v>240</v>
      </c>
      <c r="AB278" s="4">
        <v>-158.96469848739758</v>
      </c>
    </row>
    <row r="279" spans="27:28" x14ac:dyDescent="0.2">
      <c r="AA279" s="4">
        <v>241</v>
      </c>
      <c r="AB279" s="4">
        <v>-497.5584740966259</v>
      </c>
    </row>
    <row r="280" spans="27:28" x14ac:dyDescent="0.2">
      <c r="AA280" s="4">
        <v>242</v>
      </c>
      <c r="AB280" s="4">
        <v>-432.11587438866667</v>
      </c>
    </row>
    <row r="281" spans="27:28" x14ac:dyDescent="0.2">
      <c r="AA281" s="4">
        <v>243</v>
      </c>
      <c r="AB281" s="4">
        <v>-341.36888179052727</v>
      </c>
    </row>
    <row r="282" spans="27:28" x14ac:dyDescent="0.2">
      <c r="AA282" s="4">
        <v>244</v>
      </c>
      <c r="AB282" s="4">
        <v>-126.27266320261793</v>
      </c>
    </row>
    <row r="283" spans="27:28" x14ac:dyDescent="0.2">
      <c r="AA283" s="4">
        <v>245</v>
      </c>
      <c r="AB283" s="4">
        <v>-227.36266446228765</v>
      </c>
    </row>
    <row r="284" spans="27:28" x14ac:dyDescent="0.2">
      <c r="AA284" s="4">
        <v>246</v>
      </c>
      <c r="AB284" s="4">
        <v>-195.92550872846417</v>
      </c>
    </row>
    <row r="285" spans="27:28" x14ac:dyDescent="0.2">
      <c r="AA285" s="4">
        <v>247</v>
      </c>
      <c r="AB285" s="4">
        <v>-105.68495161140845</v>
      </c>
    </row>
    <row r="286" spans="27:28" x14ac:dyDescent="0.2">
      <c r="AA286" s="4">
        <v>248</v>
      </c>
      <c r="AB286" s="4">
        <v>-156.16616709071775</v>
      </c>
    </row>
    <row r="287" spans="27:28" x14ac:dyDescent="0.2">
      <c r="AA287" s="4">
        <v>249</v>
      </c>
      <c r="AB287" s="4">
        <v>-41.122733397838203</v>
      </c>
    </row>
    <row r="288" spans="27:28" x14ac:dyDescent="0.2">
      <c r="AA288" s="4">
        <v>250</v>
      </c>
      <c r="AB288" s="4">
        <v>-31.283700634027923</v>
      </c>
    </row>
  </sheetData>
  <hyperlinks>
    <hyperlink ref="T30" r:id="rId1" xr:uid="{FBBC8C44-9331-2243-A0F7-38D7850C978F}"/>
  </hyperlinks>
  <pageMargins left="0.7" right="0.7" top="0.75" bottom="0.75" header="0.3" footer="0.3"/>
  <drawing r:id="rId2"/>
  <extLst>
    <ext xmlns:x14="http://schemas.microsoft.com/office/spreadsheetml/2009/9/main" uri="{05C60535-1F16-4fd2-B633-F4F36F0B64E0}">
      <x14:sparklineGroups xmlns:xm="http://schemas.microsoft.com/office/excel/2006/main">
        <x14:sparklineGroup manualMax="0" manualMin="0" type="column" displayEmptyCellsAs="gap" xr2:uid="{00000000-0003-0000-0700-000001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CreditMetrics_Example!J20:O20</xm:f>
              <xm:sqref>Q20</xm:sqref>
            </x14:sparkline>
            <x14:sparkline>
              <xm:f>CreditMetrics_Example!J21:O21</xm:f>
              <xm:sqref>Q21</xm:sqref>
            </x14:sparkline>
            <x14:sparkline>
              <xm:f>CreditMetrics_Example!J22:O22</xm:f>
              <xm:sqref>Q22</xm:sqref>
            </x14:sparkline>
            <x14:sparkline>
              <xm:f>CreditMetrics_Example!J23:O23</xm:f>
              <xm:sqref>Q23</xm:sqref>
            </x14:sparkline>
            <x14:sparkline>
              <xm:f>CreditMetrics_Example!J24:O24</xm:f>
              <xm:sqref>Q24</xm:sqref>
            </x14:sparkline>
            <x14:sparkline>
              <xm:f>CreditMetrics_Example!J25:O25</xm:f>
              <xm:sqref>Q25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A4877-26F8-804B-835D-C4421F2CCE8B}">
  <sheetPr>
    <tabColor rgb="FFFF0000"/>
  </sheetPr>
  <dimension ref="B2:D7"/>
  <sheetViews>
    <sheetView workbookViewId="0"/>
  </sheetViews>
  <sheetFormatPr baseColWidth="10" defaultRowHeight="26" x14ac:dyDescent="0.3"/>
  <cols>
    <col min="1" max="16384" width="10.83203125" style="36"/>
  </cols>
  <sheetData>
    <row r="2" spans="2:4" x14ac:dyDescent="0.3">
      <c r="B2" s="37" t="s">
        <v>143</v>
      </c>
      <c r="C2" s="2"/>
      <c r="D2" s="2"/>
    </row>
    <row r="3" spans="2:4" x14ac:dyDescent="0.3">
      <c r="B3" s="2"/>
      <c r="C3" s="37" t="s">
        <v>144</v>
      </c>
      <c r="D3" s="2"/>
    </row>
    <row r="4" spans="2:4" x14ac:dyDescent="0.3">
      <c r="B4" s="2"/>
      <c r="C4" s="2"/>
      <c r="D4" s="37" t="s">
        <v>145</v>
      </c>
    </row>
    <row r="5" spans="2:4" x14ac:dyDescent="0.3">
      <c r="B5" s="2"/>
      <c r="C5" s="2"/>
      <c r="D5" s="37" t="s">
        <v>146</v>
      </c>
    </row>
    <row r="6" spans="2:4" x14ac:dyDescent="0.3">
      <c r="B6" s="2"/>
      <c r="C6" s="2"/>
      <c r="D6" s="37" t="s">
        <v>147</v>
      </c>
    </row>
    <row r="7" spans="2:4" x14ac:dyDescent="0.3">
      <c r="B7" s="2"/>
      <c r="C7" s="37" t="s">
        <v>148</v>
      </c>
      <c r="D7"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E23"/>
  <sheetViews>
    <sheetView workbookViewId="0">
      <selection activeCell="A2" sqref="A2"/>
    </sheetView>
  </sheetViews>
  <sheetFormatPr baseColWidth="10" defaultColWidth="8.83203125" defaultRowHeight="29" x14ac:dyDescent="0.35"/>
  <cols>
    <col min="1" max="1" width="8.83203125" style="1"/>
    <col min="2" max="2" width="13.5" style="1" bestFit="1" customWidth="1"/>
    <col min="3" max="16384" width="8.83203125" style="1"/>
  </cols>
  <sheetData>
    <row r="2" spans="2:5" x14ac:dyDescent="0.35">
      <c r="B2" s="1" t="s">
        <v>19</v>
      </c>
    </row>
    <row r="4" spans="2:5" x14ac:dyDescent="0.35">
      <c r="B4" s="1" t="s">
        <v>18</v>
      </c>
    </row>
    <row r="5" spans="2:5" x14ac:dyDescent="0.35">
      <c r="C5" s="1" t="s">
        <v>17</v>
      </c>
    </row>
    <row r="6" spans="2:5" x14ac:dyDescent="0.35">
      <c r="D6" s="1" t="s">
        <v>16</v>
      </c>
    </row>
    <row r="7" spans="2:5" x14ac:dyDescent="0.35">
      <c r="D7" s="1" t="s">
        <v>15</v>
      </c>
    </row>
    <row r="8" spans="2:5" x14ac:dyDescent="0.35">
      <c r="D8" s="1" t="s">
        <v>14</v>
      </c>
    </row>
    <row r="9" spans="2:5" x14ac:dyDescent="0.35">
      <c r="D9" s="1" t="s">
        <v>13</v>
      </c>
    </row>
    <row r="10" spans="2:5" x14ac:dyDescent="0.35">
      <c r="D10" s="1" t="s">
        <v>12</v>
      </c>
    </row>
    <row r="11" spans="2:5" x14ac:dyDescent="0.35">
      <c r="D11" s="1" t="s">
        <v>11</v>
      </c>
    </row>
    <row r="12" spans="2:5" x14ac:dyDescent="0.35">
      <c r="E12" s="1" t="s">
        <v>10</v>
      </c>
    </row>
    <row r="13" spans="2:5" x14ac:dyDescent="0.35">
      <c r="E13" s="1" t="s">
        <v>9</v>
      </c>
    </row>
    <row r="14" spans="2:5" x14ac:dyDescent="0.35">
      <c r="E14" s="1" t="s">
        <v>8</v>
      </c>
    </row>
    <row r="15" spans="2:5" x14ac:dyDescent="0.35">
      <c r="D15" s="1" t="s">
        <v>7</v>
      </c>
    </row>
    <row r="16" spans="2:5" x14ac:dyDescent="0.35">
      <c r="E16" s="1" t="s">
        <v>6</v>
      </c>
    </row>
    <row r="17" spans="3:5" x14ac:dyDescent="0.35">
      <c r="E17" s="1" t="s">
        <v>5</v>
      </c>
    </row>
    <row r="18" spans="3:5" x14ac:dyDescent="0.35">
      <c r="C18" s="1" t="s">
        <v>4</v>
      </c>
    </row>
    <row r="19" spans="3:5" x14ac:dyDescent="0.35">
      <c r="D19" s="1" t="s">
        <v>3</v>
      </c>
    </row>
    <row r="20" spans="3:5" x14ac:dyDescent="0.35">
      <c r="D20" s="1" t="s">
        <v>2</v>
      </c>
    </row>
    <row r="21" spans="3:5" x14ac:dyDescent="0.35">
      <c r="D21" s="1" t="s">
        <v>1</v>
      </c>
    </row>
    <row r="23" spans="3:5" x14ac:dyDescent="0.35">
      <c r="C23" s="1" t="s">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61A7-DC04-2943-8E8F-2969455387E4}">
  <sheetPr>
    <tabColor rgb="FFFF0000"/>
  </sheetPr>
  <dimension ref="B2:C13"/>
  <sheetViews>
    <sheetView workbookViewId="0"/>
  </sheetViews>
  <sheetFormatPr baseColWidth="10" defaultRowHeight="29" x14ac:dyDescent="0.35"/>
  <cols>
    <col min="1" max="16384" width="10.83203125" style="237"/>
  </cols>
  <sheetData>
    <row r="2" spans="2:3" x14ac:dyDescent="0.35">
      <c r="B2" s="237" t="s">
        <v>374</v>
      </c>
    </row>
    <row r="5" spans="2:3" x14ac:dyDescent="0.35">
      <c r="B5" s="237" t="s">
        <v>375</v>
      </c>
    </row>
    <row r="6" spans="2:3" x14ac:dyDescent="0.35">
      <c r="C6" s="237" t="s">
        <v>376</v>
      </c>
    </row>
    <row r="7" spans="2:3" x14ac:dyDescent="0.35">
      <c r="C7" s="237" t="s">
        <v>377</v>
      </c>
    </row>
    <row r="8" spans="2:3" x14ac:dyDescent="0.35">
      <c r="C8" s="237" t="s">
        <v>378</v>
      </c>
    </row>
    <row r="10" spans="2:3" x14ac:dyDescent="0.35">
      <c r="B10" s="237" t="s">
        <v>379</v>
      </c>
    </row>
    <row r="11" spans="2:3" x14ac:dyDescent="0.35">
      <c r="C11" s="237" t="s">
        <v>380</v>
      </c>
    </row>
    <row r="12" spans="2:3" x14ac:dyDescent="0.35">
      <c r="C12" s="237" t="s">
        <v>381</v>
      </c>
    </row>
    <row r="13" spans="2:3" x14ac:dyDescent="0.35">
      <c r="C13" s="237" t="s">
        <v>382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0363-80A4-1240-931A-79584F118D1F}">
  <sheetPr>
    <tabColor rgb="FFFF0000"/>
  </sheetPr>
  <dimension ref="A1:L26"/>
  <sheetViews>
    <sheetView workbookViewId="0"/>
  </sheetViews>
  <sheetFormatPr baseColWidth="10" defaultRowHeight="24" x14ac:dyDescent="0.3"/>
  <cols>
    <col min="1" max="2" width="10.83203125" style="269"/>
    <col min="3" max="3" width="11.33203125" style="269" bestFit="1" customWidth="1"/>
    <col min="4" max="12" width="11" style="269" bestFit="1" customWidth="1"/>
    <col min="13" max="16384" width="10.83203125" style="269"/>
  </cols>
  <sheetData>
    <row r="1" spans="1:12" x14ac:dyDescent="0.3">
      <c r="A1" s="269" t="s">
        <v>441</v>
      </c>
    </row>
    <row r="2" spans="1:12" x14ac:dyDescent="0.3">
      <c r="B2" s="269" t="s">
        <v>442</v>
      </c>
    </row>
    <row r="3" spans="1:12" x14ac:dyDescent="0.3">
      <c r="B3" s="269" t="s">
        <v>443</v>
      </c>
    </row>
    <row r="5" spans="1:12" x14ac:dyDescent="0.3">
      <c r="C5" s="269" t="s">
        <v>444</v>
      </c>
    </row>
    <row r="6" spans="1:12" x14ac:dyDescent="0.3">
      <c r="D6" s="269">
        <v>1</v>
      </c>
      <c r="E6" s="269">
        <v>2</v>
      </c>
      <c r="F6" s="269">
        <v>3</v>
      </c>
      <c r="G6" s="269">
        <v>4</v>
      </c>
      <c r="H6" s="269">
        <v>5</v>
      </c>
      <c r="I6" s="269">
        <v>7</v>
      </c>
      <c r="J6" s="269">
        <v>10</v>
      </c>
      <c r="K6" s="269">
        <v>15</v>
      </c>
      <c r="L6" s="269">
        <v>20</v>
      </c>
    </row>
    <row r="7" spans="1:12" x14ac:dyDescent="0.3">
      <c r="C7" s="269" t="s">
        <v>445</v>
      </c>
      <c r="D7" s="270">
        <v>0</v>
      </c>
      <c r="E7" s="270">
        <v>1.0999999999999999E-2</v>
      </c>
      <c r="F7" s="270">
        <v>1.0999999999999999E-2</v>
      </c>
      <c r="G7" s="270">
        <v>3.1E-2</v>
      </c>
      <c r="H7" s="270">
        <v>8.5000000000000006E-2</v>
      </c>
      <c r="I7" s="270">
        <v>0.19500000000000001</v>
      </c>
      <c r="J7" s="270">
        <v>0.38600000000000001</v>
      </c>
      <c r="K7" s="270">
        <v>0.70499999999999996</v>
      </c>
      <c r="L7" s="270">
        <v>0.82399999999999995</v>
      </c>
    </row>
    <row r="8" spans="1:12" x14ac:dyDescent="0.3">
      <c r="C8" s="269" t="s">
        <v>446</v>
      </c>
      <c r="D8" s="270">
        <v>2.1000000000000001E-2</v>
      </c>
      <c r="E8" s="270">
        <v>0.06</v>
      </c>
      <c r="F8" s="270">
        <v>0.11</v>
      </c>
      <c r="G8" s="270">
        <v>0.192</v>
      </c>
      <c r="H8" s="270">
        <v>0.29799999999999999</v>
      </c>
      <c r="I8" s="270">
        <v>0.52500000000000002</v>
      </c>
      <c r="J8" s="270">
        <v>0.77800000000000002</v>
      </c>
      <c r="K8" s="270">
        <v>1.3360000000000001</v>
      </c>
      <c r="L8" s="270">
        <v>2.1509999999999998</v>
      </c>
    </row>
    <row r="9" spans="1:12" x14ac:dyDescent="0.3">
      <c r="C9" s="269" t="s">
        <v>447</v>
      </c>
      <c r="D9" s="270">
        <v>5.5E-2</v>
      </c>
      <c r="E9" s="270">
        <v>0.16500000000000001</v>
      </c>
      <c r="F9" s="270">
        <v>0.34499999999999997</v>
      </c>
      <c r="G9" s="270">
        <v>0.53600000000000003</v>
      </c>
      <c r="H9" s="270">
        <v>0.76600000000000001</v>
      </c>
      <c r="I9" s="270">
        <v>1.2969999999999999</v>
      </c>
      <c r="J9" s="270">
        <v>2.2240000000000002</v>
      </c>
      <c r="K9" s="270">
        <v>3.8759999999999999</v>
      </c>
      <c r="L9" s="270">
        <v>5.7930000000000001</v>
      </c>
    </row>
    <row r="10" spans="1:12" x14ac:dyDescent="0.3">
      <c r="C10" s="269" t="s">
        <v>448</v>
      </c>
      <c r="D10" s="270">
        <v>0.17699999999999999</v>
      </c>
      <c r="E10" s="270">
        <v>0.46100000000000002</v>
      </c>
      <c r="F10" s="270">
        <v>0.80400000000000005</v>
      </c>
      <c r="G10" s="270">
        <v>1.216</v>
      </c>
      <c r="H10" s="270">
        <v>1.6279999999999999</v>
      </c>
      <c r="I10" s="270">
        <v>2.472</v>
      </c>
      <c r="J10" s="270">
        <v>3.9249999999999998</v>
      </c>
      <c r="K10" s="270">
        <v>7.0060000000000002</v>
      </c>
      <c r="L10" s="270">
        <v>10.236000000000001</v>
      </c>
    </row>
    <row r="11" spans="1:12" x14ac:dyDescent="0.3">
      <c r="C11" s="269" t="s">
        <v>449</v>
      </c>
      <c r="D11" s="270">
        <v>0.94499999999999995</v>
      </c>
      <c r="E11" s="270">
        <v>2.5830000000000002</v>
      </c>
      <c r="F11" s="270">
        <v>4.492</v>
      </c>
      <c r="G11" s="270">
        <v>6.5179999999999998</v>
      </c>
      <c r="H11" s="270">
        <v>8.3919999999999995</v>
      </c>
      <c r="I11" s="270">
        <v>11.667</v>
      </c>
      <c r="J11" s="270">
        <v>16.283000000000001</v>
      </c>
      <c r="K11" s="270">
        <v>23.576000000000001</v>
      </c>
      <c r="L11" s="270">
        <v>29.733000000000001</v>
      </c>
    </row>
    <row r="12" spans="1:12" x14ac:dyDescent="0.3">
      <c r="C12" s="269" t="s">
        <v>450</v>
      </c>
      <c r="D12" s="270">
        <v>3.573</v>
      </c>
      <c r="E12" s="270">
        <v>8.4359999999999999</v>
      </c>
      <c r="F12" s="270">
        <v>13.377000000000001</v>
      </c>
      <c r="G12" s="270">
        <v>17.827999999999999</v>
      </c>
      <c r="H12" s="270">
        <v>21.908000000000001</v>
      </c>
      <c r="I12" s="270">
        <v>28.856999999999999</v>
      </c>
      <c r="J12" s="270">
        <v>36.177</v>
      </c>
      <c r="K12" s="270">
        <v>43.658000000000001</v>
      </c>
      <c r="L12" s="270">
        <v>48.643999999999998</v>
      </c>
    </row>
    <row r="13" spans="1:12" x14ac:dyDescent="0.3">
      <c r="C13" s="269" t="s">
        <v>451</v>
      </c>
      <c r="D13" s="270">
        <v>10.624000000000001</v>
      </c>
      <c r="E13" s="270">
        <v>18.670000000000002</v>
      </c>
      <c r="F13" s="270">
        <v>25.443000000000001</v>
      </c>
      <c r="G13" s="270">
        <v>30.974</v>
      </c>
      <c r="H13" s="270">
        <v>35.542999999999999</v>
      </c>
      <c r="I13" s="270">
        <v>42.131999999999998</v>
      </c>
      <c r="J13" s="270">
        <v>50.258000000000003</v>
      </c>
      <c r="K13" s="270">
        <v>53.377000000000002</v>
      </c>
      <c r="L13" s="270">
        <v>53.93</v>
      </c>
    </row>
    <row r="16" spans="1:12" x14ac:dyDescent="0.3">
      <c r="C16" s="271" t="s">
        <v>452</v>
      </c>
      <c r="D16" s="271" t="s">
        <v>453</v>
      </c>
    </row>
    <row r="17" spans="3:4" x14ac:dyDescent="0.3">
      <c r="C17" s="271" t="s">
        <v>454</v>
      </c>
      <c r="D17" s="271">
        <v>3</v>
      </c>
    </row>
    <row r="19" spans="3:4" x14ac:dyDescent="0.3">
      <c r="C19" s="272" t="s">
        <v>455</v>
      </c>
    </row>
    <row r="20" spans="3:4" x14ac:dyDescent="0.3">
      <c r="C20" s="273">
        <f>(F13-E13)/100</f>
        <v>6.7729999999999999E-2</v>
      </c>
    </row>
    <row r="22" spans="3:4" x14ac:dyDescent="0.3">
      <c r="C22" s="269" t="s">
        <v>456</v>
      </c>
    </row>
    <row r="23" spans="3:4" x14ac:dyDescent="0.3">
      <c r="C23" s="274">
        <f>1-E13/100</f>
        <v>0.81330000000000002</v>
      </c>
    </row>
    <row r="25" spans="3:4" x14ac:dyDescent="0.3">
      <c r="C25" s="269" t="s">
        <v>457</v>
      </c>
    </row>
    <row r="26" spans="3:4" x14ac:dyDescent="0.3">
      <c r="C26" s="274">
        <f>C20/C23</f>
        <v>8.3278003196852329E-2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502E7-E061-A24D-B784-CB6AA0BDA011}">
  <sheetPr>
    <tabColor rgb="FFFF0000"/>
  </sheetPr>
  <dimension ref="B2:G21"/>
  <sheetViews>
    <sheetView workbookViewId="0"/>
  </sheetViews>
  <sheetFormatPr baseColWidth="10" defaultRowHeight="26" x14ac:dyDescent="0.3"/>
  <cols>
    <col min="1" max="16384" width="10.83203125" style="275"/>
  </cols>
  <sheetData>
    <row r="2" spans="2:7" x14ac:dyDescent="0.3">
      <c r="B2" s="275" t="s">
        <v>442</v>
      </c>
    </row>
    <row r="3" spans="2:7" x14ac:dyDescent="0.3">
      <c r="B3" s="275" t="s">
        <v>458</v>
      </c>
    </row>
    <row r="5" spans="2:7" x14ac:dyDescent="0.3">
      <c r="B5" s="275" t="s">
        <v>459</v>
      </c>
    </row>
    <row r="7" spans="2:7" x14ac:dyDescent="0.3">
      <c r="C7" s="276" t="s">
        <v>460</v>
      </c>
    </row>
    <row r="9" spans="2:7" x14ac:dyDescent="0.3">
      <c r="C9" s="276" t="s">
        <v>461</v>
      </c>
    </row>
    <row r="10" spans="2:7" x14ac:dyDescent="0.3">
      <c r="C10" s="277">
        <v>1.4999999999999999E-2</v>
      </c>
    </row>
    <row r="12" spans="2:7" x14ac:dyDescent="0.3">
      <c r="B12" s="278" t="s">
        <v>462</v>
      </c>
      <c r="C12" s="275">
        <v>1</v>
      </c>
      <c r="D12" s="275">
        <v>2</v>
      </c>
      <c r="E12" s="275">
        <v>3</v>
      </c>
      <c r="F12" s="275">
        <v>4</v>
      </c>
      <c r="G12" s="275">
        <v>5</v>
      </c>
    </row>
    <row r="14" spans="2:7" x14ac:dyDescent="0.3">
      <c r="C14" s="275" t="s">
        <v>463</v>
      </c>
    </row>
    <row r="15" spans="2:7" x14ac:dyDescent="0.3">
      <c r="C15" s="279" cm="1">
        <f t="array" ref="C15:G15">1 - EXP(-avg_hazard_rate*t)</f>
        <v>1.4888060396937353E-2</v>
      </c>
      <c r="D15" s="280">
        <v>2.9554466451491845E-2</v>
      </c>
      <c r="E15" s="280">
        <v>4.400251816690004E-2</v>
      </c>
      <c r="F15" s="280">
        <v>5.823546641575128E-2</v>
      </c>
      <c r="G15" s="280">
        <v>7.2256513671447142E-2</v>
      </c>
    </row>
    <row r="17" spans="3:7" x14ac:dyDescent="0.3">
      <c r="C17" s="275" t="s">
        <v>464</v>
      </c>
    </row>
    <row r="18" spans="3:7" x14ac:dyDescent="0.3">
      <c r="C18" s="280">
        <f>C15-B15</f>
        <v>1.4888060396937353E-2</v>
      </c>
      <c r="D18" s="280">
        <f t="shared" ref="D18:G18" si="0">D15-C15</f>
        <v>1.4666406054554493E-2</v>
      </c>
      <c r="E18" s="280">
        <f t="shared" si="0"/>
        <v>1.4448051715408194E-2</v>
      </c>
      <c r="F18" s="280">
        <f t="shared" si="0"/>
        <v>1.423294824885124E-2</v>
      </c>
      <c r="G18" s="280">
        <f t="shared" si="0"/>
        <v>1.4021047255695862E-2</v>
      </c>
    </row>
    <row r="20" spans="3:7" x14ac:dyDescent="0.3">
      <c r="C20" s="275" t="s">
        <v>465</v>
      </c>
    </row>
    <row r="21" spans="3:7" x14ac:dyDescent="0.3">
      <c r="C21" s="280">
        <f>C18/(1-B15)</f>
        <v>1.4888060396937353E-2</v>
      </c>
      <c r="D21" s="280">
        <f>D18/(1-C15)</f>
        <v>1.4888060396937347E-2</v>
      </c>
      <c r="E21" s="280">
        <f t="shared" ref="E21:G21" si="1">E18/(1-D15)</f>
        <v>1.4888060396937261E-2</v>
      </c>
      <c r="F21" s="280">
        <f t="shared" si="1"/>
        <v>1.4888060396937382E-2</v>
      </c>
      <c r="G21" s="280">
        <f t="shared" si="1"/>
        <v>1.4888060396937386E-2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A287A-6D9F-C74A-90BA-192FB6D7B6DF}">
  <sheetPr>
    <tabColor rgb="FFFF0000"/>
  </sheetPr>
  <dimension ref="A1:B19"/>
  <sheetViews>
    <sheetView workbookViewId="0"/>
  </sheetViews>
  <sheetFormatPr baseColWidth="10" defaultRowHeight="26" x14ac:dyDescent="0.3"/>
  <cols>
    <col min="1" max="16384" width="10.83203125" style="275"/>
  </cols>
  <sheetData>
    <row r="1" spans="1:2" x14ac:dyDescent="0.3">
      <c r="A1" s="275" t="s">
        <v>441</v>
      </c>
    </row>
    <row r="2" spans="1:2" x14ac:dyDescent="0.3">
      <c r="B2" s="275" t="s">
        <v>442</v>
      </c>
    </row>
    <row r="3" spans="1:2" x14ac:dyDescent="0.3">
      <c r="B3" s="275" t="s">
        <v>466</v>
      </c>
    </row>
    <row r="5" spans="1:2" x14ac:dyDescent="0.3">
      <c r="B5" s="275" t="s">
        <v>467</v>
      </c>
    </row>
    <row r="7" spans="1:2" x14ac:dyDescent="0.3">
      <c r="B7" s="275" t="s">
        <v>468</v>
      </c>
    </row>
    <row r="9" spans="1:2" x14ac:dyDescent="0.3">
      <c r="B9" s="275" t="s">
        <v>469</v>
      </c>
    </row>
    <row r="11" spans="1:2" x14ac:dyDescent="0.3">
      <c r="B11" s="275" t="s">
        <v>470</v>
      </c>
    </row>
    <row r="13" spans="1:2" ht="29" x14ac:dyDescent="0.3">
      <c r="B13" s="275" t="s">
        <v>471</v>
      </c>
    </row>
    <row r="15" spans="1:2" x14ac:dyDescent="0.3">
      <c r="B15" s="275" t="s">
        <v>472</v>
      </c>
    </row>
    <row r="17" spans="2:2" ht="29" x14ac:dyDescent="0.3">
      <c r="B17" s="275" t="s">
        <v>473</v>
      </c>
    </row>
    <row r="19" spans="2:2" ht="29" x14ac:dyDescent="0.3">
      <c r="B19" s="275" t="s">
        <v>474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272CC-2EA5-B043-AF1B-83FB41E5C170}">
  <sheetPr>
    <tabColor rgb="FF00B050"/>
  </sheetPr>
  <dimension ref="B2:C12"/>
  <sheetViews>
    <sheetView workbookViewId="0"/>
  </sheetViews>
  <sheetFormatPr baseColWidth="10" defaultRowHeight="26" x14ac:dyDescent="0.3"/>
  <cols>
    <col min="1" max="16384" width="10.83203125" style="265"/>
  </cols>
  <sheetData>
    <row r="2" spans="2:3" x14ac:dyDescent="0.3">
      <c r="B2" s="265" t="s">
        <v>440</v>
      </c>
    </row>
    <row r="5" spans="2:3" x14ac:dyDescent="0.3">
      <c r="B5" s="265" t="s">
        <v>487</v>
      </c>
    </row>
    <row r="7" spans="2:3" x14ac:dyDescent="0.3">
      <c r="C7" s="265" t="s">
        <v>436</v>
      </c>
    </row>
    <row r="8" spans="2:3" x14ac:dyDescent="0.3">
      <c r="C8" s="266" t="s">
        <v>437</v>
      </c>
    </row>
    <row r="9" spans="2:3" x14ac:dyDescent="0.3">
      <c r="C9" s="266" t="s">
        <v>438</v>
      </c>
    </row>
    <row r="11" spans="2:3" x14ac:dyDescent="0.3">
      <c r="C11" s="265" t="s">
        <v>439</v>
      </c>
    </row>
    <row r="12" spans="2:3" x14ac:dyDescent="0.3">
      <c r="C12" s="265" t="s">
        <v>488</v>
      </c>
    </row>
  </sheetData>
  <hyperlinks>
    <hyperlink ref="C8" r:id="rId1" xr:uid="{E45DF117-D7A0-E945-BA9B-53E4DF5BCF71}"/>
    <hyperlink ref="C9" r:id="rId2" xr:uid="{745A4E49-5341-3B4D-AE56-643D40AA5F2D}"/>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7207B-C8FD-D745-90C4-2E4CEA5105F3}">
  <sheetPr>
    <tabColor rgb="FFFFFF00"/>
  </sheetPr>
  <dimension ref="B2:D4"/>
  <sheetViews>
    <sheetView workbookViewId="0"/>
  </sheetViews>
  <sheetFormatPr baseColWidth="10" defaultRowHeight="26" x14ac:dyDescent="0.3"/>
  <cols>
    <col min="1" max="2" width="10.83203125" style="282"/>
    <col min="3" max="3" width="19.83203125" style="282" bestFit="1" customWidth="1"/>
    <col min="4" max="16384" width="10.83203125" style="282"/>
  </cols>
  <sheetData>
    <row r="2" spans="2:4" x14ac:dyDescent="0.3">
      <c r="C2" s="282" t="s">
        <v>479</v>
      </c>
      <c r="D2" s="282" t="s">
        <v>480</v>
      </c>
    </row>
    <row r="3" spans="2:4" x14ac:dyDescent="0.3">
      <c r="B3" s="282">
        <v>1</v>
      </c>
      <c r="C3" s="282" t="s">
        <v>421</v>
      </c>
      <c r="D3" s="282">
        <v>5</v>
      </c>
    </row>
    <row r="4" spans="2:4" x14ac:dyDescent="0.3">
      <c r="B4" s="282">
        <v>2</v>
      </c>
      <c r="C4" s="282" t="s">
        <v>442</v>
      </c>
      <c r="D4" s="282">
        <v>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C48AB-A66E-6243-BF92-F98BCC6BD061}">
  <sheetPr>
    <tabColor rgb="FFFFFF00"/>
  </sheetPr>
  <dimension ref="B2:B9"/>
  <sheetViews>
    <sheetView workbookViewId="0"/>
  </sheetViews>
  <sheetFormatPr baseColWidth="10" defaultRowHeight="26" x14ac:dyDescent="0.3"/>
  <cols>
    <col min="1" max="16384" width="10.83203125" style="267"/>
  </cols>
  <sheetData>
    <row r="2" spans="2:2" x14ac:dyDescent="0.3">
      <c r="B2" s="267" t="s">
        <v>432</v>
      </c>
    </row>
    <row r="3" spans="2:2" x14ac:dyDescent="0.3">
      <c r="B3" s="267" t="s">
        <v>434</v>
      </c>
    </row>
    <row r="4" spans="2:2" x14ac:dyDescent="0.3">
      <c r="B4" s="267" t="s">
        <v>433</v>
      </c>
    </row>
    <row r="6" spans="2:2" x14ac:dyDescent="0.3">
      <c r="B6" s="267" t="s">
        <v>435</v>
      </c>
    </row>
    <row r="8" spans="2:2" x14ac:dyDescent="0.3">
      <c r="B8" s="267" t="s">
        <v>478</v>
      </c>
    </row>
    <row r="9" spans="2:2" x14ac:dyDescent="0.3">
      <c r="B9" s="28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F89B-D3CE-EA4F-B19D-39EFC2EE3FDD}">
  <sheetPr>
    <tabColor rgb="FFFFFF00"/>
  </sheetPr>
  <dimension ref="B2:D24"/>
  <sheetViews>
    <sheetView workbookViewId="0"/>
  </sheetViews>
  <sheetFormatPr baseColWidth="10" defaultRowHeight="24" x14ac:dyDescent="0.3"/>
  <cols>
    <col min="1" max="16384" width="10.83203125" style="283"/>
  </cols>
  <sheetData>
    <row r="2" spans="2:4" x14ac:dyDescent="0.3">
      <c r="B2" s="283" t="s">
        <v>481</v>
      </c>
    </row>
    <row r="3" spans="2:4" x14ac:dyDescent="0.3">
      <c r="B3" s="283" t="s">
        <v>475</v>
      </c>
    </row>
    <row r="5" spans="2:4" x14ac:dyDescent="0.3">
      <c r="B5" s="283" t="s">
        <v>484</v>
      </c>
    </row>
    <row r="6" spans="2:4" x14ac:dyDescent="0.3">
      <c r="B6" s="283">
        <v>1</v>
      </c>
      <c r="C6" s="283">
        <v>2</v>
      </c>
      <c r="D6" s="283">
        <v>3</v>
      </c>
    </row>
    <row r="7" spans="2:4" x14ac:dyDescent="0.3">
      <c r="B7" s="284"/>
      <c r="C7" s="284"/>
      <c r="D7" s="284"/>
    </row>
    <row r="9" spans="2:4" x14ac:dyDescent="0.3">
      <c r="B9" s="283" t="s">
        <v>485</v>
      </c>
    </row>
    <row r="10" spans="2:4" x14ac:dyDescent="0.3">
      <c r="B10" s="283">
        <v>1</v>
      </c>
      <c r="C10" s="283">
        <v>2</v>
      </c>
      <c r="D10" s="283">
        <v>3</v>
      </c>
    </row>
    <row r="11" spans="2:4" x14ac:dyDescent="0.3">
      <c r="B11" s="284"/>
      <c r="C11" s="284"/>
      <c r="D11" s="284"/>
    </row>
    <row r="13" spans="2:4" x14ac:dyDescent="0.3">
      <c r="B13" s="283" t="s">
        <v>476</v>
      </c>
    </row>
    <row r="14" spans="2:4" x14ac:dyDescent="0.3">
      <c r="B14" s="283">
        <v>1</v>
      </c>
      <c r="C14" s="283">
        <v>2</v>
      </c>
      <c r="D14" s="283">
        <v>3</v>
      </c>
    </row>
    <row r="15" spans="2:4" x14ac:dyDescent="0.3">
      <c r="B15" s="284"/>
      <c r="C15" s="284"/>
      <c r="D15" s="284"/>
    </row>
    <row r="17" spans="2:2" x14ac:dyDescent="0.3">
      <c r="B17" s="283" t="s">
        <v>477</v>
      </c>
    </row>
    <row r="18" spans="2:2" x14ac:dyDescent="0.3">
      <c r="B18" s="284"/>
    </row>
    <row r="20" spans="2:2" x14ac:dyDescent="0.3">
      <c r="B20" s="283" t="s">
        <v>482</v>
      </c>
    </row>
    <row r="21" spans="2:2" x14ac:dyDescent="0.3">
      <c r="B21" s="284"/>
    </row>
    <row r="23" spans="2:2" x14ac:dyDescent="0.3">
      <c r="B23" s="283" t="s">
        <v>483</v>
      </c>
    </row>
    <row r="24" spans="2:2" x14ac:dyDescent="0.3">
      <c r="B24" s="28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baseColWidth="10" defaultRowHeight="15" x14ac:dyDescent="0.2"/>
  <cols>
    <col min="1" max="16384" width="10.83203125" style="2"/>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B74A2-1C8A-9C42-8B8B-C4858E306009}">
  <sheetPr>
    <tabColor rgb="FFFFFF00"/>
  </sheetPr>
  <dimension ref="B2:C54"/>
  <sheetViews>
    <sheetView workbookViewId="0">
      <selection activeCell="A5" sqref="A5"/>
    </sheetView>
  </sheetViews>
  <sheetFormatPr baseColWidth="10" defaultRowHeight="29" customHeight="1" x14ac:dyDescent="0.2"/>
  <cols>
    <col min="1" max="1" width="10.83203125" style="63"/>
    <col min="2" max="2" width="23.6640625" style="63" customWidth="1"/>
    <col min="3" max="3" width="131.33203125" style="63" customWidth="1"/>
    <col min="4" max="16384" width="10.83203125" style="63"/>
  </cols>
  <sheetData>
    <row r="2" spans="2:3" ht="29" customHeight="1" thickBot="1" x14ac:dyDescent="0.25">
      <c r="B2" s="61" t="s">
        <v>214</v>
      </c>
      <c r="C2" s="62"/>
    </row>
    <row r="3" spans="2:3" ht="29" customHeight="1" thickBot="1" x14ac:dyDescent="0.25">
      <c r="B3" s="39" t="s">
        <v>150</v>
      </c>
      <c r="C3" s="40" t="s">
        <v>151</v>
      </c>
    </row>
    <row r="4" spans="2:3" ht="29" customHeight="1" thickBot="1" x14ac:dyDescent="0.25">
      <c r="B4" s="41" t="s">
        <v>152</v>
      </c>
      <c r="C4" s="42" t="s">
        <v>215</v>
      </c>
    </row>
    <row r="5" spans="2:3" ht="29" customHeight="1" thickBot="1" x14ac:dyDescent="0.25">
      <c r="B5" s="41" t="s">
        <v>153</v>
      </c>
      <c r="C5" s="64" t="s">
        <v>216</v>
      </c>
    </row>
    <row r="6" spans="2:3" ht="29" customHeight="1" x14ac:dyDescent="0.2">
      <c r="B6" s="286" t="s">
        <v>154</v>
      </c>
      <c r="C6" s="43" t="s">
        <v>217</v>
      </c>
    </row>
    <row r="7" spans="2:3" ht="29" customHeight="1" x14ac:dyDescent="0.2">
      <c r="B7" s="287"/>
      <c r="C7" s="43"/>
    </row>
    <row r="8" spans="2:3" ht="29" customHeight="1" x14ac:dyDescent="0.2">
      <c r="B8" s="287"/>
      <c r="C8" s="65" t="s">
        <v>218</v>
      </c>
    </row>
    <row r="9" spans="2:3" ht="29" customHeight="1" x14ac:dyDescent="0.2">
      <c r="B9" s="287"/>
      <c r="C9" s="65" t="s">
        <v>219</v>
      </c>
    </row>
    <row r="10" spans="2:3" ht="29" customHeight="1" x14ac:dyDescent="0.2">
      <c r="B10" s="287"/>
      <c r="C10" s="65" t="s">
        <v>220</v>
      </c>
    </row>
    <row r="11" spans="2:3" ht="29" customHeight="1" x14ac:dyDescent="0.2">
      <c r="B11" s="287"/>
      <c r="C11" s="65" t="s">
        <v>221</v>
      </c>
    </row>
    <row r="12" spans="2:3" ht="29" customHeight="1" x14ac:dyDescent="0.2">
      <c r="B12" s="287"/>
      <c r="C12" s="65" t="s">
        <v>222</v>
      </c>
    </row>
    <row r="13" spans="2:3" ht="29" customHeight="1" x14ac:dyDescent="0.2">
      <c r="B13" s="287"/>
      <c r="C13" s="65" t="s">
        <v>223</v>
      </c>
    </row>
    <row r="14" spans="2:3" ht="29" customHeight="1" x14ac:dyDescent="0.2">
      <c r="B14" s="287"/>
      <c r="C14" s="65" t="s">
        <v>224</v>
      </c>
    </row>
    <row r="15" spans="2:3" ht="29" customHeight="1" x14ac:dyDescent="0.2">
      <c r="B15" s="287"/>
      <c r="C15" s="65"/>
    </row>
    <row r="16" spans="2:3" ht="29" customHeight="1" x14ac:dyDescent="0.2">
      <c r="B16" s="287"/>
      <c r="C16" s="65" t="s">
        <v>225</v>
      </c>
    </row>
    <row r="17" spans="2:3" ht="29" customHeight="1" x14ac:dyDescent="0.2">
      <c r="B17" s="287"/>
      <c r="C17" s="65" t="s">
        <v>226</v>
      </c>
    </row>
    <row r="18" spans="2:3" ht="29" customHeight="1" x14ac:dyDescent="0.2">
      <c r="B18" s="287"/>
      <c r="C18" s="65" t="s">
        <v>227</v>
      </c>
    </row>
    <row r="19" spans="2:3" ht="29" customHeight="1" x14ac:dyDescent="0.2">
      <c r="B19" s="287"/>
      <c r="C19" s="65" t="s">
        <v>228</v>
      </c>
    </row>
    <row r="20" spans="2:3" ht="29" customHeight="1" x14ac:dyDescent="0.2">
      <c r="B20" s="287"/>
      <c r="C20" s="65" t="s">
        <v>229</v>
      </c>
    </row>
    <row r="21" spans="2:3" ht="29" customHeight="1" x14ac:dyDescent="0.2">
      <c r="B21" s="287"/>
      <c r="C21" s="65" t="s">
        <v>230</v>
      </c>
    </row>
    <row r="22" spans="2:3" ht="29" customHeight="1" x14ac:dyDescent="0.2">
      <c r="B22" s="287"/>
      <c r="C22" s="65" t="s">
        <v>231</v>
      </c>
    </row>
    <row r="23" spans="2:3" ht="29" customHeight="1" x14ac:dyDescent="0.2">
      <c r="B23" s="287"/>
      <c r="C23" s="65" t="s">
        <v>232</v>
      </c>
    </row>
    <row r="24" spans="2:3" ht="29" customHeight="1" x14ac:dyDescent="0.2">
      <c r="B24" s="287"/>
      <c r="C24" s="65"/>
    </row>
    <row r="25" spans="2:3" ht="29" customHeight="1" x14ac:dyDescent="0.2">
      <c r="B25" s="287"/>
      <c r="C25" s="65" t="s">
        <v>233</v>
      </c>
    </row>
    <row r="26" spans="2:3" ht="29" customHeight="1" x14ac:dyDescent="0.2">
      <c r="B26" s="287"/>
      <c r="C26" s="65" t="s">
        <v>234</v>
      </c>
    </row>
    <row r="27" spans="2:3" ht="29" customHeight="1" x14ac:dyDescent="0.2">
      <c r="B27" s="287"/>
      <c r="C27" s="65" t="s">
        <v>235</v>
      </c>
    </row>
    <row r="28" spans="2:3" ht="29" customHeight="1" x14ac:dyDescent="0.2">
      <c r="B28" s="287"/>
      <c r="C28" s="65" t="s">
        <v>236</v>
      </c>
    </row>
    <row r="29" spans="2:3" ht="29" customHeight="1" x14ac:dyDescent="0.2">
      <c r="B29" s="287"/>
      <c r="C29" s="65" t="s">
        <v>237</v>
      </c>
    </row>
    <row r="30" spans="2:3" ht="29" customHeight="1" x14ac:dyDescent="0.2">
      <c r="B30" s="287"/>
      <c r="C30" s="65" t="s">
        <v>238</v>
      </c>
    </row>
    <row r="31" spans="2:3" ht="29" customHeight="1" x14ac:dyDescent="0.2">
      <c r="B31" s="287"/>
      <c r="C31" s="65" t="s">
        <v>239</v>
      </c>
    </row>
    <row r="32" spans="2:3" ht="29" customHeight="1" x14ac:dyDescent="0.2">
      <c r="B32" s="287"/>
      <c r="C32" s="65"/>
    </row>
    <row r="33" spans="2:3" ht="29" customHeight="1" x14ac:dyDescent="0.2">
      <c r="B33" s="287"/>
      <c r="C33" s="65" t="s">
        <v>240</v>
      </c>
    </row>
    <row r="34" spans="2:3" ht="29" customHeight="1" x14ac:dyDescent="0.2">
      <c r="B34" s="287"/>
      <c r="C34" s="65" t="s">
        <v>241</v>
      </c>
    </row>
    <row r="35" spans="2:3" ht="29" customHeight="1" x14ac:dyDescent="0.2">
      <c r="B35" s="287"/>
      <c r="C35" s="65" t="s">
        <v>242</v>
      </c>
    </row>
    <row r="36" spans="2:3" ht="29" customHeight="1" x14ac:dyDescent="0.2">
      <c r="B36" s="287"/>
      <c r="C36" s="65" t="s">
        <v>243</v>
      </c>
    </row>
    <row r="37" spans="2:3" ht="29" customHeight="1" x14ac:dyDescent="0.2">
      <c r="B37" s="287"/>
      <c r="C37" s="65" t="s">
        <v>244</v>
      </c>
    </row>
    <row r="38" spans="2:3" ht="29" customHeight="1" x14ac:dyDescent="0.2">
      <c r="B38" s="287"/>
      <c r="C38" s="65" t="s">
        <v>245</v>
      </c>
    </row>
    <row r="39" spans="2:3" ht="29" customHeight="1" x14ac:dyDescent="0.2">
      <c r="B39" s="287"/>
      <c r="C39" s="65" t="s">
        <v>246</v>
      </c>
    </row>
    <row r="40" spans="2:3" ht="29" customHeight="1" thickBot="1" x14ac:dyDescent="0.25">
      <c r="B40" s="288"/>
      <c r="C40" s="42"/>
    </row>
    <row r="41" spans="2:3" ht="29" customHeight="1" x14ac:dyDescent="0.2">
      <c r="B41" s="286" t="s">
        <v>155</v>
      </c>
      <c r="C41" s="43" t="s">
        <v>373</v>
      </c>
    </row>
    <row r="42" spans="2:3" ht="29" customHeight="1" x14ac:dyDescent="0.2">
      <c r="B42" s="287"/>
      <c r="C42" s="43"/>
    </row>
    <row r="43" spans="2:3" ht="29" customHeight="1" x14ac:dyDescent="0.2">
      <c r="B43" s="287"/>
      <c r="C43" s="65" t="s">
        <v>247</v>
      </c>
    </row>
    <row r="44" spans="2:3" ht="29" customHeight="1" x14ac:dyDescent="0.2">
      <c r="B44" s="287"/>
      <c r="C44" s="65" t="s">
        <v>248</v>
      </c>
    </row>
    <row r="45" spans="2:3" ht="29" customHeight="1" thickBot="1" x14ac:dyDescent="0.25">
      <c r="B45" s="288"/>
      <c r="C45" s="66" t="s">
        <v>249</v>
      </c>
    </row>
    <row r="46" spans="2:3" ht="29" customHeight="1" x14ac:dyDescent="0.2">
      <c r="B46" s="286" t="s">
        <v>250</v>
      </c>
      <c r="C46" s="286" t="s">
        <v>251</v>
      </c>
    </row>
    <row r="47" spans="2:3" ht="29" customHeight="1" x14ac:dyDescent="0.2">
      <c r="B47" s="287"/>
      <c r="C47" s="287"/>
    </row>
    <row r="48" spans="2:3" ht="29" customHeight="1" thickBot="1" x14ac:dyDescent="0.25">
      <c r="B48" s="287"/>
      <c r="C48" s="288"/>
    </row>
    <row r="49" spans="2:3" ht="29" customHeight="1" x14ac:dyDescent="0.2">
      <c r="B49" s="287"/>
      <c r="C49" s="286" t="s">
        <v>252</v>
      </c>
    </row>
    <row r="50" spans="2:3" ht="29" customHeight="1" x14ac:dyDescent="0.2">
      <c r="B50" s="287"/>
      <c r="C50" s="287"/>
    </row>
    <row r="51" spans="2:3" ht="29" customHeight="1" thickBot="1" x14ac:dyDescent="0.25">
      <c r="B51" s="287"/>
      <c r="C51" s="288"/>
    </row>
    <row r="52" spans="2:3" ht="29" customHeight="1" x14ac:dyDescent="0.2">
      <c r="B52" s="287"/>
      <c r="C52" s="286" t="s">
        <v>253</v>
      </c>
    </row>
    <row r="53" spans="2:3" ht="29" customHeight="1" x14ac:dyDescent="0.2">
      <c r="B53" s="287"/>
      <c r="C53" s="287"/>
    </row>
    <row r="54" spans="2:3" ht="29" customHeight="1" thickBot="1" x14ac:dyDescent="0.25">
      <c r="B54" s="288"/>
      <c r="C54" s="288"/>
    </row>
  </sheetData>
  <mergeCells count="6">
    <mergeCell ref="B6:B40"/>
    <mergeCell ref="B41:B45"/>
    <mergeCell ref="B46:B54"/>
    <mergeCell ref="C46:C48"/>
    <mergeCell ref="C49:C51"/>
    <mergeCell ref="C52:C5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B3771-9C1F-6F42-AD3B-58FEBADD2DDC}">
  <sheetPr>
    <tabColor rgb="FFFFFF00"/>
  </sheetPr>
  <dimension ref="B1:E25"/>
  <sheetViews>
    <sheetView workbookViewId="0">
      <selection activeCell="A5" sqref="A5"/>
    </sheetView>
  </sheetViews>
  <sheetFormatPr baseColWidth="10" defaultRowHeight="51" customHeight="1" x14ac:dyDescent="0.25"/>
  <cols>
    <col min="1" max="1" width="10.83203125" style="46"/>
    <col min="2" max="2" width="54.5" style="46" customWidth="1"/>
    <col min="3" max="3" width="62.1640625" style="46" customWidth="1"/>
    <col min="4" max="4" width="13.5" style="46" bestFit="1" customWidth="1"/>
    <col min="5" max="5" width="10.1640625" style="46" bestFit="1" customWidth="1"/>
    <col min="6" max="16384" width="10.83203125" style="46"/>
  </cols>
  <sheetData>
    <row r="1" spans="2:5" ht="51" customHeight="1" x14ac:dyDescent="0.25">
      <c r="B1" s="44" t="s">
        <v>156</v>
      </c>
      <c r="C1" s="45"/>
      <c r="D1" s="45"/>
      <c r="E1" s="45"/>
    </row>
    <row r="2" spans="2:5" ht="51" customHeight="1" x14ac:dyDescent="0.25">
      <c r="B2" s="47" t="s">
        <v>157</v>
      </c>
      <c r="C2" s="45"/>
      <c r="D2" s="45"/>
      <c r="E2" s="45"/>
    </row>
    <row r="3" spans="2:5" ht="51" customHeight="1" thickBot="1" x14ac:dyDescent="0.3">
      <c r="B3" s="48" t="s">
        <v>158</v>
      </c>
      <c r="C3" s="48" t="s">
        <v>159</v>
      </c>
      <c r="D3" s="48" t="s">
        <v>160</v>
      </c>
      <c r="E3" s="48" t="s">
        <v>161</v>
      </c>
    </row>
    <row r="4" spans="2:5" ht="51" customHeight="1" x14ac:dyDescent="0.25">
      <c r="B4" s="292" t="s">
        <v>162</v>
      </c>
      <c r="C4" s="49"/>
      <c r="D4" s="50"/>
      <c r="E4" s="51"/>
    </row>
    <row r="5" spans="2:5" ht="51" customHeight="1" x14ac:dyDescent="0.25">
      <c r="B5" s="293"/>
      <c r="C5" s="289" t="s">
        <v>163</v>
      </c>
      <c r="D5" s="52" t="s">
        <v>164</v>
      </c>
      <c r="E5" s="53" t="s">
        <v>165</v>
      </c>
    </row>
    <row r="6" spans="2:5" ht="51" customHeight="1" x14ac:dyDescent="0.25">
      <c r="B6" s="293"/>
      <c r="C6" s="289"/>
      <c r="D6" s="52" t="s">
        <v>166</v>
      </c>
      <c r="E6" s="53" t="s">
        <v>167</v>
      </c>
    </row>
    <row r="7" spans="2:5" ht="51" customHeight="1" x14ac:dyDescent="0.25">
      <c r="B7" s="293"/>
      <c r="C7" s="54">
        <v>1</v>
      </c>
      <c r="D7" s="52" t="s">
        <v>168</v>
      </c>
      <c r="E7" s="53" t="s">
        <v>169</v>
      </c>
    </row>
    <row r="8" spans="2:5" ht="51" customHeight="1" thickBot="1" x14ac:dyDescent="0.3">
      <c r="B8" s="294"/>
      <c r="C8" s="54" t="s">
        <v>170</v>
      </c>
      <c r="D8" s="52" t="s">
        <v>171</v>
      </c>
      <c r="E8" s="53" t="s">
        <v>172</v>
      </c>
    </row>
    <row r="9" spans="2:5" ht="51" customHeight="1" x14ac:dyDescent="0.25">
      <c r="B9" s="292" t="s">
        <v>173</v>
      </c>
      <c r="C9" s="54" t="s">
        <v>174</v>
      </c>
      <c r="D9" s="52" t="s">
        <v>175</v>
      </c>
      <c r="E9" s="53" t="s">
        <v>176</v>
      </c>
    </row>
    <row r="10" spans="2:5" ht="51" customHeight="1" x14ac:dyDescent="0.25">
      <c r="B10" s="293"/>
      <c r="C10" s="54">
        <v>2</v>
      </c>
      <c r="D10" s="52" t="s">
        <v>177</v>
      </c>
      <c r="E10" s="53" t="s">
        <v>23</v>
      </c>
    </row>
    <row r="11" spans="2:5" ht="51" customHeight="1" thickBot="1" x14ac:dyDescent="0.3">
      <c r="B11" s="294"/>
      <c r="C11" s="54" t="s">
        <v>178</v>
      </c>
      <c r="D11" s="52" t="s">
        <v>179</v>
      </c>
      <c r="E11" s="53" t="s">
        <v>180</v>
      </c>
    </row>
    <row r="12" spans="2:5" ht="51" customHeight="1" x14ac:dyDescent="0.25">
      <c r="B12" s="292" t="s">
        <v>181</v>
      </c>
      <c r="C12" s="54" t="s">
        <v>182</v>
      </c>
      <c r="D12" s="52" t="s">
        <v>183</v>
      </c>
      <c r="E12" s="53" t="s">
        <v>184</v>
      </c>
    </row>
    <row r="13" spans="2:5" ht="51" customHeight="1" x14ac:dyDescent="0.25">
      <c r="B13" s="293"/>
      <c r="C13" s="54">
        <v>3</v>
      </c>
      <c r="D13" s="52" t="s">
        <v>185</v>
      </c>
      <c r="E13" s="53" t="s">
        <v>186</v>
      </c>
    </row>
    <row r="14" spans="2:5" ht="51" customHeight="1" thickBot="1" x14ac:dyDescent="0.3">
      <c r="B14" s="294"/>
      <c r="C14" s="54" t="s">
        <v>187</v>
      </c>
      <c r="D14" s="52" t="s">
        <v>188</v>
      </c>
      <c r="E14" s="53" t="s">
        <v>189</v>
      </c>
    </row>
    <row r="15" spans="2:5" ht="51" customHeight="1" x14ac:dyDescent="0.25">
      <c r="B15" s="55"/>
      <c r="C15" s="54" t="s">
        <v>190</v>
      </c>
      <c r="D15" s="52" t="s">
        <v>191</v>
      </c>
      <c r="E15" s="53" t="s">
        <v>192</v>
      </c>
    </row>
    <row r="16" spans="2:5" ht="51" customHeight="1" x14ac:dyDescent="0.25">
      <c r="B16" s="56" t="s">
        <v>193</v>
      </c>
      <c r="C16" s="54">
        <v>4</v>
      </c>
      <c r="D16" s="52" t="s">
        <v>194</v>
      </c>
      <c r="E16" s="53" t="s">
        <v>195</v>
      </c>
    </row>
    <row r="17" spans="2:5" ht="51" customHeight="1" thickBot="1" x14ac:dyDescent="0.3">
      <c r="B17" s="57"/>
      <c r="C17" s="54" t="s">
        <v>196</v>
      </c>
      <c r="D17" s="52" t="s">
        <v>197</v>
      </c>
      <c r="E17" s="53" t="s">
        <v>198</v>
      </c>
    </row>
    <row r="18" spans="2:5" ht="51" customHeight="1" x14ac:dyDescent="0.25">
      <c r="B18" s="292" t="s">
        <v>199</v>
      </c>
      <c r="C18" s="54" t="s">
        <v>200</v>
      </c>
      <c r="D18" s="52" t="s">
        <v>201</v>
      </c>
      <c r="E18" s="53" t="s">
        <v>202</v>
      </c>
    </row>
    <row r="19" spans="2:5" ht="51" customHeight="1" x14ac:dyDescent="0.25">
      <c r="B19" s="293"/>
      <c r="C19" s="54">
        <v>5</v>
      </c>
      <c r="D19" s="52" t="s">
        <v>203</v>
      </c>
      <c r="E19" s="53" t="s">
        <v>36</v>
      </c>
    </row>
    <row r="20" spans="2:5" ht="51" customHeight="1" thickBot="1" x14ac:dyDescent="0.3">
      <c r="B20" s="291"/>
      <c r="C20" s="54" t="s">
        <v>204</v>
      </c>
      <c r="D20" s="52" t="s">
        <v>205</v>
      </c>
      <c r="E20" s="53" t="s">
        <v>206</v>
      </c>
    </row>
    <row r="21" spans="2:5" ht="51" customHeight="1" x14ac:dyDescent="0.25">
      <c r="B21" s="290" t="s">
        <v>207</v>
      </c>
      <c r="C21" s="289">
        <v>6</v>
      </c>
      <c r="D21" s="52" t="s">
        <v>208</v>
      </c>
      <c r="E21" s="289" t="s">
        <v>209</v>
      </c>
    </row>
    <row r="22" spans="2:5" ht="51" customHeight="1" x14ac:dyDescent="0.25">
      <c r="B22" s="293"/>
      <c r="C22" s="289"/>
      <c r="D22" s="52" t="s">
        <v>210</v>
      </c>
      <c r="E22" s="289"/>
    </row>
    <row r="23" spans="2:5" ht="51" customHeight="1" thickBot="1" x14ac:dyDescent="0.3">
      <c r="B23" s="291"/>
      <c r="C23" s="289"/>
      <c r="D23" s="52" t="s">
        <v>211</v>
      </c>
      <c r="E23" s="289"/>
    </row>
    <row r="24" spans="2:5" ht="51" customHeight="1" x14ac:dyDescent="0.25">
      <c r="B24" s="290" t="s">
        <v>212</v>
      </c>
      <c r="C24" s="54">
        <v>7</v>
      </c>
      <c r="D24" s="52" t="s">
        <v>213</v>
      </c>
      <c r="E24" s="289"/>
    </row>
    <row r="25" spans="2:5" ht="51" customHeight="1" thickBot="1" x14ac:dyDescent="0.3">
      <c r="B25" s="291"/>
      <c r="C25" s="58"/>
      <c r="D25" s="59"/>
      <c r="E25" s="60"/>
    </row>
  </sheetData>
  <mergeCells count="9">
    <mergeCell ref="E21:E24"/>
    <mergeCell ref="B24:B25"/>
    <mergeCell ref="B4:B8"/>
    <mergeCell ref="C5:C6"/>
    <mergeCell ref="B9:B11"/>
    <mergeCell ref="B12:B14"/>
    <mergeCell ref="B18:B20"/>
    <mergeCell ref="B21:B23"/>
    <mergeCell ref="C21:C2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C2F2A-9C25-E744-98EF-874DB61F63CA}">
  <sheetPr>
    <tabColor rgb="FFFFFF00"/>
  </sheetPr>
  <dimension ref="A1:U17"/>
  <sheetViews>
    <sheetView zoomScale="120" zoomScaleNormal="120" workbookViewId="0">
      <selection activeCell="A5" sqref="A5"/>
    </sheetView>
  </sheetViews>
  <sheetFormatPr baseColWidth="10" defaultColWidth="8.83203125" defaultRowHeight="15" x14ac:dyDescent="0.2"/>
  <cols>
    <col min="1" max="1" width="2.5" customWidth="1"/>
    <col min="2" max="2" width="12.33203125" customWidth="1"/>
    <col min="3" max="3" width="6.5" customWidth="1"/>
    <col min="4" max="4" width="9.5" customWidth="1"/>
    <col min="5" max="5" width="10.1640625" customWidth="1"/>
    <col min="6" max="6" width="5.6640625" customWidth="1"/>
    <col min="7" max="7" width="9" customWidth="1"/>
    <col min="8" max="8" width="7.83203125" customWidth="1"/>
    <col min="9" max="9" width="9.33203125" customWidth="1"/>
    <col min="10" max="10" width="29.6640625" customWidth="1"/>
    <col min="11" max="11" width="7.83203125" style="112" customWidth="1"/>
    <col min="12" max="12" width="8.6640625" customWidth="1"/>
    <col min="13" max="13" width="7.5" style="112" customWidth="1"/>
    <col min="14" max="14" width="7.1640625" customWidth="1"/>
    <col min="15" max="15" width="2.6640625" customWidth="1"/>
    <col min="16" max="16" width="6.5" customWidth="1"/>
    <col min="17" max="17" width="7.83203125" style="124" customWidth="1"/>
    <col min="18" max="18" width="6.83203125" style="124" customWidth="1"/>
    <col min="19" max="19" width="7.6640625" style="124" customWidth="1"/>
    <col min="20" max="20" width="7.5" style="124" customWidth="1"/>
    <col min="21" max="21" width="7.83203125" customWidth="1"/>
  </cols>
  <sheetData>
    <row r="1" spans="1:21" x14ac:dyDescent="0.2">
      <c r="A1" s="67" t="s">
        <v>254</v>
      </c>
      <c r="B1" s="68"/>
      <c r="C1" s="68"/>
      <c r="D1" s="68"/>
      <c r="E1" s="68"/>
      <c r="F1" s="68"/>
      <c r="G1" s="68"/>
      <c r="H1" s="68"/>
      <c r="I1" s="68"/>
      <c r="J1" s="68"/>
      <c r="K1" s="69"/>
      <c r="L1" s="68"/>
      <c r="M1" s="69"/>
      <c r="N1" s="68"/>
      <c r="O1" s="68"/>
      <c r="P1" s="68"/>
      <c r="Q1" s="70"/>
      <c r="R1" s="70"/>
      <c r="S1" s="70"/>
      <c r="T1" s="70"/>
      <c r="U1" s="68"/>
    </row>
    <row r="2" spans="1:21" s="73" customFormat="1" ht="25" x14ac:dyDescent="0.2">
      <c r="A2" s="71"/>
      <c r="B2" s="71" t="s">
        <v>255</v>
      </c>
      <c r="C2" s="71" t="s">
        <v>256</v>
      </c>
      <c r="D2" s="71"/>
      <c r="E2" s="71" t="s">
        <v>257</v>
      </c>
      <c r="F2" s="71" t="s">
        <v>258</v>
      </c>
      <c r="G2" s="71" t="s">
        <v>259</v>
      </c>
      <c r="H2" s="71" t="s">
        <v>260</v>
      </c>
      <c r="I2" s="71" t="s">
        <v>261</v>
      </c>
      <c r="J2" s="71" t="s">
        <v>262</v>
      </c>
      <c r="K2" s="71" t="s">
        <v>263</v>
      </c>
      <c r="L2" s="71" t="s">
        <v>264</v>
      </c>
      <c r="M2" s="71" t="s">
        <v>265</v>
      </c>
      <c r="N2" s="71" t="s">
        <v>266</v>
      </c>
      <c r="O2" s="71"/>
      <c r="P2" s="72" t="s">
        <v>267</v>
      </c>
      <c r="Q2" s="72" t="s">
        <v>268</v>
      </c>
      <c r="R2" s="72" t="s">
        <v>269</v>
      </c>
      <c r="S2" s="72" t="s">
        <v>270</v>
      </c>
      <c r="T2" s="72" t="s">
        <v>271</v>
      </c>
      <c r="U2" s="72" t="s">
        <v>272</v>
      </c>
    </row>
    <row r="3" spans="1:21" x14ac:dyDescent="0.2">
      <c r="A3" s="74" t="s">
        <v>273</v>
      </c>
      <c r="B3" s="75"/>
      <c r="C3" s="76"/>
      <c r="D3" s="77"/>
      <c r="E3" s="76"/>
      <c r="F3" s="77"/>
      <c r="G3" s="76"/>
      <c r="H3" s="77"/>
      <c r="I3" s="78"/>
      <c r="J3" s="77"/>
      <c r="K3" s="78"/>
      <c r="L3" s="77"/>
      <c r="M3" s="78"/>
      <c r="N3" s="75"/>
      <c r="O3" s="68"/>
      <c r="P3" s="72"/>
      <c r="Q3" s="70"/>
      <c r="R3" s="70"/>
      <c r="S3" s="70"/>
      <c r="T3" s="70"/>
      <c r="U3" s="68"/>
    </row>
    <row r="4" spans="1:21" ht="15" customHeight="1" x14ac:dyDescent="0.2">
      <c r="A4" s="79"/>
      <c r="B4" s="80" t="s">
        <v>274</v>
      </c>
      <c r="C4" s="81" t="s">
        <v>275</v>
      </c>
      <c r="D4" s="82" t="s">
        <v>276</v>
      </c>
      <c r="E4" s="83">
        <v>15000000</v>
      </c>
      <c r="F4" s="84">
        <v>1.39</v>
      </c>
      <c r="G4" s="83">
        <f>E4/F4</f>
        <v>10791366.906474821</v>
      </c>
      <c r="H4" s="85">
        <v>44561</v>
      </c>
      <c r="I4" s="81">
        <v>3</v>
      </c>
      <c r="J4" s="69" t="s">
        <v>277</v>
      </c>
      <c r="K4" s="86">
        <f>SUM(S4:T4)/2</f>
        <v>1.6434999999999998E-2</v>
      </c>
      <c r="L4" s="87">
        <f>G4*5%</f>
        <v>539568.34532374109</v>
      </c>
      <c r="M4" s="88">
        <f>100%-U4</f>
        <v>0.50201999999999991</v>
      </c>
      <c r="N4" s="89"/>
      <c r="O4" s="68"/>
      <c r="P4" s="90">
        <v>5</v>
      </c>
      <c r="Q4" s="70" t="s">
        <v>185</v>
      </c>
      <c r="R4" s="70" t="s">
        <v>186</v>
      </c>
      <c r="S4" s="91">
        <v>1.617E-2</v>
      </c>
      <c r="T4" s="91">
        <v>1.67E-2</v>
      </c>
      <c r="U4" s="92">
        <f>10%*100%+90%*40.2%*1.1</f>
        <v>0.49798000000000009</v>
      </c>
    </row>
    <row r="5" spans="1:21" x14ac:dyDescent="0.2">
      <c r="A5" s="93" t="s">
        <v>278</v>
      </c>
      <c r="B5" s="80"/>
      <c r="C5" s="81"/>
      <c r="D5" s="69"/>
      <c r="E5" s="81"/>
      <c r="F5" s="84"/>
      <c r="G5" s="83"/>
      <c r="H5" s="94"/>
      <c r="I5" s="81"/>
      <c r="J5" s="68"/>
      <c r="K5" s="86"/>
      <c r="L5" s="87"/>
      <c r="M5" s="88"/>
      <c r="N5" s="89"/>
      <c r="O5" s="68"/>
      <c r="P5" s="90"/>
      <c r="Q5" s="70"/>
      <c r="R5" s="70"/>
      <c r="S5" s="91"/>
      <c r="T5" s="91"/>
      <c r="U5" s="92"/>
    </row>
    <row r="6" spans="1:21" x14ac:dyDescent="0.2">
      <c r="A6" s="79"/>
      <c r="B6" s="80" t="s">
        <v>279</v>
      </c>
      <c r="C6" s="81" t="s">
        <v>280</v>
      </c>
      <c r="D6" s="82" t="s">
        <v>281</v>
      </c>
      <c r="E6" s="83">
        <v>1800000000</v>
      </c>
      <c r="F6" s="84">
        <v>120.36</v>
      </c>
      <c r="G6" s="83">
        <f>E6/F6</f>
        <v>14955134.596211366</v>
      </c>
      <c r="H6" s="85">
        <v>43738</v>
      </c>
      <c r="I6" s="81" t="s">
        <v>178</v>
      </c>
      <c r="J6" s="69" t="s">
        <v>282</v>
      </c>
      <c r="K6" s="86">
        <f t="shared" ref="K6:K10" si="0">SUM(S6:T6)/2</f>
        <v>3.8699999999999997E-3</v>
      </c>
      <c r="L6" s="87">
        <f>G6*10%</f>
        <v>1495513.4596211368</v>
      </c>
      <c r="M6" s="88">
        <f t="shared" ref="M6:M10" si="1">100%-U6</f>
        <v>0.41835</v>
      </c>
      <c r="N6" s="89"/>
      <c r="O6" s="68"/>
      <c r="P6" s="90">
        <v>3</v>
      </c>
      <c r="Q6" s="70" t="s">
        <v>179</v>
      </c>
      <c r="R6" s="70" t="s">
        <v>180</v>
      </c>
      <c r="S6" s="91">
        <v>4.1399999999999996E-3</v>
      </c>
      <c r="T6" s="91">
        <v>3.5999999999999999E-3</v>
      </c>
      <c r="U6" s="92">
        <f>25%*100%+75%*40.2%*1.1</f>
        <v>0.58165</v>
      </c>
    </row>
    <row r="7" spans="1:21" x14ac:dyDescent="0.2">
      <c r="A7" s="93" t="s">
        <v>283</v>
      </c>
      <c r="B7" s="80"/>
      <c r="C7" s="81"/>
      <c r="D7" s="69"/>
      <c r="E7" s="81"/>
      <c r="F7" s="84"/>
      <c r="G7" s="83"/>
      <c r="H7" s="94"/>
      <c r="I7" s="81"/>
      <c r="J7" s="68"/>
      <c r="K7" s="86"/>
      <c r="L7" s="87"/>
      <c r="M7" s="88"/>
      <c r="N7" s="89"/>
      <c r="O7" s="68"/>
      <c r="P7" s="90"/>
      <c r="Q7" s="70"/>
      <c r="R7" s="70"/>
      <c r="S7" s="91"/>
      <c r="T7" s="91"/>
      <c r="U7" s="92"/>
    </row>
    <row r="8" spans="1:21" ht="17.25" customHeight="1" x14ac:dyDescent="0.2">
      <c r="A8" s="79"/>
      <c r="B8" s="80" t="s">
        <v>284</v>
      </c>
      <c r="C8" s="81" t="s">
        <v>285</v>
      </c>
      <c r="D8" s="82" t="s">
        <v>286</v>
      </c>
      <c r="E8" s="83">
        <v>-2500000</v>
      </c>
      <c r="F8" s="84">
        <v>1.0900000000000001</v>
      </c>
      <c r="G8" s="83">
        <f>E8*F8</f>
        <v>-2725000</v>
      </c>
      <c r="H8" s="85">
        <v>43100</v>
      </c>
      <c r="I8" s="81" t="s">
        <v>287</v>
      </c>
      <c r="J8" s="69" t="s">
        <v>288</v>
      </c>
      <c r="K8" s="86">
        <f t="shared" si="0"/>
        <v>4.215E-3</v>
      </c>
      <c r="L8" s="87">
        <f>-G8*10%</f>
        <v>272500</v>
      </c>
      <c r="M8" s="88">
        <f t="shared" si="1"/>
        <v>0.55779999999999996</v>
      </c>
      <c r="N8" s="89"/>
      <c r="O8" s="68"/>
      <c r="P8" s="90">
        <v>1</v>
      </c>
      <c r="Q8" s="70" t="s">
        <v>191</v>
      </c>
      <c r="R8" s="70" t="s">
        <v>189</v>
      </c>
      <c r="S8" s="91">
        <v>4.8300000000000001E-3</v>
      </c>
      <c r="T8" s="91">
        <v>3.5999999999999999E-3</v>
      </c>
      <c r="U8" s="92">
        <f>100%*40.2%*1.1</f>
        <v>0.44220000000000004</v>
      </c>
    </row>
    <row r="9" spans="1:21" x14ac:dyDescent="0.2">
      <c r="A9" s="93" t="s">
        <v>289</v>
      </c>
      <c r="B9" s="80"/>
      <c r="C9" s="95"/>
      <c r="D9" s="68"/>
      <c r="E9" s="81"/>
      <c r="F9" s="84"/>
      <c r="G9" s="83"/>
      <c r="H9" s="94"/>
      <c r="I9" s="81"/>
      <c r="J9" s="69"/>
      <c r="K9" s="86"/>
      <c r="L9" s="87"/>
      <c r="M9" s="88"/>
      <c r="N9" s="89"/>
      <c r="O9" s="68"/>
      <c r="P9" s="90"/>
      <c r="Q9" s="70"/>
      <c r="R9" s="70"/>
      <c r="S9" s="91"/>
      <c r="T9" s="91"/>
      <c r="U9" s="92"/>
    </row>
    <row r="10" spans="1:21" ht="20" x14ac:dyDescent="0.2">
      <c r="A10" s="79"/>
      <c r="B10" s="80" t="s">
        <v>290</v>
      </c>
      <c r="C10" s="81" t="s">
        <v>291</v>
      </c>
      <c r="D10" s="82" t="s">
        <v>292</v>
      </c>
      <c r="E10" s="83">
        <v>75000000</v>
      </c>
      <c r="F10" s="84">
        <v>3.96</v>
      </c>
      <c r="G10" s="83">
        <f>E10/F10</f>
        <v>18939393.939393941</v>
      </c>
      <c r="H10" s="85">
        <v>43069</v>
      </c>
      <c r="I10" s="81" t="s">
        <v>293</v>
      </c>
      <c r="J10" s="69" t="s">
        <v>294</v>
      </c>
      <c r="K10" s="86">
        <f t="shared" si="0"/>
        <v>1.8649999999999999E-3</v>
      </c>
      <c r="L10" s="87">
        <f>G10*20%</f>
        <v>3787878.7878787885</v>
      </c>
      <c r="M10" s="88">
        <f t="shared" si="1"/>
        <v>0.55779999999999996</v>
      </c>
      <c r="N10" s="89"/>
      <c r="O10" s="68"/>
      <c r="P10" s="90">
        <v>1</v>
      </c>
      <c r="Q10" s="70" t="s">
        <v>183</v>
      </c>
      <c r="R10" s="70" t="s">
        <v>186</v>
      </c>
      <c r="S10" s="91">
        <v>1.4300000000000001E-3</v>
      </c>
      <c r="T10" s="91">
        <v>2.3E-3</v>
      </c>
      <c r="U10" s="92">
        <f>100%*40.2%*1.1</f>
        <v>0.44220000000000004</v>
      </c>
    </row>
    <row r="11" spans="1:21" x14ac:dyDescent="0.2">
      <c r="A11" s="96"/>
      <c r="B11" s="97"/>
      <c r="C11" s="98"/>
      <c r="D11" s="99"/>
      <c r="E11" s="100"/>
      <c r="F11" s="101"/>
      <c r="G11" s="100"/>
      <c r="H11" s="102"/>
      <c r="I11" s="98"/>
      <c r="J11" s="99"/>
      <c r="K11" s="103"/>
      <c r="L11" s="104"/>
      <c r="M11" s="105"/>
      <c r="N11" s="106"/>
      <c r="O11" s="68"/>
      <c r="P11" s="90"/>
      <c r="Q11" s="70"/>
      <c r="R11" s="70"/>
      <c r="S11" s="91"/>
      <c r="T11" s="91"/>
      <c r="U11" s="92"/>
    </row>
    <row r="12" spans="1:21" x14ac:dyDescent="0.2">
      <c r="A12" s="68"/>
      <c r="B12" s="68"/>
      <c r="C12" s="69"/>
      <c r="D12" s="69"/>
      <c r="E12" s="68"/>
      <c r="F12" s="68"/>
      <c r="G12" s="68"/>
      <c r="H12" s="68"/>
      <c r="I12" s="68"/>
      <c r="J12" s="68"/>
      <c r="K12" s="69"/>
      <c r="L12" s="68"/>
      <c r="M12" s="69"/>
      <c r="N12" s="68"/>
      <c r="O12" s="68"/>
      <c r="P12" s="68"/>
      <c r="Q12" s="70"/>
      <c r="R12" s="70"/>
      <c r="S12" s="70"/>
      <c r="T12" s="70"/>
      <c r="U12" s="68"/>
    </row>
    <row r="13" spans="1:21" x14ac:dyDescent="0.2">
      <c r="A13" s="68"/>
      <c r="B13" s="107" t="s">
        <v>295</v>
      </c>
      <c r="C13" s="108"/>
      <c r="D13" s="109"/>
      <c r="E13" s="108"/>
      <c r="F13" s="108"/>
      <c r="G13" s="68"/>
      <c r="H13" s="110" t="s">
        <v>296</v>
      </c>
      <c r="I13" s="68"/>
      <c r="J13" s="68"/>
      <c r="K13" s="69"/>
      <c r="L13" s="111">
        <f>SUM(L4:L11)</f>
        <v>6095460.5928236665</v>
      </c>
      <c r="N13" s="111">
        <f>SUM(N4:N11)</f>
        <v>0</v>
      </c>
      <c r="O13" s="113" t="s">
        <v>297</v>
      </c>
      <c r="P13" s="68"/>
      <c r="Q13" s="70"/>
      <c r="R13" s="70"/>
      <c r="S13" s="70"/>
      <c r="T13" s="70"/>
      <c r="U13" s="68"/>
    </row>
    <row r="14" spans="1:21" x14ac:dyDescent="0.2">
      <c r="A14" s="68"/>
      <c r="B14" s="295" t="s">
        <v>298</v>
      </c>
      <c r="C14" s="296"/>
      <c r="D14" s="297" t="s">
        <v>299</v>
      </c>
      <c r="E14" s="298"/>
      <c r="F14" s="296"/>
      <c r="G14" s="68"/>
      <c r="H14" s="68"/>
      <c r="I14" s="68"/>
      <c r="J14" s="114"/>
      <c r="K14" s="115"/>
      <c r="L14" s="116"/>
      <c r="M14" s="115"/>
      <c r="N14" s="114"/>
      <c r="O14" s="117"/>
      <c r="P14" s="68"/>
      <c r="Q14" s="70"/>
      <c r="R14" s="70"/>
      <c r="S14" s="70"/>
      <c r="T14" s="70"/>
      <c r="U14" s="68"/>
    </row>
    <row r="15" spans="1:21" ht="15" customHeight="1" x14ac:dyDescent="0.2">
      <c r="A15" s="68"/>
      <c r="B15" s="295" t="s">
        <v>300</v>
      </c>
      <c r="C15" s="296"/>
      <c r="D15" s="297" t="s">
        <v>301</v>
      </c>
      <c r="E15" s="298"/>
      <c r="F15" s="296"/>
      <c r="G15" s="68"/>
      <c r="H15" s="118"/>
      <c r="I15" s="118"/>
      <c r="J15" s="119"/>
      <c r="K15" s="120"/>
      <c r="L15" s="121"/>
      <c r="M15" s="122"/>
      <c r="N15" s="123"/>
      <c r="O15" s="117"/>
      <c r="P15" s="68"/>
      <c r="Q15" s="70"/>
      <c r="R15" s="70"/>
      <c r="S15" s="70"/>
      <c r="T15" s="70"/>
      <c r="U15" s="68"/>
    </row>
    <row r="16" spans="1:21" ht="20.25" customHeight="1" x14ac:dyDescent="0.2">
      <c r="B16" s="295" t="s">
        <v>302</v>
      </c>
      <c r="C16" s="296"/>
      <c r="D16" s="297" t="s">
        <v>303</v>
      </c>
      <c r="E16" s="298"/>
      <c r="F16" s="296"/>
    </row>
    <row r="17" spans="2:6" x14ac:dyDescent="0.2">
      <c r="B17" s="295" t="s">
        <v>304</v>
      </c>
      <c r="C17" s="296"/>
      <c r="D17" s="297" t="s">
        <v>305</v>
      </c>
      <c r="E17" s="298"/>
      <c r="F17" s="296"/>
    </row>
  </sheetData>
  <mergeCells count="8">
    <mergeCell ref="B17:C17"/>
    <mergeCell ref="D17:F17"/>
    <mergeCell ref="B14:C14"/>
    <mergeCell ref="D14:F14"/>
    <mergeCell ref="B15:C15"/>
    <mergeCell ref="D15:F15"/>
    <mergeCell ref="B16:C16"/>
    <mergeCell ref="D16:F16"/>
  </mergeCells>
  <pageMargins left="0.7" right="0.7" top="0.75" bottom="0.75" header="0.3" footer="0.3"/>
  <pageSetup orientation="portrait" horizontalDpi="4294967294"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14E37-C5DB-E84E-9772-3145CF6EC280}">
  <sheetPr>
    <tabColor rgb="FFFFFF00"/>
  </sheetPr>
  <dimension ref="A1:U17"/>
  <sheetViews>
    <sheetView zoomScale="120" zoomScaleNormal="120" workbookViewId="0">
      <selection activeCell="A5" sqref="A5"/>
    </sheetView>
  </sheetViews>
  <sheetFormatPr baseColWidth="10" defaultColWidth="8.83203125" defaultRowHeight="15" x14ac:dyDescent="0.2"/>
  <cols>
    <col min="1" max="1" width="2.5" customWidth="1"/>
    <col min="2" max="2" width="12.33203125" customWidth="1"/>
    <col min="3" max="3" width="6.5" customWidth="1"/>
    <col min="4" max="4" width="9.5" customWidth="1"/>
    <col min="5" max="5" width="10.1640625" customWidth="1"/>
    <col min="6" max="6" width="5.6640625" customWidth="1"/>
    <col min="7" max="7" width="9" customWidth="1"/>
    <col min="8" max="8" width="7.83203125" customWidth="1"/>
    <col min="9" max="9" width="9.33203125" customWidth="1"/>
    <col min="10" max="10" width="29.6640625" customWidth="1"/>
    <col min="11" max="11" width="7.83203125" style="112" customWidth="1"/>
    <col min="12" max="12" width="8.6640625" customWidth="1"/>
    <col min="13" max="13" width="7.5" style="112" customWidth="1"/>
    <col min="14" max="14" width="7.1640625" customWidth="1"/>
    <col min="15" max="15" width="2.6640625" customWidth="1"/>
    <col min="16" max="16" width="6.5" customWidth="1"/>
    <col min="17" max="17" width="7.83203125" style="124" customWidth="1"/>
    <col min="18" max="18" width="6.83203125" style="124" customWidth="1"/>
    <col min="19" max="19" width="7.6640625" style="124" customWidth="1"/>
    <col min="20" max="20" width="7.5" style="124" customWidth="1"/>
    <col min="21" max="21" width="7.83203125" customWidth="1"/>
  </cols>
  <sheetData>
    <row r="1" spans="1:21" x14ac:dyDescent="0.2">
      <c r="A1" s="67" t="s">
        <v>306</v>
      </c>
      <c r="B1" s="68"/>
      <c r="C1" s="68"/>
      <c r="D1" s="68"/>
      <c r="E1" s="68"/>
      <c r="F1" s="68"/>
      <c r="G1" s="68"/>
      <c r="H1" s="68"/>
      <c r="I1" s="68"/>
      <c r="J1" s="68"/>
      <c r="K1" s="69"/>
      <c r="L1" s="68"/>
      <c r="M1" s="69"/>
      <c r="N1" s="68"/>
      <c r="O1" s="68"/>
      <c r="P1" s="68"/>
      <c r="Q1" s="70"/>
      <c r="R1" s="70"/>
      <c r="S1" s="70"/>
      <c r="T1" s="70"/>
      <c r="U1" s="68"/>
    </row>
    <row r="2" spans="1:21" s="73" customFormat="1" ht="25" x14ac:dyDescent="0.2">
      <c r="A2" s="71"/>
      <c r="B2" s="71" t="s">
        <v>255</v>
      </c>
      <c r="C2" s="71" t="s">
        <v>256</v>
      </c>
      <c r="D2" s="71"/>
      <c r="E2" s="71" t="s">
        <v>257</v>
      </c>
      <c r="F2" s="71" t="s">
        <v>258</v>
      </c>
      <c r="G2" s="71" t="s">
        <v>259</v>
      </c>
      <c r="H2" s="71" t="s">
        <v>260</v>
      </c>
      <c r="I2" s="71" t="s">
        <v>261</v>
      </c>
      <c r="J2" s="71" t="s">
        <v>262</v>
      </c>
      <c r="K2" s="71" t="s">
        <v>263</v>
      </c>
      <c r="L2" s="71" t="s">
        <v>264</v>
      </c>
      <c r="M2" s="71" t="s">
        <v>265</v>
      </c>
      <c r="N2" s="71" t="s">
        <v>266</v>
      </c>
      <c r="O2" s="71"/>
      <c r="P2" s="72" t="s">
        <v>267</v>
      </c>
      <c r="Q2" s="72" t="s">
        <v>268</v>
      </c>
      <c r="R2" s="72" t="s">
        <v>269</v>
      </c>
      <c r="S2" s="72" t="s">
        <v>270</v>
      </c>
      <c r="T2" s="72" t="s">
        <v>271</v>
      </c>
      <c r="U2" s="72" t="s">
        <v>272</v>
      </c>
    </row>
    <row r="3" spans="1:21" x14ac:dyDescent="0.2">
      <c r="A3" s="74" t="s">
        <v>273</v>
      </c>
      <c r="B3" s="75"/>
      <c r="C3" s="76"/>
      <c r="D3" s="77"/>
      <c r="E3" s="76"/>
      <c r="F3" s="77"/>
      <c r="G3" s="76"/>
      <c r="H3" s="77"/>
      <c r="I3" s="78"/>
      <c r="J3" s="77"/>
      <c r="K3" s="78"/>
      <c r="L3" s="77"/>
      <c r="M3" s="78"/>
      <c r="N3" s="75"/>
      <c r="O3" s="68"/>
      <c r="P3" s="72"/>
      <c r="Q3" s="70"/>
      <c r="R3" s="70"/>
      <c r="S3" s="70"/>
      <c r="T3" s="70"/>
      <c r="U3" s="68"/>
    </row>
    <row r="4" spans="1:21" ht="15" customHeight="1" x14ac:dyDescent="0.2">
      <c r="A4" s="79"/>
      <c r="B4" s="80" t="s">
        <v>274</v>
      </c>
      <c r="C4" s="81" t="s">
        <v>275</v>
      </c>
      <c r="D4" s="82" t="s">
        <v>276</v>
      </c>
      <c r="E4" s="83">
        <v>15000000</v>
      </c>
      <c r="F4" s="125">
        <v>1.39</v>
      </c>
      <c r="G4" s="83">
        <f>E4/F4</f>
        <v>10791366.906474821</v>
      </c>
      <c r="H4" s="85">
        <v>44561</v>
      </c>
      <c r="I4" s="81">
        <v>3</v>
      </c>
      <c r="J4" s="69" t="s">
        <v>277</v>
      </c>
      <c r="K4" s="86">
        <f>SUM(S4:T4)/2</f>
        <v>1.6434999999999998E-2</v>
      </c>
      <c r="L4" s="87">
        <f>G4*5%</f>
        <v>539568.34532374109</v>
      </c>
      <c r="M4" s="88">
        <f>100%-U4</f>
        <v>0.50201999999999991</v>
      </c>
      <c r="N4" s="89"/>
      <c r="O4" s="68"/>
      <c r="P4" s="90">
        <v>5</v>
      </c>
      <c r="Q4" s="70" t="s">
        <v>185</v>
      </c>
      <c r="R4" s="70" t="s">
        <v>186</v>
      </c>
      <c r="S4" s="91">
        <v>1.617E-2</v>
      </c>
      <c r="T4" s="91">
        <v>1.67E-2</v>
      </c>
      <c r="U4" s="92">
        <f>10%*100%+90%*40.2%*1.1</f>
        <v>0.49798000000000009</v>
      </c>
    </row>
    <row r="5" spans="1:21" x14ac:dyDescent="0.2">
      <c r="A5" s="93" t="s">
        <v>278</v>
      </c>
      <c r="B5" s="80"/>
      <c r="C5" s="81"/>
      <c r="D5" s="69"/>
      <c r="E5" s="81"/>
      <c r="F5" s="125"/>
      <c r="G5" s="83"/>
      <c r="H5" s="94"/>
      <c r="I5" s="81"/>
      <c r="J5" s="68"/>
      <c r="K5" s="86"/>
      <c r="L5" s="87"/>
      <c r="M5" s="88"/>
      <c r="N5" s="89"/>
      <c r="O5" s="68"/>
      <c r="P5" s="90"/>
      <c r="Q5" s="70"/>
      <c r="R5" s="70"/>
      <c r="S5" s="91"/>
      <c r="T5" s="91"/>
      <c r="U5" s="92"/>
    </row>
    <row r="6" spans="1:21" x14ac:dyDescent="0.2">
      <c r="A6" s="79"/>
      <c r="B6" s="80" t="s">
        <v>279</v>
      </c>
      <c r="C6" s="81" t="s">
        <v>280</v>
      </c>
      <c r="D6" s="82" t="s">
        <v>281</v>
      </c>
      <c r="E6" s="83">
        <v>1800000000</v>
      </c>
      <c r="F6" s="125">
        <v>120.36</v>
      </c>
      <c r="G6" s="83">
        <f>E6/F6</f>
        <v>14955134.596211366</v>
      </c>
      <c r="H6" s="85">
        <v>43738</v>
      </c>
      <c r="I6" s="81" t="s">
        <v>178</v>
      </c>
      <c r="J6" s="69" t="s">
        <v>282</v>
      </c>
      <c r="K6" s="86">
        <f t="shared" ref="K6:K10" si="0">SUM(S6:T6)/2</f>
        <v>3.8699999999999997E-3</v>
      </c>
      <c r="L6" s="87">
        <f>G6*10%</f>
        <v>1495513.4596211368</v>
      </c>
      <c r="M6" s="88">
        <f t="shared" ref="M6:M10" si="1">100%-U6</f>
        <v>0.41835</v>
      </c>
      <c r="N6" s="89"/>
      <c r="O6" s="68"/>
      <c r="P6" s="90">
        <v>3</v>
      </c>
      <c r="Q6" s="70" t="s">
        <v>179</v>
      </c>
      <c r="R6" s="70" t="s">
        <v>180</v>
      </c>
      <c r="S6" s="91">
        <v>4.1399999999999996E-3</v>
      </c>
      <c r="T6" s="91">
        <v>3.5999999999999999E-3</v>
      </c>
      <c r="U6" s="92">
        <f>25%*100%+75%*40.2%*1.1</f>
        <v>0.58165</v>
      </c>
    </row>
    <row r="7" spans="1:21" x14ac:dyDescent="0.2">
      <c r="A7" s="93" t="s">
        <v>283</v>
      </c>
      <c r="B7" s="80"/>
      <c r="C7" s="81"/>
      <c r="D7" s="69"/>
      <c r="E7" s="81"/>
      <c r="F7" s="125"/>
      <c r="G7" s="83"/>
      <c r="H7" s="94"/>
      <c r="I7" s="81"/>
      <c r="J7" s="68"/>
      <c r="K7" s="86"/>
      <c r="L7" s="87"/>
      <c r="M7" s="88"/>
      <c r="N7" s="89"/>
      <c r="O7" s="68"/>
      <c r="P7" s="90"/>
      <c r="Q7" s="70"/>
      <c r="R7" s="70"/>
      <c r="S7" s="91"/>
      <c r="T7" s="91"/>
      <c r="U7" s="92"/>
    </row>
    <row r="8" spans="1:21" ht="17.25" customHeight="1" x14ac:dyDescent="0.2">
      <c r="A8" s="79"/>
      <c r="B8" s="80" t="s">
        <v>284</v>
      </c>
      <c r="C8" s="81" t="s">
        <v>285</v>
      </c>
      <c r="D8" s="82" t="s">
        <v>286</v>
      </c>
      <c r="E8" s="83">
        <v>2500000</v>
      </c>
      <c r="F8" s="125">
        <v>1.0900000000000001</v>
      </c>
      <c r="G8" s="83">
        <f>E8*F8</f>
        <v>2725000</v>
      </c>
      <c r="H8" s="85">
        <v>43100</v>
      </c>
      <c r="I8" s="81" t="s">
        <v>287</v>
      </c>
      <c r="J8" s="69" t="s">
        <v>288</v>
      </c>
      <c r="K8" s="86">
        <f t="shared" si="0"/>
        <v>4.215E-3</v>
      </c>
      <c r="L8" s="87">
        <f>G8*10%</f>
        <v>272500</v>
      </c>
      <c r="M8" s="88">
        <f t="shared" si="1"/>
        <v>0.55779999999999996</v>
      </c>
      <c r="N8" s="89"/>
      <c r="O8" s="68"/>
      <c r="P8" s="90">
        <v>1</v>
      </c>
      <c r="Q8" s="70" t="s">
        <v>191</v>
      </c>
      <c r="R8" s="70" t="s">
        <v>189</v>
      </c>
      <c r="S8" s="91">
        <v>4.8300000000000001E-3</v>
      </c>
      <c r="T8" s="91">
        <v>3.5999999999999999E-3</v>
      </c>
      <c r="U8" s="92">
        <f>100%*40.2%*1.1</f>
        <v>0.44220000000000004</v>
      </c>
    </row>
    <row r="9" spans="1:21" x14ac:dyDescent="0.2">
      <c r="A9" s="93" t="s">
        <v>289</v>
      </c>
      <c r="B9" s="80"/>
      <c r="C9" s="95"/>
      <c r="D9" s="68"/>
      <c r="E9" s="81"/>
      <c r="F9" s="125"/>
      <c r="G9" s="83"/>
      <c r="H9" s="94"/>
      <c r="I9" s="81"/>
      <c r="J9" s="69"/>
      <c r="K9" s="86"/>
      <c r="L9" s="87"/>
      <c r="M9" s="88"/>
      <c r="N9" s="89"/>
      <c r="O9" s="68"/>
      <c r="P9" s="90"/>
      <c r="Q9" s="70"/>
      <c r="R9" s="70"/>
      <c r="S9" s="91"/>
      <c r="T9" s="91"/>
      <c r="U9" s="92"/>
    </row>
    <row r="10" spans="1:21" ht="20" x14ac:dyDescent="0.2">
      <c r="A10" s="79"/>
      <c r="B10" s="80" t="s">
        <v>290</v>
      </c>
      <c r="C10" s="81" t="s">
        <v>291</v>
      </c>
      <c r="D10" s="82" t="s">
        <v>292</v>
      </c>
      <c r="E10" s="83">
        <v>75000000</v>
      </c>
      <c r="F10" s="125">
        <v>3.96</v>
      </c>
      <c r="G10" s="83">
        <f>E10/F10</f>
        <v>18939393.939393941</v>
      </c>
      <c r="H10" s="85">
        <v>43069</v>
      </c>
      <c r="I10" s="81" t="s">
        <v>293</v>
      </c>
      <c r="J10" s="69" t="s">
        <v>294</v>
      </c>
      <c r="K10" s="86">
        <f t="shared" si="0"/>
        <v>1.8649999999999999E-3</v>
      </c>
      <c r="L10" s="87">
        <f>G10*20%</f>
        <v>3787878.7878787885</v>
      </c>
      <c r="M10" s="88">
        <f t="shared" si="1"/>
        <v>0.55779999999999996</v>
      </c>
      <c r="N10" s="89"/>
      <c r="O10" s="68"/>
      <c r="P10" s="90">
        <v>1</v>
      </c>
      <c r="Q10" s="70" t="s">
        <v>183</v>
      </c>
      <c r="R10" s="70" t="s">
        <v>186</v>
      </c>
      <c r="S10" s="91">
        <v>1.4300000000000001E-3</v>
      </c>
      <c r="T10" s="91">
        <v>2.3E-3</v>
      </c>
      <c r="U10" s="92">
        <f>100%*40.2%*1.1</f>
        <v>0.44220000000000004</v>
      </c>
    </row>
    <row r="11" spans="1:21" x14ac:dyDescent="0.2">
      <c r="A11" s="96"/>
      <c r="B11" s="97"/>
      <c r="C11" s="98"/>
      <c r="D11" s="99"/>
      <c r="E11" s="100"/>
      <c r="F11" s="101"/>
      <c r="G11" s="100"/>
      <c r="H11" s="102"/>
      <c r="I11" s="98"/>
      <c r="J11" s="99"/>
      <c r="K11" s="103"/>
      <c r="L11" s="104"/>
      <c r="M11" s="105"/>
      <c r="N11" s="106"/>
      <c r="O11" s="68"/>
      <c r="P11" s="90"/>
      <c r="Q11" s="70"/>
      <c r="R11" s="70"/>
      <c r="S11" s="91"/>
      <c r="T11" s="91"/>
      <c r="U11" s="92"/>
    </row>
    <row r="12" spans="1:21" x14ac:dyDescent="0.2">
      <c r="A12" s="68"/>
      <c r="B12" s="68"/>
      <c r="C12" s="69"/>
      <c r="D12" s="69"/>
      <c r="E12" s="68"/>
      <c r="F12" s="68"/>
      <c r="G12" s="68"/>
      <c r="H12" s="68"/>
      <c r="I12" s="68"/>
      <c r="J12" s="68"/>
      <c r="K12" s="69"/>
      <c r="L12" s="68"/>
      <c r="M12" s="69"/>
      <c r="N12" s="68"/>
      <c r="O12" s="68"/>
      <c r="P12" s="68"/>
      <c r="Q12" s="70"/>
      <c r="R12" s="70"/>
      <c r="S12" s="70"/>
      <c r="T12" s="70"/>
      <c r="U12" s="68"/>
    </row>
    <row r="13" spans="1:21" x14ac:dyDescent="0.2">
      <c r="A13" s="68"/>
      <c r="B13" s="107" t="s">
        <v>295</v>
      </c>
      <c r="C13" s="108"/>
      <c r="D13" s="109"/>
      <c r="E13" s="108"/>
      <c r="F13" s="108"/>
      <c r="G13" s="68"/>
      <c r="H13" s="110" t="s">
        <v>307</v>
      </c>
      <c r="I13" s="68"/>
      <c r="J13" s="68"/>
      <c r="K13" s="69"/>
      <c r="L13" s="111">
        <f>SUM(L4:L11)</f>
        <v>6095460.5928236665</v>
      </c>
      <c r="N13" s="111">
        <f>SUM(N4:N10)</f>
        <v>0</v>
      </c>
      <c r="O13" s="113" t="s">
        <v>297</v>
      </c>
      <c r="P13" s="68"/>
      <c r="Q13" s="70"/>
      <c r="R13" s="70"/>
      <c r="S13" s="70"/>
      <c r="T13" s="70"/>
      <c r="U13" s="68"/>
    </row>
    <row r="14" spans="1:21" x14ac:dyDescent="0.2">
      <c r="A14" s="68"/>
      <c r="B14" s="295" t="s">
        <v>298</v>
      </c>
      <c r="C14" s="296"/>
      <c r="D14" s="297" t="s">
        <v>299</v>
      </c>
      <c r="E14" s="298"/>
      <c r="F14" s="296"/>
      <c r="G14" s="68"/>
      <c r="H14" s="68"/>
      <c r="I14" s="68"/>
      <c r="J14" s="114"/>
      <c r="K14" s="115"/>
      <c r="L14" s="116"/>
      <c r="M14" s="115"/>
      <c r="N14" s="114"/>
      <c r="O14" s="117"/>
      <c r="P14" s="68"/>
      <c r="Q14" s="70"/>
      <c r="R14" s="70"/>
      <c r="S14" s="70"/>
      <c r="T14" s="70"/>
      <c r="U14" s="68"/>
    </row>
    <row r="15" spans="1:21" ht="15" customHeight="1" x14ac:dyDescent="0.2">
      <c r="A15" s="68"/>
      <c r="B15" s="295" t="s">
        <v>300</v>
      </c>
      <c r="C15" s="296"/>
      <c r="D15" s="297" t="s">
        <v>301</v>
      </c>
      <c r="E15" s="298"/>
      <c r="F15" s="296"/>
      <c r="G15" s="68"/>
      <c r="H15" s="118"/>
      <c r="I15" s="118"/>
      <c r="J15" s="119"/>
      <c r="K15" s="120"/>
      <c r="L15" s="121"/>
      <c r="M15" s="122"/>
      <c r="N15" s="123"/>
      <c r="O15" s="117"/>
      <c r="P15" s="68"/>
      <c r="Q15" s="70"/>
      <c r="R15" s="70"/>
      <c r="S15" s="70"/>
      <c r="T15" s="70"/>
      <c r="U15" s="68"/>
    </row>
    <row r="16" spans="1:21" ht="20.25" customHeight="1" x14ac:dyDescent="0.2">
      <c r="B16" s="295" t="s">
        <v>302</v>
      </c>
      <c r="C16" s="296"/>
      <c r="D16" s="297" t="s">
        <v>303</v>
      </c>
      <c r="E16" s="298"/>
      <c r="F16" s="296"/>
    </row>
    <row r="17" spans="2:6" x14ac:dyDescent="0.2">
      <c r="B17" s="295" t="s">
        <v>304</v>
      </c>
      <c r="C17" s="296"/>
      <c r="D17" s="297" t="s">
        <v>305</v>
      </c>
      <c r="E17" s="298"/>
      <c r="F17" s="296"/>
    </row>
  </sheetData>
  <mergeCells count="8">
    <mergeCell ref="B17:C17"/>
    <mergeCell ref="D17:F17"/>
    <mergeCell ref="B14:C14"/>
    <mergeCell ref="D14:F14"/>
    <mergeCell ref="B15:C15"/>
    <mergeCell ref="D15:F15"/>
    <mergeCell ref="B16:C16"/>
    <mergeCell ref="D16:F16"/>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E1DDA-5048-7B41-8C39-8FB6B8E2666D}">
  <sheetPr>
    <tabColor rgb="FFFFFF00"/>
  </sheetPr>
  <dimension ref="B1:C22"/>
  <sheetViews>
    <sheetView workbookViewId="0">
      <selection activeCell="A5" sqref="A5"/>
    </sheetView>
  </sheetViews>
  <sheetFormatPr baseColWidth="10" defaultRowHeight="50" customHeight="1" x14ac:dyDescent="0.25"/>
  <cols>
    <col min="1" max="1" width="10.83203125" style="46"/>
    <col min="2" max="2" width="23.6640625" style="46" customWidth="1"/>
    <col min="3" max="3" width="199.1640625" style="46" customWidth="1"/>
    <col min="4" max="16384" width="10.83203125" style="46"/>
  </cols>
  <sheetData>
    <row r="1" spans="2:3" ht="50" customHeight="1" thickBot="1" x14ac:dyDescent="0.3">
      <c r="B1" s="126" t="s">
        <v>214</v>
      </c>
      <c r="C1" s="45"/>
    </row>
    <row r="2" spans="2:3" ht="50" customHeight="1" thickBot="1" x14ac:dyDescent="0.3">
      <c r="B2" s="127" t="s">
        <v>150</v>
      </c>
      <c r="C2" s="128" t="s">
        <v>151</v>
      </c>
    </row>
    <row r="3" spans="2:3" ht="50" customHeight="1" thickBot="1" x14ac:dyDescent="0.3">
      <c r="B3" s="129" t="s">
        <v>152</v>
      </c>
      <c r="C3" s="130" t="s">
        <v>308</v>
      </c>
    </row>
    <row r="4" spans="2:3" ht="50" customHeight="1" thickBot="1" x14ac:dyDescent="0.3">
      <c r="B4" s="129" t="s">
        <v>153</v>
      </c>
      <c r="C4" s="131" t="s">
        <v>309</v>
      </c>
    </row>
    <row r="5" spans="2:3" ht="50" customHeight="1" thickBot="1" x14ac:dyDescent="0.3">
      <c r="B5" s="129" t="s">
        <v>154</v>
      </c>
      <c r="C5" s="130" t="s">
        <v>310</v>
      </c>
    </row>
    <row r="6" spans="2:3" ht="50" customHeight="1" x14ac:dyDescent="0.25">
      <c r="B6" s="299" t="s">
        <v>155</v>
      </c>
      <c r="C6" s="132" t="s">
        <v>311</v>
      </c>
    </row>
    <row r="7" spans="2:3" ht="50" customHeight="1" x14ac:dyDescent="0.25">
      <c r="B7" s="300"/>
      <c r="C7" s="133" t="s">
        <v>312</v>
      </c>
    </row>
    <row r="8" spans="2:3" ht="50" customHeight="1" x14ac:dyDescent="0.25">
      <c r="B8" s="300"/>
      <c r="C8" s="133" t="s">
        <v>313</v>
      </c>
    </row>
    <row r="9" spans="2:3" ht="50" customHeight="1" x14ac:dyDescent="0.25">
      <c r="B9" s="300"/>
      <c r="C9" s="133" t="s">
        <v>314</v>
      </c>
    </row>
    <row r="10" spans="2:3" ht="50" customHeight="1" thickBot="1" x14ac:dyDescent="0.3">
      <c r="B10" s="301"/>
      <c r="C10" s="134" t="s">
        <v>315</v>
      </c>
    </row>
    <row r="11" spans="2:3" ht="50" customHeight="1" x14ac:dyDescent="0.25">
      <c r="B11" s="299" t="s">
        <v>250</v>
      </c>
      <c r="C11" s="299" t="s">
        <v>316</v>
      </c>
    </row>
    <row r="12" spans="2:3" ht="50" customHeight="1" x14ac:dyDescent="0.25">
      <c r="B12" s="300"/>
      <c r="C12" s="300"/>
    </row>
    <row r="13" spans="2:3" ht="50" customHeight="1" thickBot="1" x14ac:dyDescent="0.3">
      <c r="B13" s="300"/>
      <c r="C13" s="301"/>
    </row>
    <row r="14" spans="2:3" ht="50" customHeight="1" x14ac:dyDescent="0.25">
      <c r="B14" s="300"/>
      <c r="C14" s="299" t="s">
        <v>317</v>
      </c>
    </row>
    <row r="15" spans="2:3" ht="50" customHeight="1" x14ac:dyDescent="0.25">
      <c r="B15" s="300"/>
      <c r="C15" s="300"/>
    </row>
    <row r="16" spans="2:3" ht="50" customHeight="1" thickBot="1" x14ac:dyDescent="0.3">
      <c r="B16" s="300"/>
      <c r="C16" s="301"/>
    </row>
    <row r="17" spans="2:3" ht="50" customHeight="1" x14ac:dyDescent="0.25">
      <c r="B17" s="300"/>
      <c r="C17" s="299" t="s">
        <v>318</v>
      </c>
    </row>
    <row r="18" spans="2:3" ht="50" customHeight="1" x14ac:dyDescent="0.25">
      <c r="B18" s="300"/>
      <c r="C18" s="300"/>
    </row>
    <row r="19" spans="2:3" ht="50" customHeight="1" thickBot="1" x14ac:dyDescent="0.3">
      <c r="B19" s="300"/>
      <c r="C19" s="301"/>
    </row>
    <row r="20" spans="2:3" ht="50" customHeight="1" x14ac:dyDescent="0.25">
      <c r="B20" s="300"/>
      <c r="C20" s="299" t="s">
        <v>319</v>
      </c>
    </row>
    <row r="21" spans="2:3" ht="50" customHeight="1" x14ac:dyDescent="0.25">
      <c r="B21" s="300"/>
      <c r="C21" s="300"/>
    </row>
    <row r="22" spans="2:3" ht="50" customHeight="1" thickBot="1" x14ac:dyDescent="0.3">
      <c r="B22" s="301"/>
      <c r="C22" s="301"/>
    </row>
  </sheetData>
  <mergeCells count="6">
    <mergeCell ref="B6:B10"/>
    <mergeCell ref="B11:B22"/>
    <mergeCell ref="C11:C13"/>
    <mergeCell ref="C14:C16"/>
    <mergeCell ref="C17:C19"/>
    <mergeCell ref="C20:C2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C697-97B8-C640-85DE-E9F839394E43}">
  <sheetPr>
    <tabColor rgb="FFFFFF00"/>
  </sheetPr>
  <dimension ref="A1:AJ30"/>
  <sheetViews>
    <sheetView workbookViewId="0">
      <pane ySplit="3" topLeftCell="A5" activePane="bottomLeft" state="frozen"/>
      <selection activeCell="A5" sqref="A5"/>
      <selection pane="bottomLeft" activeCell="A5" sqref="A5"/>
    </sheetView>
  </sheetViews>
  <sheetFormatPr baseColWidth="10" defaultColWidth="8.83203125" defaultRowHeight="15" x14ac:dyDescent="0.2"/>
  <cols>
    <col min="1" max="1" width="10.1640625" bestFit="1" customWidth="1"/>
    <col min="2" max="2" width="18" style="112" customWidth="1"/>
    <col min="3" max="3" width="19.83203125" customWidth="1"/>
    <col min="4" max="4" width="7.5" customWidth="1"/>
    <col min="5" max="5" width="8.83203125" style="112"/>
    <col min="6" max="6" width="10.33203125" style="112" customWidth="1"/>
    <col min="7" max="7" width="12" style="112" customWidth="1"/>
    <col min="8" max="8" width="12.5" customWidth="1"/>
    <col min="9" max="9" width="12.33203125" customWidth="1"/>
    <col min="10" max="10" width="10" style="124" customWidth="1"/>
    <col min="11" max="11" width="12.6640625" customWidth="1"/>
    <col min="12" max="12" width="12.5" customWidth="1"/>
    <col min="13" max="13" width="12.33203125" customWidth="1"/>
    <col min="14" max="14" width="10" style="124" customWidth="1"/>
    <col min="15" max="15" width="12.5" customWidth="1"/>
    <col min="16" max="16" width="12.33203125" customWidth="1"/>
    <col min="17" max="17" width="10" style="124" customWidth="1"/>
    <col min="18" max="18" width="7.5" customWidth="1"/>
    <col min="19" max="19" width="7.1640625" customWidth="1"/>
    <col min="20" max="20" width="11.33203125" customWidth="1"/>
    <col min="21" max="21" width="2.5" customWidth="1"/>
    <col min="22" max="22" width="9.83203125" bestFit="1" customWidth="1"/>
    <col min="23" max="23" width="6" customWidth="1"/>
    <col min="24" max="24" width="10" style="124" customWidth="1"/>
    <col min="25" max="25" width="7.33203125" customWidth="1"/>
    <col min="26" max="26" width="8.33203125" customWidth="1"/>
    <col min="27" max="27" width="11.5" customWidth="1"/>
    <col min="28" max="28" width="2.5" customWidth="1"/>
    <col min="29" max="29" width="7.1640625" style="124" customWidth="1"/>
    <col min="30" max="30" width="5.5" style="124" customWidth="1"/>
    <col min="31" max="31" width="7.5" style="124" customWidth="1"/>
    <col min="32" max="32" width="7" style="124" customWidth="1"/>
    <col min="33" max="33" width="7.6640625" customWidth="1"/>
    <col min="34" max="34" width="7.33203125" customWidth="1"/>
    <col min="35" max="35" width="7.83203125" customWidth="1"/>
    <col min="36" max="36" width="8" customWidth="1"/>
  </cols>
  <sheetData>
    <row r="1" spans="1:36" x14ac:dyDescent="0.2">
      <c r="A1" s="135" t="s">
        <v>320</v>
      </c>
      <c r="AC1" s="70"/>
      <c r="AD1" s="70"/>
      <c r="AE1" s="70"/>
      <c r="AF1" s="70"/>
      <c r="AG1" s="68"/>
    </row>
    <row r="2" spans="1:36" x14ac:dyDescent="0.2">
      <c r="AC2" s="70"/>
      <c r="AD2" s="70"/>
      <c r="AE2" s="70"/>
      <c r="AF2" s="70"/>
      <c r="AG2" s="68"/>
    </row>
    <row r="3" spans="1:36" s="141" customFormat="1" ht="43.5" customHeight="1" x14ac:dyDescent="0.15">
      <c r="A3" s="136" t="s">
        <v>321</v>
      </c>
      <c r="B3" s="137" t="s">
        <v>322</v>
      </c>
      <c r="C3" s="137" t="s">
        <v>323</v>
      </c>
      <c r="D3" s="137" t="s">
        <v>261</v>
      </c>
      <c r="E3" s="137" t="s">
        <v>324</v>
      </c>
      <c r="F3" s="137" t="s">
        <v>325</v>
      </c>
      <c r="G3" s="137" t="s">
        <v>326</v>
      </c>
      <c r="H3" s="137" t="s">
        <v>327</v>
      </c>
      <c r="I3" s="138" t="s">
        <v>328</v>
      </c>
      <c r="J3" s="139" t="s">
        <v>329</v>
      </c>
      <c r="K3" s="137" t="s">
        <v>330</v>
      </c>
      <c r="L3" s="137" t="s">
        <v>331</v>
      </c>
      <c r="M3" s="138" t="s">
        <v>332</v>
      </c>
      <c r="N3" s="139" t="s">
        <v>333</v>
      </c>
      <c r="O3" s="137" t="s">
        <v>334</v>
      </c>
      <c r="P3" s="138" t="s">
        <v>335</v>
      </c>
      <c r="Q3" s="139" t="s">
        <v>336</v>
      </c>
      <c r="R3" s="137" t="s">
        <v>263</v>
      </c>
      <c r="S3" s="137" t="s">
        <v>265</v>
      </c>
      <c r="T3" s="140" t="s">
        <v>266</v>
      </c>
      <c r="V3" s="142" t="s">
        <v>337</v>
      </c>
      <c r="W3" s="143" t="s">
        <v>338</v>
      </c>
      <c r="X3" s="143" t="s">
        <v>339</v>
      </c>
      <c r="Y3" s="143" t="s">
        <v>340</v>
      </c>
      <c r="Z3" s="143" t="s">
        <v>341</v>
      </c>
      <c r="AA3" s="142" t="s">
        <v>342</v>
      </c>
      <c r="AB3" s="144"/>
      <c r="AC3" s="145" t="s">
        <v>268</v>
      </c>
      <c r="AD3" s="145" t="s">
        <v>269</v>
      </c>
      <c r="AE3" s="145" t="s">
        <v>270</v>
      </c>
      <c r="AF3" s="145" t="s">
        <v>271</v>
      </c>
      <c r="AG3" s="145" t="s">
        <v>272</v>
      </c>
      <c r="AH3" s="146"/>
      <c r="AI3" s="146"/>
      <c r="AJ3" s="143"/>
    </row>
    <row r="4" spans="1:36" hidden="1" x14ac:dyDescent="0.2">
      <c r="A4" s="147"/>
      <c r="F4" s="148"/>
      <c r="I4" s="149"/>
      <c r="M4" s="149"/>
      <c r="P4" s="149"/>
      <c r="U4" s="150" t="s">
        <v>343</v>
      </c>
      <c r="V4" s="151">
        <v>200000</v>
      </c>
      <c r="W4" s="152">
        <v>30</v>
      </c>
      <c r="Y4" s="153">
        <v>6.7500000000000004E-2</v>
      </c>
      <c r="Z4" s="152">
        <v>12</v>
      </c>
      <c r="AA4" s="154">
        <f>PMT(Y4/12,W4*Z4,V4)</f>
        <v>-1297.1961931364306</v>
      </c>
      <c r="AC4" s="155"/>
      <c r="AD4" s="155"/>
      <c r="AE4" s="155"/>
      <c r="AF4" s="155"/>
      <c r="AG4" s="156"/>
    </row>
    <row r="5" spans="1:36" x14ac:dyDescent="0.2">
      <c r="A5" s="157">
        <v>42460</v>
      </c>
      <c r="B5" s="158">
        <v>750000</v>
      </c>
      <c r="C5" s="159" t="s">
        <v>344</v>
      </c>
      <c r="D5" s="160" t="s">
        <v>196</v>
      </c>
      <c r="E5" s="161">
        <v>6.5000000000000002E-2</v>
      </c>
      <c r="F5" s="162">
        <v>44286</v>
      </c>
      <c r="G5" s="302" t="s">
        <v>345</v>
      </c>
      <c r="H5" s="163">
        <f t="shared" ref="H5:H12" si="0">-AA5*(1-1/POWER((1+Y5/4),X5))/(Y5/4)</f>
        <v>652318.80322178476</v>
      </c>
      <c r="I5" s="164">
        <f t="shared" ref="I5:I12" si="1">-AA5*(1-1/POWER((1+Y5/4),J5))/(Y5/4)</f>
        <v>514507.58403153886</v>
      </c>
      <c r="J5" s="165">
        <f t="shared" ref="J5:J12" si="2">X5-4</f>
        <v>13</v>
      </c>
      <c r="K5" s="166">
        <f t="shared" ref="K5:L12" si="3">H5</f>
        <v>652318.80322178476</v>
      </c>
      <c r="L5" s="163">
        <f t="shared" si="3"/>
        <v>514507.58403153886</v>
      </c>
      <c r="M5" s="164">
        <f t="shared" ref="M5:M12" si="4">-AA5*(1-1/POWER((1+Y5/4),N5))/(Y5/4)</f>
        <v>367517.91593370331</v>
      </c>
      <c r="N5" s="165">
        <f t="shared" ref="N5:N12" si="5">J5-4</f>
        <v>9</v>
      </c>
      <c r="O5" s="166">
        <f t="shared" ref="O5:O12" si="6">SUM(K5,L5)/2</f>
        <v>583413.19362666178</v>
      </c>
      <c r="P5" s="164">
        <f t="shared" ref="P5:P12" si="7">-AA5*(1-1/POWER((1+Y5/4),Q5))/(Y5/4)</f>
        <v>210738.49946482366</v>
      </c>
      <c r="Q5" s="165">
        <f t="shared" ref="Q5:Q10" si="8">N5-4</f>
        <v>5</v>
      </c>
      <c r="R5" s="167"/>
      <c r="S5" s="168"/>
      <c r="T5" s="169">
        <f t="shared" ref="T5:T12" si="9">H5*R5*S5</f>
        <v>0</v>
      </c>
      <c r="V5" s="170">
        <f t="shared" ref="V5:V12" si="10">B5</f>
        <v>750000</v>
      </c>
      <c r="W5" s="155">
        <v>5</v>
      </c>
      <c r="X5" s="155">
        <f>W5*4-3</f>
        <v>17</v>
      </c>
      <c r="Y5" s="171">
        <f t="shared" ref="Y5:Y12" si="11">E5</f>
        <v>6.5000000000000002E-2</v>
      </c>
      <c r="Z5" s="155">
        <v>4</v>
      </c>
      <c r="AA5" s="172">
        <f t="shared" ref="AA5:AA12" si="12">PMT(Y5/4,W5*Z5,V5)</f>
        <v>-44224.478110270567</v>
      </c>
      <c r="AC5" s="155" t="s">
        <v>197</v>
      </c>
      <c r="AD5" s="155" t="s">
        <v>198</v>
      </c>
      <c r="AE5" s="173">
        <v>0.13694000000000001</v>
      </c>
      <c r="AF5" s="171">
        <v>0.1052</v>
      </c>
      <c r="AG5" s="174">
        <v>0.623</v>
      </c>
    </row>
    <row r="6" spans="1:36" x14ac:dyDescent="0.2">
      <c r="A6" s="147">
        <v>42460</v>
      </c>
      <c r="B6" s="175">
        <v>1250000</v>
      </c>
      <c r="C6" t="s">
        <v>346</v>
      </c>
      <c r="D6" s="176">
        <v>5</v>
      </c>
      <c r="E6" s="177">
        <v>6.5000000000000002E-2</v>
      </c>
      <c r="F6" s="178">
        <v>43921</v>
      </c>
      <c r="G6" s="303"/>
      <c r="H6" s="179">
        <f t="shared" si="0"/>
        <v>1039502.4913779305</v>
      </c>
      <c r="I6" s="180">
        <f t="shared" si="1"/>
        <v>742527.0318574952</v>
      </c>
      <c r="J6" s="181">
        <f t="shared" si="2"/>
        <v>9</v>
      </c>
      <c r="K6" s="182">
        <f t="shared" si="3"/>
        <v>1039502.4913779305</v>
      </c>
      <c r="L6" s="179">
        <f t="shared" si="3"/>
        <v>742527.0318574952</v>
      </c>
      <c r="M6" s="180">
        <f t="shared" si="4"/>
        <v>425772.52896140487</v>
      </c>
      <c r="N6" s="181">
        <f t="shared" si="5"/>
        <v>5</v>
      </c>
      <c r="O6" s="182">
        <f t="shared" si="6"/>
        <v>891014.76161771291</v>
      </c>
      <c r="P6" s="164">
        <f t="shared" si="7"/>
        <v>87921.666580480785</v>
      </c>
      <c r="Q6" s="181">
        <f t="shared" si="8"/>
        <v>1</v>
      </c>
      <c r="R6" s="183"/>
      <c r="S6" s="184"/>
      <c r="T6" s="185">
        <f t="shared" si="9"/>
        <v>0</v>
      </c>
      <c r="V6" s="170">
        <f t="shared" si="10"/>
        <v>1250000</v>
      </c>
      <c r="W6" s="155">
        <v>4</v>
      </c>
      <c r="X6" s="155">
        <f>W6*4-3</f>
        <v>13</v>
      </c>
      <c r="Y6" s="171">
        <f t="shared" si="11"/>
        <v>6.5000000000000002E-2</v>
      </c>
      <c r="Z6" s="155">
        <v>4</v>
      </c>
      <c r="AA6" s="172">
        <f t="shared" si="12"/>
        <v>-89350.393662412942</v>
      </c>
      <c r="AC6" s="155" t="s">
        <v>203</v>
      </c>
      <c r="AD6" s="155" t="s">
        <v>36</v>
      </c>
      <c r="AE6" s="173">
        <v>0.17965</v>
      </c>
      <c r="AF6" s="171">
        <v>0.19420000000000001</v>
      </c>
      <c r="AG6" s="174">
        <v>0.623</v>
      </c>
    </row>
    <row r="7" spans="1:36" x14ac:dyDescent="0.2">
      <c r="A7" s="147">
        <v>42460</v>
      </c>
      <c r="B7" s="175">
        <v>450000</v>
      </c>
      <c r="C7" t="s">
        <v>347</v>
      </c>
      <c r="D7" s="186">
        <v>4</v>
      </c>
      <c r="E7" s="177">
        <v>6.5000000000000002E-2</v>
      </c>
      <c r="F7" s="178">
        <v>44286</v>
      </c>
      <c r="G7" s="303"/>
      <c r="H7" s="179">
        <f t="shared" si="0"/>
        <v>391391.28193307086</v>
      </c>
      <c r="I7" s="180">
        <f t="shared" si="1"/>
        <v>308704.55041892332</v>
      </c>
      <c r="J7" s="181">
        <f t="shared" si="2"/>
        <v>13</v>
      </c>
      <c r="K7" s="182">
        <f t="shared" si="3"/>
        <v>391391.28193307086</v>
      </c>
      <c r="L7" s="179">
        <f t="shared" si="3"/>
        <v>308704.55041892332</v>
      </c>
      <c r="M7" s="180">
        <f t="shared" si="4"/>
        <v>220510.749560222</v>
      </c>
      <c r="N7" s="181">
        <f t="shared" si="5"/>
        <v>9</v>
      </c>
      <c r="O7" s="182">
        <f t="shared" si="6"/>
        <v>350047.91617599712</v>
      </c>
      <c r="P7" s="164">
        <f t="shared" si="7"/>
        <v>126443.09967889418</v>
      </c>
      <c r="Q7" s="181">
        <f t="shared" si="8"/>
        <v>5</v>
      </c>
      <c r="R7" s="183"/>
      <c r="S7" s="184"/>
      <c r="T7" s="185">
        <f t="shared" si="9"/>
        <v>0</v>
      </c>
      <c r="V7" s="170">
        <f t="shared" si="10"/>
        <v>450000</v>
      </c>
      <c r="W7" s="155">
        <v>5</v>
      </c>
      <c r="X7" s="155">
        <f>W7*4-3</f>
        <v>17</v>
      </c>
      <c r="Y7" s="171">
        <f t="shared" si="11"/>
        <v>6.5000000000000002E-2</v>
      </c>
      <c r="Z7" s="155">
        <v>4</v>
      </c>
      <c r="AA7" s="172">
        <f t="shared" si="12"/>
        <v>-26534.686866162341</v>
      </c>
      <c r="AC7" s="155" t="s">
        <v>194</v>
      </c>
      <c r="AD7" s="155" t="s">
        <v>195</v>
      </c>
      <c r="AE7" s="173">
        <v>6.2630000000000005E-2</v>
      </c>
      <c r="AF7" s="171">
        <v>7.6799999999999993E-2</v>
      </c>
      <c r="AG7" s="174">
        <v>0.623</v>
      </c>
    </row>
    <row r="8" spans="1:36" ht="16" x14ac:dyDescent="0.2">
      <c r="A8" s="147">
        <v>42551</v>
      </c>
      <c r="B8" s="175">
        <v>600000</v>
      </c>
      <c r="C8" t="s">
        <v>348</v>
      </c>
      <c r="D8" s="186" t="s">
        <v>196</v>
      </c>
      <c r="E8" s="177">
        <v>6.7500000000000004E-2</v>
      </c>
      <c r="F8" s="178">
        <v>44377</v>
      </c>
      <c r="G8" s="303"/>
      <c r="H8" s="179">
        <f t="shared" si="0"/>
        <v>548626.59796610812</v>
      </c>
      <c r="I8" s="180">
        <f t="shared" si="1"/>
        <v>440574.83964080084</v>
      </c>
      <c r="J8" s="181">
        <f t="shared" si="2"/>
        <v>14</v>
      </c>
      <c r="K8" s="182">
        <f t="shared" si="3"/>
        <v>548626.59796610812</v>
      </c>
      <c r="L8" s="179">
        <f t="shared" si="3"/>
        <v>440574.83964080084</v>
      </c>
      <c r="M8" s="180">
        <f t="shared" si="4"/>
        <v>325042.88537122082</v>
      </c>
      <c r="N8" s="181">
        <f t="shared" si="5"/>
        <v>10</v>
      </c>
      <c r="O8" s="182">
        <f t="shared" si="6"/>
        <v>494600.71880345448</v>
      </c>
      <c r="P8" s="164">
        <f t="shared" si="7"/>
        <v>201512.89692658043</v>
      </c>
      <c r="Q8" s="181">
        <f t="shared" si="8"/>
        <v>6</v>
      </c>
      <c r="R8" s="183"/>
      <c r="S8" s="184"/>
      <c r="T8" s="185">
        <f t="shared" si="9"/>
        <v>0</v>
      </c>
      <c r="V8" s="170">
        <f t="shared" si="10"/>
        <v>600000</v>
      </c>
      <c r="W8" s="155">
        <v>5</v>
      </c>
      <c r="X8" s="155">
        <f>W8*4-2</f>
        <v>18</v>
      </c>
      <c r="Y8" s="171">
        <f t="shared" si="11"/>
        <v>6.7500000000000004E-2</v>
      </c>
      <c r="Z8" s="155">
        <v>4</v>
      </c>
      <c r="AA8" s="172">
        <f t="shared" si="12"/>
        <v>-35596.782849156101</v>
      </c>
      <c r="AC8" s="155" t="s">
        <v>197</v>
      </c>
      <c r="AD8" s="155" t="s">
        <v>198</v>
      </c>
      <c r="AE8" s="173">
        <v>0.13694000000000001</v>
      </c>
      <c r="AF8" s="171">
        <v>0.1052</v>
      </c>
      <c r="AG8" s="174">
        <v>0.623</v>
      </c>
    </row>
    <row r="9" spans="1:36" ht="16" x14ac:dyDescent="0.2">
      <c r="A9" s="147">
        <v>42551</v>
      </c>
      <c r="B9" s="175">
        <v>240000</v>
      </c>
      <c r="C9" t="s">
        <v>349</v>
      </c>
      <c r="D9" s="186" t="s">
        <v>200</v>
      </c>
      <c r="E9" s="177">
        <v>6.7500000000000004E-2</v>
      </c>
      <c r="F9" s="178">
        <v>44012</v>
      </c>
      <c r="G9" s="303"/>
      <c r="H9" s="179">
        <f t="shared" si="0"/>
        <v>213394.46119522193</v>
      </c>
      <c r="I9" s="180">
        <f t="shared" si="1"/>
        <v>157436.02482085189</v>
      </c>
      <c r="J9" s="181">
        <f t="shared" si="2"/>
        <v>10</v>
      </c>
      <c r="K9" s="182">
        <f t="shared" si="3"/>
        <v>213394.46119522193</v>
      </c>
      <c r="L9" s="179">
        <f t="shared" si="3"/>
        <v>157436.02482085189</v>
      </c>
      <c r="M9" s="180">
        <f t="shared" si="4"/>
        <v>97603.703603671733</v>
      </c>
      <c r="N9" s="181">
        <f t="shared" si="5"/>
        <v>6</v>
      </c>
      <c r="O9" s="182">
        <f t="shared" si="6"/>
        <v>185415.24300803692</v>
      </c>
      <c r="P9" s="164">
        <f t="shared" si="7"/>
        <v>33629.316644648425</v>
      </c>
      <c r="Q9" s="181">
        <f t="shared" si="8"/>
        <v>2</v>
      </c>
      <c r="R9" s="183"/>
      <c r="S9" s="184"/>
      <c r="T9" s="185">
        <f t="shared" si="9"/>
        <v>0</v>
      </c>
      <c r="V9" s="170">
        <f t="shared" si="10"/>
        <v>240000</v>
      </c>
      <c r="W9" s="155">
        <v>4</v>
      </c>
      <c r="X9" s="155">
        <f>W9*4-2</f>
        <v>14</v>
      </c>
      <c r="Y9" s="171">
        <f t="shared" si="11"/>
        <v>6.7500000000000004E-2</v>
      </c>
      <c r="Z9" s="155">
        <v>4</v>
      </c>
      <c r="AA9" s="172">
        <f t="shared" si="12"/>
        <v>-17241.466404600189</v>
      </c>
      <c r="AC9" s="155" t="s">
        <v>201</v>
      </c>
      <c r="AD9" s="155" t="s">
        <v>202</v>
      </c>
      <c r="AE9" s="173">
        <v>0.13708000000000001</v>
      </c>
      <c r="AF9" s="171">
        <v>0.1376</v>
      </c>
      <c r="AG9" s="174">
        <v>0.623</v>
      </c>
    </row>
    <row r="10" spans="1:36" x14ac:dyDescent="0.2">
      <c r="A10" s="147">
        <v>42551</v>
      </c>
      <c r="B10" s="175">
        <v>350000</v>
      </c>
      <c r="C10" t="s">
        <v>350</v>
      </c>
      <c r="D10" s="186">
        <v>4</v>
      </c>
      <c r="E10" s="177">
        <v>6.7500000000000004E-2</v>
      </c>
      <c r="F10" s="178">
        <v>44377</v>
      </c>
      <c r="G10" s="303"/>
      <c r="H10" s="179">
        <f t="shared" si="0"/>
        <v>320032.18214689632</v>
      </c>
      <c r="I10" s="180">
        <f t="shared" si="1"/>
        <v>257001.98979046711</v>
      </c>
      <c r="J10" s="181">
        <f t="shared" si="2"/>
        <v>14</v>
      </c>
      <c r="K10" s="182">
        <f t="shared" si="3"/>
        <v>320032.18214689632</v>
      </c>
      <c r="L10" s="179">
        <f t="shared" si="3"/>
        <v>257001.98979046711</v>
      </c>
      <c r="M10" s="180">
        <f t="shared" si="4"/>
        <v>189608.34979987881</v>
      </c>
      <c r="N10" s="181">
        <f t="shared" si="5"/>
        <v>10</v>
      </c>
      <c r="O10" s="182">
        <f t="shared" si="6"/>
        <v>288517.08596868173</v>
      </c>
      <c r="P10" s="164">
        <f t="shared" si="7"/>
        <v>117549.18987383858</v>
      </c>
      <c r="Q10" s="181">
        <f t="shared" si="8"/>
        <v>6</v>
      </c>
      <c r="R10" s="183"/>
      <c r="S10" s="184"/>
      <c r="T10" s="185">
        <f t="shared" si="9"/>
        <v>0</v>
      </c>
      <c r="V10" s="170">
        <f t="shared" si="10"/>
        <v>350000</v>
      </c>
      <c r="W10" s="155">
        <v>5</v>
      </c>
      <c r="X10" s="155">
        <f>W10*4-2</f>
        <v>18</v>
      </c>
      <c r="Y10" s="171">
        <f t="shared" si="11"/>
        <v>6.7500000000000004E-2</v>
      </c>
      <c r="Z10" s="155">
        <v>4</v>
      </c>
      <c r="AA10" s="172">
        <f t="shared" si="12"/>
        <v>-20764.789995341056</v>
      </c>
      <c r="AC10" s="155" t="s">
        <v>194</v>
      </c>
      <c r="AD10" s="155" t="s">
        <v>195</v>
      </c>
      <c r="AE10" s="173">
        <v>6.2630000000000005E-2</v>
      </c>
      <c r="AF10" s="171">
        <v>7.6799999999999993E-2</v>
      </c>
      <c r="AG10" s="174">
        <v>0.623</v>
      </c>
    </row>
    <row r="11" spans="1:36" x14ac:dyDescent="0.2">
      <c r="A11" s="147">
        <v>42643</v>
      </c>
      <c r="B11" s="175">
        <v>925000</v>
      </c>
      <c r="C11" t="s">
        <v>351</v>
      </c>
      <c r="D11" s="186">
        <v>5</v>
      </c>
      <c r="E11" s="177">
        <v>7.0000000000000007E-2</v>
      </c>
      <c r="F11" s="178">
        <v>43738</v>
      </c>
      <c r="G11" s="303"/>
      <c r="H11" s="179">
        <f t="shared" si="0"/>
        <v>855057.2592696239</v>
      </c>
      <c r="I11" s="180">
        <f t="shared" si="1"/>
        <v>562830.2362700603</v>
      </c>
      <c r="J11" s="181">
        <f t="shared" si="2"/>
        <v>7</v>
      </c>
      <c r="K11" s="182">
        <f t="shared" si="3"/>
        <v>855057.2592696239</v>
      </c>
      <c r="L11" s="179">
        <f t="shared" si="3"/>
        <v>562830.2362700603</v>
      </c>
      <c r="M11" s="180">
        <f t="shared" si="4"/>
        <v>249604.06248126167</v>
      </c>
      <c r="N11" s="181">
        <f t="shared" si="5"/>
        <v>3</v>
      </c>
      <c r="O11" s="182">
        <f t="shared" si="6"/>
        <v>708943.74776984216</v>
      </c>
      <c r="P11" s="164">
        <f t="shared" si="7"/>
        <v>0</v>
      </c>
      <c r="Q11" s="181">
        <v>0</v>
      </c>
      <c r="R11" s="183"/>
      <c r="S11" s="184"/>
      <c r="T11" s="185">
        <f t="shared" si="9"/>
        <v>0</v>
      </c>
      <c r="V11" s="170">
        <f t="shared" si="10"/>
        <v>925000</v>
      </c>
      <c r="W11" s="155">
        <v>3</v>
      </c>
      <c r="X11" s="155">
        <f>W11*4-1</f>
        <v>11</v>
      </c>
      <c r="Y11" s="171">
        <f t="shared" si="11"/>
        <v>7.0000000000000007E-2</v>
      </c>
      <c r="Z11" s="155">
        <v>4</v>
      </c>
      <c r="AA11" s="172">
        <f t="shared" si="12"/>
        <v>-86130.240730378689</v>
      </c>
      <c r="AC11" s="155" t="s">
        <v>203</v>
      </c>
      <c r="AD11" s="155" t="s">
        <v>36</v>
      </c>
      <c r="AE11" s="173">
        <v>0.13322000000000001</v>
      </c>
      <c r="AF11" s="171">
        <v>0.16400000000000001</v>
      </c>
      <c r="AG11" s="174">
        <v>0.623</v>
      </c>
    </row>
    <row r="12" spans="1:36" x14ac:dyDescent="0.2">
      <c r="A12" s="187">
        <v>42643</v>
      </c>
      <c r="B12" s="188">
        <v>510000</v>
      </c>
      <c r="C12" s="189" t="s">
        <v>352</v>
      </c>
      <c r="D12" s="190">
        <v>4</v>
      </c>
      <c r="E12" s="191">
        <v>7.0000000000000007E-2</v>
      </c>
      <c r="F12" s="192">
        <v>44469</v>
      </c>
      <c r="G12" s="304"/>
      <c r="H12" s="193">
        <f t="shared" si="0"/>
        <v>488482.47547406284</v>
      </c>
      <c r="I12" s="194">
        <f t="shared" si="1"/>
        <v>398580.33453888394</v>
      </c>
      <c r="J12" s="195">
        <f t="shared" si="2"/>
        <v>15</v>
      </c>
      <c r="K12" s="196">
        <f t="shared" si="3"/>
        <v>488482.47547406284</v>
      </c>
      <c r="L12" s="193">
        <f t="shared" si="3"/>
        <v>398580.33453888394</v>
      </c>
      <c r="M12" s="194">
        <f t="shared" si="4"/>
        <v>302217.91284529062</v>
      </c>
      <c r="N12" s="195">
        <f t="shared" si="5"/>
        <v>11</v>
      </c>
      <c r="O12" s="196">
        <f t="shared" si="6"/>
        <v>443531.40500647342</v>
      </c>
      <c r="P12" s="197">
        <f t="shared" si="7"/>
        <v>198930.98087612737</v>
      </c>
      <c r="Q12" s="195">
        <f>N12-4</f>
        <v>7</v>
      </c>
      <c r="R12" s="198"/>
      <c r="S12" s="199"/>
      <c r="T12" s="200">
        <f t="shared" si="9"/>
        <v>0</v>
      </c>
      <c r="V12" s="170">
        <f t="shared" si="10"/>
        <v>510000</v>
      </c>
      <c r="W12" s="155">
        <v>5</v>
      </c>
      <c r="X12" s="155">
        <f>W12*4-1</f>
        <v>19</v>
      </c>
      <c r="Y12" s="171">
        <f t="shared" si="11"/>
        <v>7.0000000000000007E-2</v>
      </c>
      <c r="Z12" s="155">
        <v>4</v>
      </c>
      <c r="AA12" s="172">
        <f t="shared" si="12"/>
        <v>-30442.524525938745</v>
      </c>
      <c r="AC12" s="70" t="s">
        <v>194</v>
      </c>
      <c r="AD12" s="70" t="s">
        <v>195</v>
      </c>
      <c r="AE12" s="173">
        <v>6.2630000000000005E-2</v>
      </c>
      <c r="AF12" s="201">
        <v>7.6799999999999993E-2</v>
      </c>
      <c r="AG12" s="174">
        <v>0.623</v>
      </c>
    </row>
    <row r="13" spans="1:36" hidden="1" x14ac:dyDescent="0.2">
      <c r="AC13" s="70" t="s">
        <v>183</v>
      </c>
      <c r="AD13" s="70" t="s">
        <v>184</v>
      </c>
      <c r="AE13" s="91">
        <v>6.43E-3</v>
      </c>
      <c r="AF13" s="91">
        <v>6.3E-3</v>
      </c>
      <c r="AG13" s="92">
        <f>39.9%*1.1</f>
        <v>0.43890000000000001</v>
      </c>
    </row>
    <row r="14" spans="1:36" x14ac:dyDescent="0.2">
      <c r="I14" s="202"/>
      <c r="M14" s="202"/>
      <c r="P14" s="202"/>
      <c r="AC14" s="70"/>
      <c r="AD14" s="70"/>
      <c r="AE14" s="91"/>
      <c r="AF14" s="91"/>
      <c r="AG14" s="92"/>
    </row>
    <row r="15" spans="1:36" x14ac:dyDescent="0.2">
      <c r="G15" s="112" t="s">
        <v>353</v>
      </c>
      <c r="H15" s="203">
        <f>SUM(H5:H12)</f>
        <v>4508805.5525846994</v>
      </c>
      <c r="I15" s="204">
        <f>SUM(I5:I12)</f>
        <v>3382162.5913690217</v>
      </c>
      <c r="J15" s="205">
        <f>SUM(J5*I5,J6*I6,J7*I7,J8*I8,J9*I9,J10*I10,J11*I11,J12*I12)/I15/4</f>
        <v>2.856416015111757</v>
      </c>
      <c r="M15" s="204">
        <f>SUM(M5:M12)</f>
        <v>2177878.1085566538</v>
      </c>
      <c r="N15" s="205">
        <f>SUM(N5*M5,N6*M6,N7*M7,N8*M8,N9*M9,N10*M10,N11*M11,N12*M12)/SUM(M5:M12)/4</f>
        <v>1.9774367041762342</v>
      </c>
      <c r="P15" s="204">
        <f>SUM(P5:P12)</f>
        <v>976725.6500453935</v>
      </c>
      <c r="Q15" s="206">
        <f>SUM(Q5*P5,Q6*P6,Q7*P7,Q8*P8,Q9*P9,Q10*P10,Q11*P11,Q12*P12)/SUM(P5:P12)/4</f>
        <v>1.3176621506470416</v>
      </c>
      <c r="S15" t="s">
        <v>353</v>
      </c>
      <c r="T15" s="203">
        <f>SUM(T5:T12)</f>
        <v>0</v>
      </c>
      <c r="W15" s="207"/>
      <c r="X15" s="206">
        <f>SUM(X5*H5,X6*H6,X7*H7,X8*H8,X9*H9,X10*H10,X11*H11,X12*H12)/H15/4</f>
        <v>3.8018262498024318</v>
      </c>
      <c r="AE15" s="91"/>
      <c r="AF15" s="91"/>
      <c r="AG15" s="92"/>
    </row>
    <row r="16" spans="1:36" x14ac:dyDescent="0.2">
      <c r="A16" s="135" t="s">
        <v>354</v>
      </c>
      <c r="B16" s="208"/>
      <c r="C16" s="209"/>
      <c r="D16" s="209"/>
      <c r="E16" s="208"/>
      <c r="F16" s="208"/>
      <c r="G16" s="208"/>
      <c r="H16" s="209"/>
      <c r="I16" s="209"/>
      <c r="J16" s="210" t="s">
        <v>355</v>
      </c>
      <c r="K16" s="209"/>
      <c r="L16" s="209"/>
      <c r="M16" s="149"/>
      <c r="N16" s="210" t="s">
        <v>355</v>
      </c>
      <c r="O16" s="209"/>
      <c r="P16" s="209"/>
      <c r="Q16" s="210" t="s">
        <v>355</v>
      </c>
      <c r="R16" s="209"/>
      <c r="S16" s="209"/>
      <c r="T16" s="209"/>
      <c r="X16" s="210" t="s">
        <v>355</v>
      </c>
      <c r="AE16" s="91"/>
      <c r="AF16" s="91"/>
      <c r="AG16" s="92"/>
    </row>
    <row r="17" spans="1:33" x14ac:dyDescent="0.2">
      <c r="A17" s="135"/>
      <c r="B17" s="208"/>
      <c r="C17" s="209"/>
      <c r="D17" s="209"/>
      <c r="E17" s="211" t="s">
        <v>356</v>
      </c>
      <c r="F17" s="211" t="s">
        <v>357</v>
      </c>
      <c r="G17" s="212" t="s">
        <v>356</v>
      </c>
      <c r="H17" s="209"/>
      <c r="I17" s="209"/>
      <c r="J17" s="208"/>
      <c r="K17" s="209"/>
      <c r="L17" s="209"/>
      <c r="M17" s="209"/>
      <c r="N17" s="208"/>
      <c r="O17" s="209"/>
      <c r="P17" s="209"/>
      <c r="Q17" s="208"/>
      <c r="R17" s="209"/>
      <c r="S17" s="209"/>
      <c r="T17" s="209"/>
      <c r="AE17" s="91"/>
      <c r="AF17" s="91"/>
      <c r="AG17" s="92"/>
    </row>
    <row r="18" spans="1:33" s="135" customFormat="1" x14ac:dyDescent="0.2">
      <c r="A18" s="305" t="s">
        <v>358</v>
      </c>
      <c r="B18" s="306"/>
      <c r="C18" s="211" t="s">
        <v>359</v>
      </c>
      <c r="D18" s="211" t="s">
        <v>360</v>
      </c>
      <c r="E18" s="211" t="s">
        <v>361</v>
      </c>
      <c r="F18" s="211" t="s">
        <v>362</v>
      </c>
      <c r="G18" s="212" t="s">
        <v>363</v>
      </c>
      <c r="H18" s="212" t="s">
        <v>364</v>
      </c>
      <c r="I18" s="213"/>
      <c r="J18" s="211"/>
      <c r="K18" s="213"/>
      <c r="L18" s="213"/>
      <c r="M18" s="213"/>
      <c r="N18" s="211"/>
      <c r="O18" s="213"/>
      <c r="P18" s="213"/>
      <c r="Q18" s="211"/>
      <c r="R18" s="213"/>
      <c r="S18" s="213"/>
      <c r="T18" s="211" t="s">
        <v>266</v>
      </c>
      <c r="AE18" s="214"/>
      <c r="AF18" s="214"/>
      <c r="AG18" s="67"/>
    </row>
    <row r="19" spans="1:33" x14ac:dyDescent="0.2">
      <c r="A19" s="215" t="s">
        <v>365</v>
      </c>
      <c r="B19" s="216"/>
      <c r="C19" s="217"/>
      <c r="D19" s="216">
        <f>100-0.25%*4.5*100</f>
        <v>98.875</v>
      </c>
      <c r="E19" s="218">
        <v>0.04</v>
      </c>
      <c r="F19" s="161">
        <v>4.2500000000000003E-2</v>
      </c>
      <c r="G19" s="307" t="s">
        <v>366</v>
      </c>
      <c r="H19" s="219">
        <f>-C19*(100-D19)/100+E19*11/360*C19</f>
        <v>0</v>
      </c>
      <c r="I19" s="209"/>
      <c r="J19" s="205">
        <f>SUM(0.5*5,1*4,2.5*3)/4</f>
        <v>3.5</v>
      </c>
      <c r="K19" s="209"/>
      <c r="L19" s="209"/>
      <c r="M19" s="209"/>
      <c r="N19" s="208"/>
      <c r="O19" s="209"/>
      <c r="P19" s="209"/>
      <c r="Q19" s="208"/>
      <c r="R19" s="209"/>
      <c r="S19" s="209"/>
      <c r="T19" s="219">
        <f>V19*SUM(AE19:AF19)/2*(1-AG19)</f>
        <v>0</v>
      </c>
      <c r="V19" s="170">
        <f>C19</f>
        <v>0</v>
      </c>
      <c r="W19" s="155">
        <v>5</v>
      </c>
      <c r="X19" s="155"/>
      <c r="Y19" s="171"/>
      <c r="Z19" s="155"/>
      <c r="AA19" s="172"/>
      <c r="AC19" s="155" t="s">
        <v>191</v>
      </c>
      <c r="AD19" s="155" t="s">
        <v>192</v>
      </c>
      <c r="AE19" s="173">
        <v>5.5120000000000002E-2</v>
      </c>
      <c r="AF19" s="171">
        <v>4.5100000000000001E-2</v>
      </c>
      <c r="AG19" s="174">
        <v>0.40200000000000002</v>
      </c>
    </row>
    <row r="20" spans="1:33" x14ac:dyDescent="0.2">
      <c r="A20" s="220" t="s">
        <v>367</v>
      </c>
      <c r="B20" s="208"/>
      <c r="C20" s="221"/>
      <c r="D20" s="208">
        <f>100-0.5%*3.5*100</f>
        <v>98.25</v>
      </c>
      <c r="E20" s="222">
        <v>3.5000000000000003E-2</v>
      </c>
      <c r="F20" s="177">
        <v>0.04</v>
      </c>
      <c r="G20" s="308"/>
      <c r="H20" s="223">
        <f>-C20*(100-D20)/100+E20*11/360*C20</f>
        <v>0</v>
      </c>
      <c r="I20" s="209"/>
      <c r="J20" s="210" t="s">
        <v>355</v>
      </c>
      <c r="K20" s="209"/>
      <c r="L20" s="209"/>
      <c r="M20" s="209"/>
      <c r="N20" s="208"/>
      <c r="O20" s="209"/>
      <c r="P20" s="209"/>
      <c r="Q20" s="208"/>
      <c r="R20" s="209"/>
      <c r="S20" s="209"/>
      <c r="T20" s="223">
        <f>V20*SUM(AE20:AF20)/2*(1-AG20)</f>
        <v>0</v>
      </c>
      <c r="V20" s="170">
        <f>C20</f>
        <v>0</v>
      </c>
      <c r="W20" s="155">
        <v>4</v>
      </c>
      <c r="X20" s="155"/>
      <c r="Y20" s="171"/>
      <c r="Z20" s="155"/>
      <c r="AA20" s="172"/>
      <c r="AC20" s="155" t="s">
        <v>191</v>
      </c>
      <c r="AD20" s="155" t="s">
        <v>192</v>
      </c>
      <c r="AE20" s="173">
        <v>4.1410000000000002E-2</v>
      </c>
      <c r="AF20" s="171">
        <v>3.5299999999999998E-2</v>
      </c>
      <c r="AG20" s="174">
        <v>0.40200000000000002</v>
      </c>
    </row>
    <row r="21" spans="1:33" x14ac:dyDescent="0.2">
      <c r="A21" s="224" t="s">
        <v>368</v>
      </c>
      <c r="B21" s="225"/>
      <c r="C21" s="226"/>
      <c r="D21" s="225">
        <f>100-0.75%*2.5*100</f>
        <v>98.125</v>
      </c>
      <c r="E21" s="227">
        <v>2.75E-2</v>
      </c>
      <c r="F21" s="191">
        <v>3.5000000000000003E-2</v>
      </c>
      <c r="G21" s="309"/>
      <c r="H21" s="228">
        <f>-C21*(100-D21)/100+E21*11/360*C21</f>
        <v>0</v>
      </c>
      <c r="I21" s="209"/>
      <c r="J21" s="208"/>
      <c r="K21" s="209"/>
      <c r="L21" s="209"/>
      <c r="M21" s="209"/>
      <c r="N21" s="208"/>
      <c r="O21" s="209"/>
      <c r="P21" s="209"/>
      <c r="Q21" s="208"/>
      <c r="R21" s="209"/>
      <c r="S21" s="209"/>
      <c r="T21" s="229">
        <f>V21*SUM(AE21:AF21)/2*(1-AG21)</f>
        <v>0</v>
      </c>
      <c r="V21" s="170">
        <f>C21</f>
        <v>0</v>
      </c>
      <c r="W21" s="155">
        <v>3</v>
      </c>
      <c r="X21" s="155"/>
      <c r="Y21" s="171"/>
      <c r="Z21" s="155"/>
      <c r="AA21" s="172"/>
      <c r="AC21" s="155" t="s">
        <v>191</v>
      </c>
      <c r="AD21" s="155" t="s">
        <v>192</v>
      </c>
      <c r="AE21" s="173">
        <v>2.826E-2</v>
      </c>
      <c r="AF21" s="171">
        <v>2.4799999999999999E-2</v>
      </c>
      <c r="AG21" s="174">
        <v>0.40200000000000002</v>
      </c>
    </row>
    <row r="22" spans="1:33" x14ac:dyDescent="0.2">
      <c r="A22" s="230"/>
      <c r="B22" s="208"/>
      <c r="C22" s="231">
        <f>SUM(C19:C21)</f>
        <v>0</v>
      </c>
      <c r="D22" s="209"/>
      <c r="E22" s="208"/>
      <c r="F22" s="208"/>
      <c r="G22" s="208"/>
      <c r="H22" s="232">
        <f>SUM(H19:H21)</f>
        <v>0</v>
      </c>
      <c r="I22" s="209"/>
      <c r="J22" s="208"/>
      <c r="K22" s="209"/>
      <c r="L22" s="209"/>
      <c r="M22" s="209"/>
      <c r="N22" s="208"/>
      <c r="O22" s="209"/>
      <c r="P22" s="209"/>
      <c r="Q22" s="208"/>
      <c r="R22" s="209"/>
      <c r="S22" t="s">
        <v>353</v>
      </c>
      <c r="T22" s="233">
        <f>SUM(T19:T21)</f>
        <v>0</v>
      </c>
      <c r="V22" s="149"/>
      <c r="W22" s="149"/>
      <c r="X22" s="155"/>
      <c r="Y22" s="149"/>
      <c r="Z22" s="149"/>
      <c r="AA22" s="149"/>
      <c r="AB22" s="149"/>
      <c r="AC22" s="155"/>
    </row>
    <row r="23" spans="1:33" x14ac:dyDescent="0.2">
      <c r="A23" s="209"/>
      <c r="B23" s="208"/>
      <c r="C23" s="234" t="s">
        <v>369</v>
      </c>
      <c r="D23" s="209"/>
      <c r="E23" s="208"/>
      <c r="F23" s="208"/>
      <c r="G23" s="208"/>
      <c r="H23" s="209"/>
      <c r="I23" s="209"/>
      <c r="J23" s="208"/>
      <c r="K23" s="209"/>
      <c r="L23" s="209"/>
      <c r="M23" s="209"/>
      <c r="N23" s="208"/>
      <c r="O23" s="209"/>
      <c r="P23" s="209"/>
      <c r="Q23" s="208"/>
      <c r="R23" s="209"/>
      <c r="S23" s="209"/>
      <c r="T23" s="209"/>
    </row>
    <row r="24" spans="1:33" x14ac:dyDescent="0.2">
      <c r="V24" s="149"/>
      <c r="W24" s="149"/>
      <c r="X24" s="155"/>
      <c r="Y24" s="149"/>
      <c r="Z24" s="149"/>
      <c r="AA24" s="149"/>
      <c r="AB24" s="155"/>
      <c r="AC24" s="70"/>
    </row>
    <row r="25" spans="1:33" x14ac:dyDescent="0.2">
      <c r="X25" s="155"/>
      <c r="Y25" s="155"/>
      <c r="Z25" s="155"/>
      <c r="AB25" s="149"/>
      <c r="AC25" s="70"/>
    </row>
    <row r="26" spans="1:33" x14ac:dyDescent="0.2">
      <c r="V26" s="149"/>
      <c r="W26" s="149"/>
      <c r="X26" s="155"/>
      <c r="Y26" s="155"/>
      <c r="Z26" s="155"/>
      <c r="AB26" s="149"/>
      <c r="AC26" s="70"/>
    </row>
    <row r="27" spans="1:33" x14ac:dyDescent="0.2">
      <c r="V27" s="235"/>
      <c r="W27" s="236"/>
      <c r="X27" s="155"/>
      <c r="Y27" s="135"/>
      <c r="Z27" s="212"/>
      <c r="AA27" s="135"/>
      <c r="AB27" s="135"/>
      <c r="AC27" s="70"/>
    </row>
    <row r="28" spans="1:33" x14ac:dyDescent="0.2">
      <c r="V28" s="235"/>
      <c r="W28" s="155"/>
      <c r="X28" s="155"/>
      <c r="Y28" s="149"/>
      <c r="Z28" s="171"/>
      <c r="AA28" s="149"/>
      <c r="AB28" s="155"/>
      <c r="AC28" s="70"/>
    </row>
    <row r="29" spans="1:33" x14ac:dyDescent="0.2">
      <c r="V29" s="235"/>
      <c r="W29" s="170"/>
      <c r="X29" s="155"/>
      <c r="Y29" s="171"/>
      <c r="Z29" s="155"/>
      <c r="AA29" s="149"/>
      <c r="AB29" s="124"/>
      <c r="AC29" s="70"/>
    </row>
    <row r="30" spans="1:33" x14ac:dyDescent="0.2">
      <c r="V30" s="235"/>
      <c r="W30" s="170"/>
      <c r="X30" s="155"/>
      <c r="Y30" s="149"/>
      <c r="Z30" s="155"/>
      <c r="AA30" s="149"/>
      <c r="AB30" s="155"/>
      <c r="AC30" s="70"/>
    </row>
  </sheetData>
  <mergeCells count="3">
    <mergeCell ref="G5:G12"/>
    <mergeCell ref="A18:B18"/>
    <mergeCell ref="G19:G21"/>
  </mergeCells>
  <pageMargins left="0.7" right="0.7" top="0.75" bottom="0.75" header="0.3" footer="0.3"/>
  <pageSetup orientation="portrait" horizontalDpi="4294967294"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40</vt:i4>
      </vt:variant>
    </vt:vector>
  </HeadingPairs>
  <TitlesOfParts>
    <vt:vector size="63" baseType="lpstr">
      <vt:lpstr>Class7</vt:lpstr>
      <vt:lpstr>CDS</vt:lpstr>
      <vt:lpstr>ELoss</vt:lpstr>
      <vt:lpstr>Spread2PD</vt:lpstr>
      <vt:lpstr>CreditMetrics</vt:lpstr>
      <vt:lpstr>CreditMetrics_Example</vt:lpstr>
      <vt:lpstr>LoanCovenants</vt:lpstr>
      <vt:lpstr>LoanSegmentation</vt:lpstr>
      <vt:lpstr>CashVsProfit</vt:lpstr>
      <vt:lpstr>HazardRate1</vt:lpstr>
      <vt:lpstr>HazardRate2</vt:lpstr>
      <vt:lpstr>HazardRate_Appendix</vt:lpstr>
      <vt:lpstr>Prep4NextClass</vt:lpstr>
      <vt:lpstr>Questions</vt:lpstr>
      <vt:lpstr>1_Spread2PD</vt:lpstr>
      <vt:lpstr>2_HazardRates</vt:lpstr>
      <vt:lpstr>Remember</vt:lpstr>
      <vt:lpstr>7.1</vt:lpstr>
      <vt:lpstr>InternalRatings</vt:lpstr>
      <vt:lpstr>7.1 EL_alt_FX</vt:lpstr>
      <vt:lpstr>7.1 EL</vt:lpstr>
      <vt:lpstr>7.2</vt:lpstr>
      <vt:lpstr>7.2 Sbprm loans hedged by CIS</vt:lpstr>
      <vt:lpstr>avg_hazard_rate</vt:lpstr>
      <vt:lpstr>Spread2PD!Bond_Value</vt:lpstr>
      <vt:lpstr>Spread2PD!CouponPmt</vt:lpstr>
      <vt:lpstr>Spread2PD!CouponRate</vt:lpstr>
      <vt:lpstr>dr</vt:lpstr>
      <vt:lpstr>Duration</vt:lpstr>
      <vt:lpstr>Duration_</vt:lpstr>
      <vt:lpstr>Spread2PD!Eloss</vt:lpstr>
      <vt:lpstr>Spread2PD!Face</vt:lpstr>
      <vt:lpstr>Spread2PD!Frequency</vt:lpstr>
      <vt:lpstr>Spread2PD!Loss</vt:lpstr>
      <vt:lpstr>Spread2PD!lossAmount</vt:lpstr>
      <vt:lpstr>max</vt:lpstr>
      <vt:lpstr>min</vt:lpstr>
      <vt:lpstr>Spread2PD!n</vt:lpstr>
      <vt:lpstr>NewSpread</vt:lpstr>
      <vt:lpstr>Notional</vt:lpstr>
      <vt:lpstr>OldSpread</vt:lpstr>
      <vt:lpstr>Spread2PD!Period</vt:lpstr>
      <vt:lpstr>Spread2PD!pmt</vt:lpstr>
      <vt:lpstr>Price_</vt:lpstr>
      <vt:lpstr>Spread2PD!pv</vt:lpstr>
      <vt:lpstr>Spread2PD!pv_rf</vt:lpstr>
      <vt:lpstr>Spread2PD!pv_rf_</vt:lpstr>
      <vt:lpstr>Spread2PD!pv_rf_pmt</vt:lpstr>
      <vt:lpstr>range</vt:lpstr>
      <vt:lpstr>CreditMetrics!RatingLast</vt:lpstr>
      <vt:lpstr>CreditMetrics_Example!RatingLast</vt:lpstr>
      <vt:lpstr>CreditMetrics!RatingNow</vt:lpstr>
      <vt:lpstr>CreditMetrics_Example!RatingNow</vt:lpstr>
      <vt:lpstr>CreditMetrics!ratingsTbl</vt:lpstr>
      <vt:lpstr>CreditMetrics_Example!ratingsTbl</vt:lpstr>
      <vt:lpstr>Spread2PD!Recovery</vt:lpstr>
      <vt:lpstr>Sensitivity</vt:lpstr>
      <vt:lpstr>t</vt:lpstr>
      <vt:lpstr>Spread2PD!Time_</vt:lpstr>
      <vt:lpstr>Spread2PD!TimeR</vt:lpstr>
      <vt:lpstr>Spread2PD!value_rf_</vt:lpstr>
      <vt:lpstr>Spread2PD!YTM</vt:lpstr>
      <vt:lpstr>Spread2PD!YTM_rf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2017-06-30T04:35:20Z</dcterms:created>
  <dcterms:modified xsi:type="dcterms:W3CDTF">2023-01-16T15:33:36Z</dcterms:modified>
</cp:coreProperties>
</file>