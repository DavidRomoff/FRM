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C6DF3AD3-1489-8449-8ED4-C9BCE3A04A0C}" xr6:coauthVersionLast="47" xr6:coauthVersionMax="47" xr10:uidLastSave="{00000000-0000-0000-0000-000000000000}"/>
  <bookViews>
    <workbookView xWindow="-11540" yWindow="-21600" windowWidth="25480" windowHeight="21600" tabRatio="500" xr2:uid="{00000000-000D-0000-FFFF-FFFF00000000}"/>
  </bookViews>
  <sheets>
    <sheet name="Class7" sheetId="5" r:id="rId1"/>
    <sheet name="Spreads" sheetId="45" r:id="rId2"/>
    <sheet name="CDS" sheetId="18" state="hidden" r:id="rId3"/>
    <sheet name="ELoss" sheetId="21" state="hidden" r:id="rId4"/>
    <sheet name="Spread2PD" sheetId="20" state="hidden" r:id="rId5"/>
    <sheet name="CreditMetrics" sheetId="48" r:id="rId6"/>
    <sheet name="Tables" sheetId="38" state="hidden" r:id="rId7"/>
    <sheet name="TransSim" sheetId="41" state="hidden" r:id="rId8"/>
    <sheet name="Data" sheetId="42" state="hidden" r:id="rId9"/>
    <sheet name="Spread_PnL" sheetId="44" state="hidden" r:id="rId10"/>
    <sheet name="Loan_Management" sheetId="46" r:id="rId11"/>
    <sheet name="LoanCovenants" sheetId="8" state="hidden" r:id="rId12"/>
    <sheet name="LoanSegmentation" sheetId="2" state="hidden" r:id="rId13"/>
    <sheet name="CashVsProfit" sheetId="17" state="hidden" r:id="rId14"/>
    <sheet name="HazardRates" sheetId="47" r:id="rId15"/>
    <sheet name="HazardRate1" sheetId="28" state="hidden" r:id="rId16"/>
    <sheet name="HazardRate2" sheetId="29" state="hidden" r:id="rId17"/>
    <sheet name="HazardRate_Appendix" sheetId="30" state="hidden" r:id="rId18"/>
    <sheet name="Prep4NextClass" sheetId="23" r:id="rId19"/>
    <sheet name="Questions" sheetId="32" r:id="rId20"/>
    <sheet name="1_Spread2PD" sheetId="25" r:id="rId21"/>
    <sheet name="2_HazardRates" sheetId="31" r:id="rId22"/>
    <sheet name="3_CreditMetrics" sheetId="49" r:id="rId23"/>
    <sheet name="Remember" sheetId="4" r:id="rId24"/>
  </sheets>
  <externalReferences>
    <externalReference r:id="rId25"/>
    <externalReference r:id="rId26"/>
  </externalReferences>
  <definedNames>
    <definedName name="A" localSheetId="8">Data!$H$31:$M$31</definedName>
    <definedName name="A" localSheetId="9">Spread_PnL!$H$31:$M$31</definedName>
    <definedName name="A" localSheetId="7">TransSim!$H$31:$M$31</definedName>
    <definedName name="A">#REF!</definedName>
    <definedName name="avg_hazard_rate">HazardRate2!$C$10</definedName>
    <definedName name="B" localSheetId="8">Data!$H$32:$M$32</definedName>
    <definedName name="B" localSheetId="9">Spread_PnL!$H$32:$M$32</definedName>
    <definedName name="B" localSheetId="7">TransSim!$H$32:$M$32</definedName>
    <definedName name="B">#REF!</definedName>
    <definedName name="Bond_Value" localSheetId="13">#REF!</definedName>
    <definedName name="Bond_Value" localSheetId="4">Spread2PD!$G$10:$G$19</definedName>
    <definedName name="Bond_Value_" localSheetId="13">#REF!</definedName>
    <definedName name="C_" localSheetId="8">Data!$H$33:$M$33</definedName>
    <definedName name="C_" localSheetId="9">Spread_PnL!$H$33:$M$33</definedName>
    <definedName name="C_" localSheetId="7">TransSim!$H$33:$M$33</definedName>
    <definedName name="C_">#REF!</definedName>
    <definedName name="Cd" localSheetId="13">[1]Options2!#REF!</definedName>
    <definedName name="Change" localSheetId="13">[2]VaR0!#REF!</definedName>
    <definedName name="CI" localSheetId="13">#REF!</definedName>
    <definedName name="CI_lo" localSheetId="13">#REF!</definedName>
    <definedName name="CouponPmt" localSheetId="13">#REF!</definedName>
    <definedName name="CouponPmt" localSheetId="4">Spread2PD!$C$15</definedName>
    <definedName name="CouponRate" localSheetId="13">#REF!</definedName>
    <definedName name="CouponRate" localSheetId="4">Spread2PD!$C$10</definedName>
    <definedName name="Cu" localSheetId="13">[1]Options2!#REF!</definedName>
    <definedName name="D" localSheetId="8">Data!$H$34:$M$34</definedName>
    <definedName name="D" localSheetId="9">Spread_PnL!$H$34:$M$34</definedName>
    <definedName name="D" localSheetId="7">TransSim!$H$34:$M$34</definedName>
    <definedName name="D">#REF!</definedName>
    <definedName name="d1_" localSheetId="13">#REF!</definedName>
    <definedName name="d2_" localSheetId="13">#REF!</definedName>
    <definedName name="dr">#REF!</definedName>
    <definedName name="Duration">#REF!</definedName>
    <definedName name="Duration_" localSheetId="8">Data!$AA$10:$AA$109</definedName>
    <definedName name="Duration_" localSheetId="9">Spread_PnL!$AA$10:$AA$109</definedName>
    <definedName name="Duration_">#REF!</definedName>
    <definedName name="E" localSheetId="8">Data!$H$35:$M$35</definedName>
    <definedName name="E" localSheetId="9">Spread_PnL!$H$35:$M$35</definedName>
    <definedName name="E" localSheetId="7">TransSim!$H$35:$M$35</definedName>
    <definedName name="E">#REF!</definedName>
    <definedName name="Eloss" localSheetId="4">Spread2PD!$C$18</definedName>
    <definedName name="F" localSheetId="8">Data!$H$36:$M$36</definedName>
    <definedName name="F" localSheetId="9">Spread_PnL!$H$36:$M$36</definedName>
    <definedName name="F" localSheetId="7">TransSim!$H$36:$M$36</definedName>
    <definedName name="F">#REF!</definedName>
    <definedName name="Face" localSheetId="13">#REF!</definedName>
    <definedName name="Face" localSheetId="4">Spread2PD!$C$9</definedName>
    <definedName name="Frequency" localSheetId="13">#REF!</definedName>
    <definedName name="Frequency" localSheetId="4">Spread2PD!$C$11</definedName>
    <definedName name="Loss" localSheetId="4">Spread2PD!$E$32:$E$36</definedName>
    <definedName name="loss_30" localSheetId="13">#REF!</definedName>
    <definedName name="loss_t" localSheetId="13">#REF!</definedName>
    <definedName name="lossAmount" localSheetId="4">Spread2PD!$G$37</definedName>
    <definedName name="max">#REF!</definedName>
    <definedName name="Mean" localSheetId="13">#REF!</definedName>
    <definedName name="min">#REF!</definedName>
    <definedName name="n" localSheetId="13">#REF!</definedName>
    <definedName name="n" localSheetId="4">Spread2PD!$C$12</definedName>
    <definedName name="NewSpread">#REF!</definedName>
    <definedName name="Notional">#REF!</definedName>
    <definedName name="NumTable">#REF!</definedName>
    <definedName name="NumTable1" localSheetId="8">Data!$Y$10:$Z$15</definedName>
    <definedName name="NumTable1" localSheetId="9">Spread_PnL!$Y$10:$Z$15</definedName>
    <definedName name="NumTable1">TransSim!$Y$10:$Z$15</definedName>
    <definedName name="OldSpread">#REF!</definedName>
    <definedName name="p_d" localSheetId="8">Data!$AB$10:$AB$109</definedName>
    <definedName name="p_d" localSheetId="9">Spread_PnL!$AB$10:$AB$109</definedName>
    <definedName name="p_d">#REF!</definedName>
    <definedName name="Period" localSheetId="13">#REF!</definedName>
    <definedName name="Period" localSheetId="4">Spread2PD!$F$10:$F$19</definedName>
    <definedName name="pmt" localSheetId="13">#REF!</definedName>
    <definedName name="pmt" localSheetId="4">Spread2PD!$H$10:$H$19</definedName>
    <definedName name="Price" localSheetId="13">[2]VaR0!#REF!</definedName>
    <definedName name="Price_" localSheetId="8">Data!$Z$10:$Z$109</definedName>
    <definedName name="Price_" localSheetId="9">Spread_PnL!$Z$10:$Z$109</definedName>
    <definedName name="Price_">#REF!</definedName>
    <definedName name="pv" localSheetId="13">#REF!</definedName>
    <definedName name="pv" localSheetId="4">Spread2PD!$I$10:$I$19</definedName>
    <definedName name="pv_rf" localSheetId="4">Spread2PD!$J$10:$J$19</definedName>
    <definedName name="pv_rf_" localSheetId="4">Spread2PD!$F$32:$F$36</definedName>
    <definedName name="pv_rf_pmt" localSheetId="4">Spread2PD!$G$21:$G$21</definedName>
    <definedName name="q" localSheetId="13">#REF!</definedName>
    <definedName name="r_" localSheetId="13">#REF!</definedName>
    <definedName name="range">#REF!</definedName>
    <definedName name="Rating">#REF!</definedName>
    <definedName name="RatingLast" localSheetId="8">Data!$C$10:$C$109</definedName>
    <definedName name="RatingLast" localSheetId="9">Spread_PnL!$C$10:$C$109</definedName>
    <definedName name="RatingLast" localSheetId="6">Tables!$C$10:$C$109</definedName>
    <definedName name="RatingLast" localSheetId="7">TransSim!$C$10:$C$109</definedName>
    <definedName name="RatingNow" localSheetId="8">Data!$D$10:$D$109</definedName>
    <definedName name="RatingNow" localSheetId="9">Spread_PnL!$D$10:$D$109</definedName>
    <definedName name="RatingNow" localSheetId="6">Tables!$D$10:$D$109</definedName>
    <definedName name="RatingNow" localSheetId="7">TransSim!$D$10:$D$109</definedName>
    <definedName name="RatingSim" localSheetId="9">Spread_PnL!$X$10:$X$109</definedName>
    <definedName name="RatingSim">Data!$X$10:$X$109</definedName>
    <definedName name="ratingsTbl" localSheetId="8">Data!$B$2:$B$7</definedName>
    <definedName name="ratingsTbl" localSheetId="9">Spread_PnL!$B$2:$B$7</definedName>
    <definedName name="ratingsTbl" localSheetId="6">Tables!$B$2:$B$7</definedName>
    <definedName name="ratingsTbl" localSheetId="7">TransSim!$B$2:$B$7</definedName>
    <definedName name="Recovery" localSheetId="4">Spread2PD!$D$32:$D$36</definedName>
    <definedName name="s" localSheetId="13">#REF!</definedName>
    <definedName name="S0" localSheetId="13">#REF!</definedName>
    <definedName name="SD" localSheetId="13">#REF!</definedName>
    <definedName name="Sensitivity">#REF!</definedName>
    <definedName name="SpreadCh">Spread_PnL!$AI$10:$AI$109</definedName>
    <definedName name="SpreadLast">Spread_PnL!$AG$10:$AG$109</definedName>
    <definedName name="SpreadNew">Spread_PnL!$AH$10:$AH$109</definedName>
    <definedName name="t" localSheetId="13">#REF!</definedName>
    <definedName name="t">HazardRate2!$C$12:$G$12</definedName>
    <definedName name="Time" localSheetId="13">#REF!</definedName>
    <definedName name="Time_" localSheetId="4">Spread2PD!$B$32:$B$36</definedName>
    <definedName name="TimeR" localSheetId="4">Spread2PD!$C$25:$C$29</definedName>
    <definedName name="TMat">#REF!</definedName>
    <definedName name="tmat12" localSheetId="13">#REF!</definedName>
    <definedName name="value_lo" localSheetId="13">#REF!</definedName>
    <definedName name="value_rf_" localSheetId="4">Spread2PD!$C$32:$C$36</definedName>
    <definedName name="ValueCh">Spread_PnL!$AJ$10:$AJ$109</definedName>
    <definedName name="X" localSheetId="13">#REF!</definedName>
    <definedName name="YTM" localSheetId="13">#REF!</definedName>
    <definedName name="YTM" localSheetId="4">Spread2PD!$C$13</definedName>
    <definedName name="YTM_rf" localSheetId="13">#REF!</definedName>
    <definedName name="YTM_rf" localSheetId="4">Spread2PD!$C$14</definedName>
  </definedNames>
  <calcPr calcId="191029" calcMode="autoNoTable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1" i="44" l="1"/>
  <c r="AG12" i="44"/>
  <c r="AG13" i="44"/>
  <c r="AG14" i="44"/>
  <c r="AG15" i="44"/>
  <c r="AG16" i="44"/>
  <c r="AG17" i="44"/>
  <c r="AG18" i="44"/>
  <c r="AG19" i="44"/>
  <c r="AG20" i="44"/>
  <c r="AG21" i="44"/>
  <c r="AG22" i="44"/>
  <c r="AG23" i="44"/>
  <c r="AG24" i="44"/>
  <c r="AG25" i="44"/>
  <c r="AG26" i="44"/>
  <c r="AG27" i="44"/>
  <c r="AG28" i="44"/>
  <c r="AG29" i="44"/>
  <c r="AG30" i="44"/>
  <c r="AG31" i="44"/>
  <c r="AG32" i="44"/>
  <c r="AG33" i="44"/>
  <c r="AG34" i="44"/>
  <c r="AG35" i="44"/>
  <c r="AG36" i="44"/>
  <c r="AG37" i="44"/>
  <c r="AG38" i="44"/>
  <c r="AG39" i="44"/>
  <c r="AG40" i="44"/>
  <c r="AG41" i="44"/>
  <c r="AG42" i="44"/>
  <c r="AG43" i="44"/>
  <c r="AG44" i="44"/>
  <c r="AG45" i="44"/>
  <c r="AG46" i="44"/>
  <c r="AG47" i="44"/>
  <c r="AG48" i="44"/>
  <c r="AG49" i="44"/>
  <c r="AG50" i="44"/>
  <c r="AG51" i="44"/>
  <c r="AG52" i="44"/>
  <c r="AG53" i="44"/>
  <c r="AG54" i="44"/>
  <c r="AG55" i="44"/>
  <c r="AG56" i="44"/>
  <c r="AG57" i="44"/>
  <c r="AG58" i="44"/>
  <c r="AG59" i="44"/>
  <c r="AG60" i="44"/>
  <c r="AG61" i="44"/>
  <c r="AG62" i="44"/>
  <c r="AG63" i="44"/>
  <c r="AG64" i="44"/>
  <c r="AG65" i="44"/>
  <c r="AG66" i="44"/>
  <c r="AG67" i="44"/>
  <c r="AG68" i="44"/>
  <c r="AG69" i="44"/>
  <c r="AG70" i="44"/>
  <c r="AG71" i="44"/>
  <c r="AG72" i="44"/>
  <c r="AG73" i="44"/>
  <c r="AG74" i="44"/>
  <c r="AG75" i="44"/>
  <c r="AG76" i="44"/>
  <c r="AG77" i="44"/>
  <c r="AG78" i="44"/>
  <c r="AG79" i="44"/>
  <c r="AG80" i="44"/>
  <c r="AG81" i="44"/>
  <c r="AG82" i="44"/>
  <c r="AG83" i="44"/>
  <c r="AG84" i="44"/>
  <c r="AG85" i="44"/>
  <c r="AG86" i="44"/>
  <c r="AG87" i="44"/>
  <c r="AG88" i="44"/>
  <c r="AG89" i="44"/>
  <c r="AG90" i="44"/>
  <c r="AG91" i="44"/>
  <c r="AG92" i="44"/>
  <c r="AG93" i="44"/>
  <c r="AG94" i="44"/>
  <c r="AG95" i="44"/>
  <c r="AG96" i="44"/>
  <c r="AG97" i="44"/>
  <c r="AG98" i="44"/>
  <c r="AG99" i="44"/>
  <c r="AG100" i="44"/>
  <c r="AG101" i="44"/>
  <c r="AG102" i="44"/>
  <c r="AG103" i="44"/>
  <c r="AG104" i="44"/>
  <c r="AG105" i="44"/>
  <c r="AG106" i="44"/>
  <c r="AG107" i="44"/>
  <c r="AG108" i="44"/>
  <c r="AG109" i="44"/>
  <c r="AG10" i="44"/>
  <c r="V109" i="44"/>
  <c r="V108" i="44"/>
  <c r="V107" i="44"/>
  <c r="V106" i="44"/>
  <c r="V105" i="44"/>
  <c r="V104" i="44"/>
  <c r="V103" i="44"/>
  <c r="V102" i="44"/>
  <c r="V101" i="44"/>
  <c r="V100" i="44"/>
  <c r="V99" i="44"/>
  <c r="V98" i="44"/>
  <c r="V97" i="44"/>
  <c r="V96" i="44"/>
  <c r="V95" i="44"/>
  <c r="V94" i="44"/>
  <c r="V93" i="44"/>
  <c r="V92" i="44"/>
  <c r="V91" i="44"/>
  <c r="V90" i="44"/>
  <c r="V89" i="44"/>
  <c r="V88" i="44"/>
  <c r="V87" i="44"/>
  <c r="V86" i="44"/>
  <c r="V85" i="44"/>
  <c r="V84" i="44"/>
  <c r="V83" i="44"/>
  <c r="V82" i="44"/>
  <c r="V81" i="44"/>
  <c r="V80" i="44"/>
  <c r="V79" i="44"/>
  <c r="V78" i="44"/>
  <c r="V77" i="44"/>
  <c r="V76" i="44"/>
  <c r="V75" i="44"/>
  <c r="V74" i="44"/>
  <c r="V73" i="44"/>
  <c r="V72" i="44"/>
  <c r="V71" i="44"/>
  <c r="V70" i="44"/>
  <c r="V69" i="44"/>
  <c r="V68" i="44"/>
  <c r="V67" i="44"/>
  <c r="V66" i="44"/>
  <c r="V65" i="44"/>
  <c r="V64" i="44"/>
  <c r="V63" i="44"/>
  <c r="V62" i="44"/>
  <c r="V61" i="44"/>
  <c r="V60" i="44"/>
  <c r="V59" i="44"/>
  <c r="V58" i="44"/>
  <c r="V57" i="44"/>
  <c r="V56" i="44"/>
  <c r="V55" i="44"/>
  <c r="V54" i="44"/>
  <c r="V53" i="44"/>
  <c r="V52" i="44"/>
  <c r="V51" i="44"/>
  <c r="V50" i="44"/>
  <c r="V49" i="44"/>
  <c r="V48" i="44"/>
  <c r="V47" i="44"/>
  <c r="V46" i="44"/>
  <c r="V45" i="44"/>
  <c r="V44" i="44"/>
  <c r="V43" i="44"/>
  <c r="V42" i="44"/>
  <c r="V41" i="44"/>
  <c r="V40" i="44"/>
  <c r="V39" i="44"/>
  <c r="V38" i="44"/>
  <c r="V37" i="44"/>
  <c r="V36" i="44"/>
  <c r="V35" i="44"/>
  <c r="V34" i="44"/>
  <c r="V33" i="44"/>
  <c r="V32" i="44"/>
  <c r="V31" i="44"/>
  <c r="V30" i="44"/>
  <c r="V29" i="44"/>
  <c r="V28" i="44"/>
  <c r="V27" i="44"/>
  <c r="V26" i="44"/>
  <c r="V25" i="44"/>
  <c r="V24" i="44"/>
  <c r="V23" i="44"/>
  <c r="V22" i="44"/>
  <c r="V21" i="44"/>
  <c r="V20" i="44"/>
  <c r="V19" i="44"/>
  <c r="V17" i="44"/>
  <c r="V16" i="44"/>
  <c r="V15" i="44"/>
  <c r="M15" i="44"/>
  <c r="L15" i="44"/>
  <c r="K15" i="44"/>
  <c r="J15" i="44"/>
  <c r="I15" i="44"/>
  <c r="H15" i="44"/>
  <c r="V14" i="44"/>
  <c r="M14" i="44"/>
  <c r="L14" i="44"/>
  <c r="K14" i="44"/>
  <c r="J14" i="44"/>
  <c r="I14" i="44"/>
  <c r="H14" i="44"/>
  <c r="V13" i="44"/>
  <c r="M13" i="44"/>
  <c r="L13" i="44"/>
  <c r="K13" i="44"/>
  <c r="J13" i="44"/>
  <c r="I13" i="44"/>
  <c r="H13" i="44"/>
  <c r="H23" i="44" s="1" a="1"/>
  <c r="V12" i="44"/>
  <c r="M12" i="44"/>
  <c r="L12" i="44"/>
  <c r="K12" i="44"/>
  <c r="J12" i="44"/>
  <c r="I12" i="44"/>
  <c r="H12" i="44"/>
  <c r="V11" i="44"/>
  <c r="M11" i="44"/>
  <c r="L11" i="44"/>
  <c r="K11" i="44"/>
  <c r="J11" i="44"/>
  <c r="I11" i="44"/>
  <c r="H11" i="44"/>
  <c r="AB10" i="44" a="1"/>
  <c r="AB10" i="44" s="1"/>
  <c r="V10" i="44"/>
  <c r="M10" i="44"/>
  <c r="L10" i="44"/>
  <c r="K10" i="44"/>
  <c r="J10" i="44"/>
  <c r="I10" i="44"/>
  <c r="H10" i="44"/>
  <c r="O10" i="44" a="1"/>
  <c r="H22" i="44" l="1" a="1"/>
  <c r="H22" i="44" s="1"/>
  <c r="H33" i="44" s="1"/>
  <c r="H24" i="44" a="1"/>
  <c r="H25" i="44" a="1"/>
  <c r="H25" i="44" s="1"/>
  <c r="H36" i="44" s="1"/>
  <c r="O10" i="44"/>
  <c r="H21" i="44" a="1"/>
  <c r="L24" i="44"/>
  <c r="K24" i="44"/>
  <c r="J24" i="44"/>
  <c r="I24" i="44"/>
  <c r="H24" i="44"/>
  <c r="H35" i="44" s="1"/>
  <c r="H20" i="44" a="1"/>
  <c r="M24" i="44"/>
  <c r="I23" i="44"/>
  <c r="H23" i="44"/>
  <c r="H34" i="44" s="1"/>
  <c r="M23" i="44"/>
  <c r="L23" i="44"/>
  <c r="K23" i="44"/>
  <c r="J23" i="44"/>
  <c r="K22" i="44" l="1"/>
  <c r="I22" i="44"/>
  <c r="J22" i="44"/>
  <c r="L22" i="44"/>
  <c r="M22" i="44"/>
  <c r="L25" i="44"/>
  <c r="M25" i="44"/>
  <c r="I25" i="44"/>
  <c r="I36" i="44" s="1"/>
  <c r="I34" i="44"/>
  <c r="J25" i="44"/>
  <c r="I33" i="44"/>
  <c r="J33" i="44"/>
  <c r="K33" i="44" s="1"/>
  <c r="I35" i="44"/>
  <c r="J35" i="44" s="1"/>
  <c r="K35" i="44" s="1"/>
  <c r="L35" i="44" s="1"/>
  <c r="M35" i="44" s="1"/>
  <c r="K25" i="44"/>
  <c r="J34" i="44"/>
  <c r="H20" i="44"/>
  <c r="H31" i="44" s="1"/>
  <c r="M20" i="44"/>
  <c r="L20" i="44"/>
  <c r="K20" i="44"/>
  <c r="J20" i="44"/>
  <c r="I20" i="44"/>
  <c r="K21" i="44"/>
  <c r="J21" i="44"/>
  <c r="I21" i="44"/>
  <c r="H21" i="44"/>
  <c r="H32" i="44" s="1"/>
  <c r="M21" i="44"/>
  <c r="L21" i="44"/>
  <c r="P49" i="44" a="1"/>
  <c r="P35" i="44" a="1"/>
  <c r="P54" i="44" a="1"/>
  <c r="P91" i="44" a="1"/>
  <c r="P11" i="44" a="1"/>
  <c r="P21" i="44" a="1"/>
  <c r="P15" i="44" a="1"/>
  <c r="P92" i="44" a="1"/>
  <c r="P90" i="44" a="1"/>
  <c r="P44" i="44" a="1"/>
  <c r="P29" i="44" a="1"/>
  <c r="P95" i="44" a="1"/>
  <c r="P58" i="44" a="1"/>
  <c r="P55" i="44" a="1"/>
  <c r="P63" i="44" a="1"/>
  <c r="P87" i="44" a="1"/>
  <c r="P46" i="44" a="1"/>
  <c r="P88" i="44" a="1"/>
  <c r="P102" i="44" a="1"/>
  <c r="J36" i="44" l="1"/>
  <c r="K36" i="44"/>
  <c r="I32" i="44"/>
  <c r="J32" i="44" s="1"/>
  <c r="K32" i="44" s="1"/>
  <c r="L32" i="44" s="1"/>
  <c r="M32" i="44" s="1"/>
  <c r="P44" i="44"/>
  <c r="W44" i="44" s="1" a="1"/>
  <c r="W44" i="44" s="1"/>
  <c r="X44" i="44" s="1"/>
  <c r="AH44" i="44" s="1"/>
  <c r="AI44" i="44" s="1"/>
  <c r="AJ44" i="44" s="1"/>
  <c r="P49" i="44"/>
  <c r="W49" i="44" s="1" a="1"/>
  <c r="W49" i="44" s="1"/>
  <c r="X49" i="44" s="1"/>
  <c r="AH49" i="44" s="1"/>
  <c r="AI49" i="44" s="1"/>
  <c r="AJ49" i="44" s="1"/>
  <c r="P54" i="44"/>
  <c r="W54" i="44" s="1" a="1"/>
  <c r="W54" i="44" s="1"/>
  <c r="X54" i="44" s="1"/>
  <c r="AH54" i="44" s="1"/>
  <c r="AI54" i="44" s="1"/>
  <c r="AJ54" i="44" s="1"/>
  <c r="P11" i="44"/>
  <c r="W11" i="44" s="1" a="1"/>
  <c r="W11" i="44" s="1"/>
  <c r="X11" i="44" s="1"/>
  <c r="AH11" i="44" s="1"/>
  <c r="AI11" i="44" s="1"/>
  <c r="AJ11" i="44" s="1"/>
  <c r="P29" i="44"/>
  <c r="W29" i="44" s="1" a="1"/>
  <c r="W29" i="44" s="1"/>
  <c r="X29" i="44" s="1"/>
  <c r="AH29" i="44" s="1"/>
  <c r="AI29" i="44" s="1"/>
  <c r="AJ29" i="44" s="1"/>
  <c r="P92" i="44"/>
  <c r="W92" i="44" s="1" a="1"/>
  <c r="W92" i="44" s="1"/>
  <c r="X92" i="44" s="1"/>
  <c r="AH92" i="44" s="1"/>
  <c r="AI92" i="44" s="1"/>
  <c r="AJ92" i="44" s="1"/>
  <c r="P46" i="44"/>
  <c r="W46" i="44" s="1" a="1"/>
  <c r="W46" i="44" s="1"/>
  <c r="X46" i="44" s="1"/>
  <c r="AH46" i="44" s="1"/>
  <c r="AI46" i="44" s="1"/>
  <c r="AJ46" i="44" s="1"/>
  <c r="P95" i="44"/>
  <c r="W95" i="44" s="1" a="1"/>
  <c r="W95" i="44" s="1"/>
  <c r="X95" i="44" s="1"/>
  <c r="AH95" i="44" s="1"/>
  <c r="AI95" i="44" s="1"/>
  <c r="AJ95" i="44" s="1"/>
  <c r="P63" i="44"/>
  <c r="W63" i="44" s="1" a="1"/>
  <c r="W63" i="44" s="1"/>
  <c r="X63" i="44" s="1"/>
  <c r="AH63" i="44" s="1"/>
  <c r="AI63" i="44" s="1"/>
  <c r="AJ63" i="44" s="1"/>
  <c r="P88" i="44"/>
  <c r="W88" i="44" s="1" a="1"/>
  <c r="W88" i="44" s="1"/>
  <c r="X88" i="44" s="1"/>
  <c r="AH88" i="44" s="1"/>
  <c r="AI88" i="44" s="1"/>
  <c r="AJ88" i="44" s="1"/>
  <c r="P21" i="44"/>
  <c r="W21" i="44" s="1" a="1"/>
  <c r="W21" i="44" s="1"/>
  <c r="X21" i="44" s="1"/>
  <c r="AH21" i="44" s="1"/>
  <c r="AI21" i="44" s="1"/>
  <c r="AJ21" i="44" s="1"/>
  <c r="P102" i="44"/>
  <c r="W102" i="44" s="1" a="1"/>
  <c r="W102" i="44" s="1"/>
  <c r="X102" i="44" s="1"/>
  <c r="AH102" i="44" s="1"/>
  <c r="AI102" i="44" s="1"/>
  <c r="AJ102" i="44" s="1"/>
  <c r="P90" i="44"/>
  <c r="W90" i="44" s="1" a="1"/>
  <c r="W90" i="44" s="1"/>
  <c r="X90" i="44" s="1"/>
  <c r="AH90" i="44" s="1"/>
  <c r="AI90" i="44" s="1"/>
  <c r="AJ90" i="44" s="1"/>
  <c r="P55" i="44"/>
  <c r="W55" i="44" s="1" a="1"/>
  <c r="W55" i="44" s="1"/>
  <c r="X55" i="44" s="1"/>
  <c r="AH55" i="44" s="1"/>
  <c r="AI55" i="44" s="1"/>
  <c r="AJ55" i="44" s="1"/>
  <c r="P15" i="44"/>
  <c r="W15" i="44" s="1" a="1"/>
  <c r="W15" i="44" s="1"/>
  <c r="X15" i="44" s="1"/>
  <c r="AH15" i="44" s="1"/>
  <c r="AI15" i="44" s="1"/>
  <c r="AJ15" i="44" s="1"/>
  <c r="P91" i="44"/>
  <c r="W91" i="44" s="1" a="1"/>
  <c r="W91" i="44" s="1"/>
  <c r="X91" i="44" s="1"/>
  <c r="AH91" i="44" s="1"/>
  <c r="AI91" i="44" s="1"/>
  <c r="AJ91" i="44" s="1"/>
  <c r="P87" i="44"/>
  <c r="W87" i="44" s="1" a="1"/>
  <c r="W87" i="44" s="1"/>
  <c r="X87" i="44" s="1"/>
  <c r="AH87" i="44" s="1"/>
  <c r="AI87" i="44" s="1"/>
  <c r="AJ87" i="44" s="1"/>
  <c r="P58" i="44"/>
  <c r="W58" i="44" s="1" a="1"/>
  <c r="W58" i="44" s="1"/>
  <c r="X58" i="44" s="1"/>
  <c r="AH58" i="44" s="1"/>
  <c r="AI58" i="44" s="1"/>
  <c r="AJ58" i="44" s="1"/>
  <c r="P35" i="44"/>
  <c r="W35" i="44" s="1" a="1"/>
  <c r="W35" i="44" s="1"/>
  <c r="X35" i="44" s="1"/>
  <c r="AH35" i="44" s="1"/>
  <c r="AI35" i="44" s="1"/>
  <c r="AJ35" i="44" s="1"/>
  <c r="K34" i="44"/>
  <c r="I31" i="44"/>
  <c r="J31" i="44" s="1"/>
  <c r="K31" i="44" s="1"/>
  <c r="L31" i="44" s="1"/>
  <c r="M31" i="44" s="1"/>
  <c r="L33" i="44"/>
  <c r="P96" i="44" a="1"/>
  <c r="P108" i="44" a="1"/>
  <c r="P45" i="44" a="1"/>
  <c r="P78" i="44" a="1"/>
  <c r="P43" i="44" a="1"/>
  <c r="P93" i="44" a="1"/>
  <c r="P52" i="44" a="1"/>
  <c r="P38" i="44" a="1"/>
  <c r="P85" i="44" a="1"/>
  <c r="P41" i="44" a="1"/>
  <c r="P83" i="44" a="1"/>
  <c r="P33" i="44" a="1"/>
  <c r="P73" i="44" a="1"/>
  <c r="P24" i="44" a="1"/>
  <c r="P27" i="44" a="1"/>
  <c r="P34" i="44" a="1"/>
  <c r="P74" i="44" a="1"/>
  <c r="P50" i="44" a="1"/>
  <c r="P69" i="44" a="1"/>
  <c r="P53" i="44" a="1"/>
  <c r="P16" i="44" a="1"/>
  <c r="P97" i="44" a="1"/>
  <c r="P82" i="44" a="1"/>
  <c r="P89" i="44" a="1"/>
  <c r="P48" i="44" a="1"/>
  <c r="P39" i="44" a="1"/>
  <c r="L36" i="44" l="1"/>
  <c r="P39" i="44"/>
  <c r="W39" i="44" s="1" a="1"/>
  <c r="W39" i="44" s="1"/>
  <c r="X39" i="44" s="1"/>
  <c r="AH39" i="44" s="1"/>
  <c r="AI39" i="44" s="1"/>
  <c r="AJ39" i="44" s="1"/>
  <c r="P74" i="44"/>
  <c r="W74" i="44" s="1" a="1"/>
  <c r="W74" i="44" s="1"/>
  <c r="X74" i="44" s="1"/>
  <c r="AH74" i="44" s="1"/>
  <c r="AI74" i="44" s="1"/>
  <c r="AJ74" i="44" s="1"/>
  <c r="P82" i="44"/>
  <c r="W82" i="44" s="1" a="1"/>
  <c r="W82" i="44" s="1"/>
  <c r="X82" i="44" s="1"/>
  <c r="AH82" i="44" s="1"/>
  <c r="AI82" i="44" s="1"/>
  <c r="AJ82" i="44" s="1"/>
  <c r="P89" i="44"/>
  <c r="W89" i="44" s="1" a="1"/>
  <c r="W89" i="44" s="1"/>
  <c r="X89" i="44" s="1"/>
  <c r="AH89" i="44" s="1"/>
  <c r="AI89" i="44" s="1"/>
  <c r="AJ89" i="44" s="1"/>
  <c r="P52" i="44"/>
  <c r="W52" i="44" s="1" a="1"/>
  <c r="W52" i="44" s="1"/>
  <c r="X52" i="44" s="1"/>
  <c r="AH52" i="44" s="1"/>
  <c r="AI52" i="44" s="1"/>
  <c r="AJ52" i="44" s="1"/>
  <c r="P85" i="44"/>
  <c r="W85" i="44" s="1" a="1"/>
  <c r="W85" i="44" s="1"/>
  <c r="X85" i="44" s="1"/>
  <c r="AH85" i="44" s="1"/>
  <c r="AI85" i="44" s="1"/>
  <c r="AJ85" i="44" s="1"/>
  <c r="P48" i="44"/>
  <c r="W48" i="44" s="1" a="1"/>
  <c r="W48" i="44" s="1"/>
  <c r="X48" i="44" s="1"/>
  <c r="AH48" i="44" s="1"/>
  <c r="AI48" i="44" s="1"/>
  <c r="AJ48" i="44" s="1"/>
  <c r="P93" i="44"/>
  <c r="W93" i="44" s="1" a="1"/>
  <c r="W93" i="44" s="1"/>
  <c r="X93" i="44" s="1"/>
  <c r="AH93" i="44" s="1"/>
  <c r="AI93" i="44" s="1"/>
  <c r="AJ93" i="44" s="1"/>
  <c r="P27" i="44"/>
  <c r="W27" i="44" s="1" a="1"/>
  <c r="W27" i="44" s="1"/>
  <c r="X27" i="44" s="1"/>
  <c r="AH27" i="44" s="1"/>
  <c r="AI27" i="44" s="1"/>
  <c r="AJ27" i="44" s="1"/>
  <c r="P97" i="44"/>
  <c r="W97" i="44" s="1" a="1"/>
  <c r="W97" i="44" s="1"/>
  <c r="X97" i="44" s="1"/>
  <c r="AH97" i="44" s="1"/>
  <c r="AI97" i="44" s="1"/>
  <c r="AJ97" i="44" s="1"/>
  <c r="P69" i="44"/>
  <c r="W69" i="44" s="1" a="1"/>
  <c r="W69" i="44" s="1"/>
  <c r="X69" i="44" s="1"/>
  <c r="AH69" i="44" s="1"/>
  <c r="AI69" i="44" s="1"/>
  <c r="AJ69" i="44" s="1"/>
  <c r="P41" i="44"/>
  <c r="W41" i="44" s="1" a="1"/>
  <c r="W41" i="44" s="1"/>
  <c r="X41" i="44" s="1"/>
  <c r="AH41" i="44" s="1"/>
  <c r="AI41" i="44" s="1"/>
  <c r="AJ41" i="44" s="1"/>
  <c r="P73" i="44"/>
  <c r="W73" i="44" s="1" a="1"/>
  <c r="W73" i="44" s="1"/>
  <c r="X73" i="44" s="1"/>
  <c r="AH73" i="44" s="1"/>
  <c r="AI73" i="44" s="1"/>
  <c r="AJ73" i="44" s="1"/>
  <c r="P43" i="44"/>
  <c r="W43" i="44" s="1" a="1"/>
  <c r="W43" i="44" s="1"/>
  <c r="X43" i="44" s="1"/>
  <c r="AH43" i="44" s="1"/>
  <c r="AI43" i="44" s="1"/>
  <c r="AJ43" i="44" s="1"/>
  <c r="P38" i="44"/>
  <c r="W38" i="44" s="1" a="1"/>
  <c r="W38" i="44" s="1"/>
  <c r="X38" i="44" s="1"/>
  <c r="AH38" i="44" s="1"/>
  <c r="AI38" i="44" s="1"/>
  <c r="AJ38" i="44" s="1"/>
  <c r="P45" i="44"/>
  <c r="W45" i="44" s="1" a="1"/>
  <c r="W45" i="44" s="1"/>
  <c r="X45" i="44" s="1"/>
  <c r="AH45" i="44" s="1"/>
  <c r="AI45" i="44" s="1"/>
  <c r="AJ45" i="44" s="1"/>
  <c r="P50" i="44"/>
  <c r="W50" i="44" s="1" a="1"/>
  <c r="W50" i="44" s="1"/>
  <c r="X50" i="44" s="1"/>
  <c r="AH50" i="44" s="1"/>
  <c r="AI50" i="44" s="1"/>
  <c r="AJ50" i="44" s="1"/>
  <c r="P34" i="44"/>
  <c r="W34" i="44" s="1" a="1"/>
  <c r="W34" i="44" s="1"/>
  <c r="X34" i="44" s="1"/>
  <c r="AH34" i="44" s="1"/>
  <c r="AI34" i="44" s="1"/>
  <c r="AJ34" i="44" s="1"/>
  <c r="P96" i="44"/>
  <c r="W96" i="44" s="1" a="1"/>
  <c r="W96" i="44" s="1"/>
  <c r="X96" i="44" s="1"/>
  <c r="AH96" i="44" s="1"/>
  <c r="AI96" i="44" s="1"/>
  <c r="AJ96" i="44" s="1"/>
  <c r="P53" i="44"/>
  <c r="W53" i="44" s="1" a="1"/>
  <c r="W53" i="44" s="1"/>
  <c r="X53" i="44" s="1"/>
  <c r="AH53" i="44" s="1"/>
  <c r="AI53" i="44" s="1"/>
  <c r="AJ53" i="44" s="1"/>
  <c r="P24" i="44"/>
  <c r="W24" i="44" s="1" a="1"/>
  <c r="W24" i="44" s="1"/>
  <c r="X24" i="44" s="1"/>
  <c r="AH24" i="44" s="1"/>
  <c r="AI24" i="44" s="1"/>
  <c r="AJ24" i="44" s="1"/>
  <c r="P33" i="44"/>
  <c r="W33" i="44" s="1" a="1"/>
  <c r="W33" i="44" s="1"/>
  <c r="X33" i="44" s="1"/>
  <c r="AH33" i="44" s="1"/>
  <c r="AI33" i="44" s="1"/>
  <c r="AJ33" i="44" s="1"/>
  <c r="P78" i="44"/>
  <c r="W78" i="44" s="1" a="1"/>
  <c r="W78" i="44" s="1"/>
  <c r="X78" i="44" s="1"/>
  <c r="AH78" i="44" s="1"/>
  <c r="AI78" i="44" s="1"/>
  <c r="AJ78" i="44" s="1"/>
  <c r="P16" i="44"/>
  <c r="W16" i="44" s="1" a="1"/>
  <c r="W16" i="44" s="1"/>
  <c r="X16" i="44" s="1"/>
  <c r="AH16" i="44" s="1"/>
  <c r="AI16" i="44" s="1"/>
  <c r="AJ16" i="44" s="1"/>
  <c r="P108" i="44"/>
  <c r="W108" i="44" s="1" a="1"/>
  <c r="W108" i="44" s="1"/>
  <c r="X108" i="44" s="1"/>
  <c r="AH108" i="44" s="1"/>
  <c r="AI108" i="44" s="1"/>
  <c r="AJ108" i="44" s="1"/>
  <c r="P83" i="44"/>
  <c r="W83" i="44" s="1" a="1"/>
  <c r="W83" i="44" s="1"/>
  <c r="X83" i="44" s="1"/>
  <c r="AH83" i="44" s="1"/>
  <c r="AI83" i="44" s="1"/>
  <c r="AJ83" i="44" s="1"/>
  <c r="L34" i="44"/>
  <c r="M33" i="44"/>
  <c r="P20" i="44" a="1"/>
  <c r="P17" i="44" a="1"/>
  <c r="P18" i="44" a="1"/>
  <c r="P19" i="44" a="1"/>
  <c r="P79" i="44" a="1"/>
  <c r="P71" i="44" a="1"/>
  <c r="P75" i="44" a="1"/>
  <c r="P22" i="44" a="1"/>
  <c r="P98" i="44" a="1"/>
  <c r="P106" i="44" a="1"/>
  <c r="P64" i="44" a="1"/>
  <c r="P66" i="44" a="1"/>
  <c r="P99" i="44" a="1"/>
  <c r="P72" i="44" a="1"/>
  <c r="M36" i="44" l="1"/>
  <c r="P22" i="44"/>
  <c r="W22" i="44" s="1" a="1"/>
  <c r="W22" i="44" s="1"/>
  <c r="X22" i="44" s="1"/>
  <c r="AH22" i="44" s="1"/>
  <c r="AI22" i="44" s="1"/>
  <c r="AJ22" i="44" s="1"/>
  <c r="P18" i="44"/>
  <c r="W18" i="44" s="1" a="1"/>
  <c r="W18" i="44" s="1"/>
  <c r="X18" i="44" s="1"/>
  <c r="AH18" i="44" s="1"/>
  <c r="AI18" i="44" s="1"/>
  <c r="AJ18" i="44" s="1"/>
  <c r="P79" i="44"/>
  <c r="W79" i="44" s="1" a="1"/>
  <c r="W79" i="44" s="1"/>
  <c r="X79" i="44" s="1"/>
  <c r="AH79" i="44" s="1"/>
  <c r="AI79" i="44" s="1"/>
  <c r="AJ79" i="44" s="1"/>
  <c r="P72" i="44"/>
  <c r="W72" i="44" s="1" a="1"/>
  <c r="W72" i="44" s="1"/>
  <c r="X72" i="44" s="1"/>
  <c r="AH72" i="44" s="1"/>
  <c r="AI72" i="44" s="1"/>
  <c r="AJ72" i="44" s="1"/>
  <c r="P75" i="44"/>
  <c r="W75" i="44" s="1" a="1"/>
  <c r="W75" i="44" s="1"/>
  <c r="X75" i="44" s="1"/>
  <c r="AH75" i="44" s="1"/>
  <c r="AI75" i="44" s="1"/>
  <c r="AJ75" i="44" s="1"/>
  <c r="P71" i="44"/>
  <c r="W71" i="44" s="1" a="1"/>
  <c r="W71" i="44" s="1"/>
  <c r="X71" i="44" s="1"/>
  <c r="AH71" i="44" s="1"/>
  <c r="AI71" i="44" s="1"/>
  <c r="AJ71" i="44" s="1"/>
  <c r="P64" i="44"/>
  <c r="W64" i="44" s="1" a="1"/>
  <c r="W64" i="44" s="1"/>
  <c r="X64" i="44" s="1"/>
  <c r="AH64" i="44" s="1"/>
  <c r="AI64" i="44" s="1"/>
  <c r="AJ64" i="44" s="1"/>
  <c r="P99" i="44"/>
  <c r="W99" i="44" s="1" a="1"/>
  <c r="W99" i="44" s="1"/>
  <c r="X99" i="44" s="1"/>
  <c r="AH99" i="44" s="1"/>
  <c r="AI99" i="44" s="1"/>
  <c r="AJ99" i="44" s="1"/>
  <c r="P106" i="44"/>
  <c r="W106" i="44" s="1" a="1"/>
  <c r="W106" i="44" s="1"/>
  <c r="X106" i="44" s="1"/>
  <c r="AH106" i="44" s="1"/>
  <c r="AI106" i="44" s="1"/>
  <c r="AJ106" i="44" s="1"/>
  <c r="P98" i="44"/>
  <c r="W98" i="44" s="1" a="1"/>
  <c r="W98" i="44" s="1"/>
  <c r="X98" i="44" s="1"/>
  <c r="AH98" i="44" s="1"/>
  <c r="AI98" i="44" s="1"/>
  <c r="AJ98" i="44" s="1"/>
  <c r="P17" i="44"/>
  <c r="W17" i="44" s="1" a="1"/>
  <c r="W17" i="44" s="1"/>
  <c r="X17" i="44" s="1"/>
  <c r="AH17" i="44" s="1"/>
  <c r="AI17" i="44" s="1"/>
  <c r="AJ17" i="44" s="1"/>
  <c r="P20" i="44"/>
  <c r="W20" i="44" s="1" a="1"/>
  <c r="W20" i="44" s="1"/>
  <c r="X20" i="44" s="1"/>
  <c r="AH20" i="44" s="1"/>
  <c r="AI20" i="44" s="1"/>
  <c r="AJ20" i="44" s="1"/>
  <c r="P66" i="44"/>
  <c r="W66" i="44" s="1" a="1"/>
  <c r="W66" i="44" s="1"/>
  <c r="X66" i="44" s="1"/>
  <c r="AH66" i="44" s="1"/>
  <c r="AI66" i="44" s="1"/>
  <c r="AJ66" i="44" s="1"/>
  <c r="P19" i="44"/>
  <c r="W19" i="44" s="1" a="1"/>
  <c r="W19" i="44" s="1"/>
  <c r="X19" i="44" s="1"/>
  <c r="AH19" i="44" s="1"/>
  <c r="AI19" i="44" s="1"/>
  <c r="AJ19" i="44" s="1"/>
  <c r="M34" i="44"/>
  <c r="P37" i="44" a="1"/>
  <c r="P80" i="44" a="1"/>
  <c r="P94" i="44" a="1"/>
  <c r="P26" i="44" a="1"/>
  <c r="P59" i="44" a="1"/>
  <c r="P67" i="44" a="1"/>
  <c r="P25" i="44" a="1"/>
  <c r="P104" i="44" a="1"/>
  <c r="P100" i="44" a="1"/>
  <c r="P23" i="44" a="1"/>
  <c r="P109" i="44" a="1"/>
  <c r="P10" i="44" a="1"/>
  <c r="P40" i="44" a="1"/>
  <c r="P42" i="44" a="1"/>
  <c r="P61" i="44" a="1"/>
  <c r="P57" i="44" a="1"/>
  <c r="P13" i="44" a="1"/>
  <c r="P81" i="44" a="1"/>
  <c r="P51" i="44" a="1"/>
  <c r="P36" i="44" a="1"/>
  <c r="P32" i="44" a="1"/>
  <c r="P28" i="44" a="1"/>
  <c r="P12" i="44" a="1"/>
  <c r="P68" i="44" a="1"/>
  <c r="P101" i="44" a="1"/>
  <c r="P70" i="44" a="1"/>
  <c r="P14" i="44" a="1"/>
  <c r="P86" i="44" a="1"/>
  <c r="P103" i="44" a="1"/>
  <c r="P76" i="44" a="1"/>
  <c r="P107" i="44" a="1"/>
  <c r="P77" i="44" a="1"/>
  <c r="P30" i="44" a="1"/>
  <c r="P60" i="44" a="1"/>
  <c r="P47" i="44" a="1"/>
  <c r="P65" i="44" a="1"/>
  <c r="P84" i="44" a="1"/>
  <c r="P56" i="44" a="1"/>
  <c r="P105" i="44" a="1"/>
  <c r="P62" i="44" a="1"/>
  <c r="P31" i="44" a="1"/>
  <c r="P101" i="44" l="1"/>
  <c r="W101" i="44" s="1" a="1"/>
  <c r="W101" i="44" s="1"/>
  <c r="X101" i="44" s="1"/>
  <c r="AH101" i="44" s="1"/>
  <c r="AI101" i="44" s="1"/>
  <c r="AJ101" i="44" s="1"/>
  <c r="P86" i="44"/>
  <c r="W86" i="44" s="1" a="1"/>
  <c r="W86" i="44" s="1"/>
  <c r="X86" i="44" s="1"/>
  <c r="AH86" i="44" s="1"/>
  <c r="AI86" i="44" s="1"/>
  <c r="AJ86" i="44" s="1"/>
  <c r="P57" i="44"/>
  <c r="W57" i="44" s="1" a="1"/>
  <c r="W57" i="44" s="1"/>
  <c r="X57" i="44" s="1"/>
  <c r="AH57" i="44" s="1"/>
  <c r="AI57" i="44" s="1"/>
  <c r="AJ57" i="44" s="1"/>
  <c r="P70" i="44"/>
  <c r="W70" i="44" s="1" a="1"/>
  <c r="W70" i="44" s="1"/>
  <c r="X70" i="44" s="1"/>
  <c r="AH70" i="44" s="1"/>
  <c r="AI70" i="44" s="1"/>
  <c r="AJ70" i="44" s="1"/>
  <c r="P25" i="44"/>
  <c r="W25" i="44" s="1" a="1"/>
  <c r="W25" i="44" s="1"/>
  <c r="X25" i="44" s="1"/>
  <c r="AH25" i="44" s="1"/>
  <c r="AI25" i="44" s="1"/>
  <c r="AJ25" i="44" s="1"/>
  <c r="P37" i="44"/>
  <c r="W37" i="44" s="1" a="1"/>
  <c r="W37" i="44" s="1"/>
  <c r="X37" i="44" s="1"/>
  <c r="AH37" i="44" s="1"/>
  <c r="AI37" i="44" s="1"/>
  <c r="AJ37" i="44" s="1"/>
  <c r="P60" i="44"/>
  <c r="W60" i="44" s="1" a="1"/>
  <c r="W60" i="44" s="1"/>
  <c r="X60" i="44" s="1"/>
  <c r="AH60" i="44" s="1"/>
  <c r="AI60" i="44" s="1"/>
  <c r="AJ60" i="44" s="1"/>
  <c r="P67" i="44"/>
  <c r="W67" i="44" s="1" a="1"/>
  <c r="W67" i="44" s="1"/>
  <c r="X67" i="44" s="1"/>
  <c r="AH67" i="44" s="1"/>
  <c r="AI67" i="44" s="1"/>
  <c r="AJ67" i="44" s="1"/>
  <c r="P62" i="44"/>
  <c r="W62" i="44" s="1" a="1"/>
  <c r="W62" i="44" s="1"/>
  <c r="X62" i="44" s="1"/>
  <c r="AH62" i="44" s="1"/>
  <c r="AI62" i="44" s="1"/>
  <c r="AJ62" i="44" s="1"/>
  <c r="P31" i="44"/>
  <c r="W31" i="44" s="1" a="1"/>
  <c r="W31" i="44" s="1"/>
  <c r="X31" i="44" s="1"/>
  <c r="AH31" i="44" s="1"/>
  <c r="AI31" i="44" s="1"/>
  <c r="AJ31" i="44" s="1"/>
  <c r="P105" i="44"/>
  <c r="W105" i="44" s="1" a="1"/>
  <c r="W105" i="44" s="1"/>
  <c r="X105" i="44" s="1"/>
  <c r="AH105" i="44" s="1"/>
  <c r="AI105" i="44" s="1"/>
  <c r="AJ105" i="44" s="1"/>
  <c r="P10" i="44"/>
  <c r="W10" i="44" s="1" a="1"/>
  <c r="W10" i="44" s="1"/>
  <c r="X10" i="44" s="1"/>
  <c r="AH10" i="44" s="1"/>
  <c r="AI10" i="44" s="1"/>
  <c r="AJ10" i="44" s="1"/>
  <c r="P94" i="44"/>
  <c r="W94" i="44" s="1" a="1"/>
  <c r="W94" i="44" s="1"/>
  <c r="X94" i="44" s="1"/>
  <c r="AH94" i="44" s="1"/>
  <c r="AI94" i="44" s="1"/>
  <c r="AJ94" i="44" s="1"/>
  <c r="P40" i="44"/>
  <c r="W40" i="44" s="1" a="1"/>
  <c r="W40" i="44" s="1"/>
  <c r="X40" i="44" s="1"/>
  <c r="AH40" i="44" s="1"/>
  <c r="AI40" i="44" s="1"/>
  <c r="AJ40" i="44" s="1"/>
  <c r="P104" i="44"/>
  <c r="W104" i="44" s="1" a="1"/>
  <c r="W104" i="44" s="1"/>
  <c r="X104" i="44" s="1"/>
  <c r="AH104" i="44" s="1"/>
  <c r="AI104" i="44" s="1"/>
  <c r="AJ104" i="44" s="1"/>
  <c r="P47" i="44"/>
  <c r="W47" i="44" s="1" a="1"/>
  <c r="W47" i="44" s="1"/>
  <c r="X47" i="44" s="1"/>
  <c r="AH47" i="44" s="1"/>
  <c r="AI47" i="44" s="1"/>
  <c r="AJ47" i="44" s="1"/>
  <c r="P42" i="44"/>
  <c r="W42" i="44" s="1" a="1"/>
  <c r="W42" i="44" s="1"/>
  <c r="X42" i="44" s="1"/>
  <c r="AH42" i="44" s="1"/>
  <c r="AI42" i="44" s="1"/>
  <c r="AJ42" i="44" s="1"/>
  <c r="P13" i="44"/>
  <c r="W13" i="44" s="1" a="1"/>
  <c r="W13" i="44" s="1"/>
  <c r="X13" i="44" s="1"/>
  <c r="AH13" i="44" s="1"/>
  <c r="AI13" i="44" s="1"/>
  <c r="AJ13" i="44" s="1"/>
  <c r="P81" i="44"/>
  <c r="W81" i="44" s="1" a="1"/>
  <c r="W81" i="44" s="1"/>
  <c r="X81" i="44" s="1"/>
  <c r="AH81" i="44" s="1"/>
  <c r="AI81" i="44" s="1"/>
  <c r="AJ81" i="44" s="1"/>
  <c r="P103" i="44"/>
  <c r="W103" i="44" s="1" a="1"/>
  <c r="W103" i="44" s="1"/>
  <c r="X103" i="44" s="1"/>
  <c r="AH103" i="44" s="1"/>
  <c r="AI103" i="44" s="1"/>
  <c r="AJ103" i="44" s="1"/>
  <c r="P23" i="44"/>
  <c r="W23" i="44" s="1" a="1"/>
  <c r="W23" i="44" s="1"/>
  <c r="X23" i="44" s="1"/>
  <c r="AH23" i="44" s="1"/>
  <c r="AI23" i="44" s="1"/>
  <c r="AJ23" i="44" s="1"/>
  <c r="P80" i="44"/>
  <c r="W80" i="44" s="1" a="1"/>
  <c r="W80" i="44" s="1"/>
  <c r="X80" i="44" s="1"/>
  <c r="AH80" i="44" s="1"/>
  <c r="AI80" i="44" s="1"/>
  <c r="AJ80" i="44" s="1"/>
  <c r="P26" i="44"/>
  <c r="W26" i="44" s="1" a="1"/>
  <c r="W26" i="44" s="1"/>
  <c r="X26" i="44" s="1"/>
  <c r="AH26" i="44" s="1"/>
  <c r="AI26" i="44" s="1"/>
  <c r="AJ26" i="44" s="1"/>
  <c r="P84" i="44"/>
  <c r="W84" i="44" s="1" a="1"/>
  <c r="W84" i="44" s="1"/>
  <c r="X84" i="44" s="1"/>
  <c r="AH84" i="44" s="1"/>
  <c r="AI84" i="44" s="1"/>
  <c r="AJ84" i="44" s="1"/>
  <c r="P59" i="44"/>
  <c r="W59" i="44" s="1" a="1"/>
  <c r="W59" i="44" s="1"/>
  <c r="X59" i="44" s="1"/>
  <c r="AH59" i="44" s="1"/>
  <c r="AI59" i="44" s="1"/>
  <c r="AJ59" i="44" s="1"/>
  <c r="P61" i="44"/>
  <c r="W61" i="44" s="1" a="1"/>
  <c r="W61" i="44" s="1"/>
  <c r="X61" i="44" s="1"/>
  <c r="AH61" i="44" s="1"/>
  <c r="AI61" i="44" s="1"/>
  <c r="AJ61" i="44" s="1"/>
  <c r="P30" i="44"/>
  <c r="W30" i="44" s="1" a="1"/>
  <c r="W30" i="44" s="1"/>
  <c r="X30" i="44" s="1"/>
  <c r="AH30" i="44" s="1"/>
  <c r="AI30" i="44" s="1"/>
  <c r="AJ30" i="44" s="1"/>
  <c r="P56" i="44"/>
  <c r="W56" i="44" s="1" a="1"/>
  <c r="W56" i="44" s="1"/>
  <c r="X56" i="44" s="1"/>
  <c r="AH56" i="44" s="1"/>
  <c r="AI56" i="44" s="1"/>
  <c r="AJ56" i="44" s="1"/>
  <c r="P14" i="44"/>
  <c r="W14" i="44" s="1" a="1"/>
  <c r="W14" i="44" s="1"/>
  <c r="X14" i="44" s="1"/>
  <c r="AH14" i="44" s="1"/>
  <c r="AI14" i="44" s="1"/>
  <c r="AJ14" i="44" s="1"/>
  <c r="P65" i="44"/>
  <c r="W65" i="44" s="1" a="1"/>
  <c r="W65" i="44" s="1"/>
  <c r="X65" i="44" s="1"/>
  <c r="AH65" i="44" s="1"/>
  <c r="AI65" i="44" s="1"/>
  <c r="AJ65" i="44" s="1"/>
  <c r="P32" i="44"/>
  <c r="W32" i="44" s="1" a="1"/>
  <c r="W32" i="44" s="1"/>
  <c r="X32" i="44" s="1"/>
  <c r="AH32" i="44" s="1"/>
  <c r="AI32" i="44" s="1"/>
  <c r="AJ32" i="44" s="1"/>
  <c r="P12" i="44"/>
  <c r="W12" i="44" s="1" a="1"/>
  <c r="W12" i="44" s="1"/>
  <c r="X12" i="44" s="1"/>
  <c r="AH12" i="44" s="1"/>
  <c r="AI12" i="44" s="1"/>
  <c r="AJ12" i="44" s="1"/>
  <c r="P28" i="44"/>
  <c r="W28" i="44" s="1" a="1"/>
  <c r="W28" i="44" s="1"/>
  <c r="X28" i="44" s="1"/>
  <c r="AH28" i="44" s="1"/>
  <c r="AI28" i="44" s="1"/>
  <c r="AJ28" i="44" s="1"/>
  <c r="P36" i="44"/>
  <c r="W36" i="44" s="1" a="1"/>
  <c r="W36" i="44" s="1"/>
  <c r="X36" i="44" s="1"/>
  <c r="AH36" i="44" s="1"/>
  <c r="AI36" i="44" s="1"/>
  <c r="AJ36" i="44" s="1"/>
  <c r="P68" i="44"/>
  <c r="W68" i="44" s="1" a="1"/>
  <c r="W68" i="44" s="1"/>
  <c r="X68" i="44" s="1"/>
  <c r="AH68" i="44" s="1"/>
  <c r="AI68" i="44" s="1"/>
  <c r="AJ68" i="44" s="1"/>
  <c r="P100" i="44"/>
  <c r="W100" i="44" s="1" a="1"/>
  <c r="W100" i="44" s="1"/>
  <c r="X100" i="44" s="1"/>
  <c r="AH100" i="44" s="1"/>
  <c r="AI100" i="44" s="1"/>
  <c r="AJ100" i="44" s="1"/>
  <c r="P107" i="44"/>
  <c r="W107" i="44" s="1" a="1"/>
  <c r="W107" i="44" s="1"/>
  <c r="X107" i="44" s="1"/>
  <c r="AH107" i="44" s="1"/>
  <c r="AI107" i="44" s="1"/>
  <c r="AJ107" i="44" s="1"/>
  <c r="P77" i="44"/>
  <c r="W77" i="44" s="1" a="1"/>
  <c r="W77" i="44" s="1"/>
  <c r="X77" i="44" s="1"/>
  <c r="AH77" i="44" s="1"/>
  <c r="AI77" i="44" s="1"/>
  <c r="AJ77" i="44" s="1"/>
  <c r="P109" i="44"/>
  <c r="W109" i="44" s="1" a="1"/>
  <c r="W109" i="44" s="1"/>
  <c r="X109" i="44" s="1"/>
  <c r="AH109" i="44" s="1"/>
  <c r="AI109" i="44" s="1"/>
  <c r="AJ109" i="44" s="1"/>
  <c r="P76" i="44"/>
  <c r="W76" i="44" s="1" a="1"/>
  <c r="W76" i="44" s="1"/>
  <c r="X76" i="44" s="1"/>
  <c r="AH76" i="44" s="1"/>
  <c r="AI76" i="44" s="1"/>
  <c r="AJ76" i="44" s="1"/>
  <c r="P51" i="44"/>
  <c r="W51" i="44" s="1" a="1"/>
  <c r="W51" i="44" s="1"/>
  <c r="X51" i="44" s="1"/>
  <c r="AH51" i="44" s="1"/>
  <c r="AI51" i="44" s="1"/>
  <c r="AJ51" i="44" s="1"/>
  <c r="AL10" i="44" l="1"/>
  <c r="AB10" i="42" l="1" a="1"/>
  <c r="AB10" i="42" s="1"/>
  <c r="V109" i="42"/>
  <c r="V108" i="42"/>
  <c r="V107" i="42"/>
  <c r="V106" i="42"/>
  <c r="V105" i="42"/>
  <c r="V104" i="42"/>
  <c r="V103" i="42"/>
  <c r="V102" i="42"/>
  <c r="V101" i="42"/>
  <c r="V100" i="42"/>
  <c r="V99" i="42"/>
  <c r="V98" i="42"/>
  <c r="V97" i="42"/>
  <c r="V96" i="42"/>
  <c r="V95" i="42"/>
  <c r="V94" i="42"/>
  <c r="V93" i="42"/>
  <c r="V92" i="42"/>
  <c r="V91" i="42"/>
  <c r="V90" i="42"/>
  <c r="V89" i="42"/>
  <c r="V88" i="42"/>
  <c r="V87" i="42"/>
  <c r="V86" i="42"/>
  <c r="V85" i="42"/>
  <c r="V84" i="42"/>
  <c r="V83" i="42"/>
  <c r="V82" i="42"/>
  <c r="V81" i="42"/>
  <c r="V80" i="42"/>
  <c r="V79" i="42"/>
  <c r="V78" i="42"/>
  <c r="V77" i="42"/>
  <c r="V76" i="42"/>
  <c r="V75" i="42"/>
  <c r="V74" i="42"/>
  <c r="V73" i="42"/>
  <c r="V72" i="42"/>
  <c r="V71" i="42"/>
  <c r="V70" i="42"/>
  <c r="V69" i="42"/>
  <c r="V68" i="42"/>
  <c r="V67" i="42"/>
  <c r="V66" i="42"/>
  <c r="V65" i="42"/>
  <c r="V64" i="42"/>
  <c r="V63" i="42"/>
  <c r="V62" i="42"/>
  <c r="V61" i="42"/>
  <c r="V60" i="42"/>
  <c r="V59" i="42"/>
  <c r="V58" i="42"/>
  <c r="V57" i="42"/>
  <c r="V56" i="42"/>
  <c r="V55" i="42"/>
  <c r="V54" i="42"/>
  <c r="V53" i="42"/>
  <c r="V52" i="42"/>
  <c r="V51" i="42"/>
  <c r="V50" i="42"/>
  <c r="V49" i="42"/>
  <c r="V48" i="42"/>
  <c r="V47" i="42"/>
  <c r="V46" i="42"/>
  <c r="V45" i="42"/>
  <c r="V44" i="42"/>
  <c r="V43" i="42"/>
  <c r="V42" i="42"/>
  <c r="V41" i="42"/>
  <c r="V40" i="42"/>
  <c r="V39" i="42"/>
  <c r="V38" i="42"/>
  <c r="V37" i="42"/>
  <c r="V36" i="42"/>
  <c r="V35" i="42"/>
  <c r="V34" i="42"/>
  <c r="V33" i="42"/>
  <c r="V32" i="42"/>
  <c r="V31" i="42"/>
  <c r="V30" i="42"/>
  <c r="V29" i="42"/>
  <c r="V28" i="42"/>
  <c r="V27" i="42"/>
  <c r="V26" i="42"/>
  <c r="V25" i="42"/>
  <c r="V24" i="42"/>
  <c r="V23" i="42"/>
  <c r="V22" i="42"/>
  <c r="V21" i="42"/>
  <c r="V20" i="42"/>
  <c r="V19" i="42"/>
  <c r="V17" i="42"/>
  <c r="V16" i="42"/>
  <c r="V15" i="42"/>
  <c r="M15" i="42"/>
  <c r="L15" i="42"/>
  <c r="K15" i="42"/>
  <c r="J15" i="42"/>
  <c r="I15" i="42"/>
  <c r="H15" i="42"/>
  <c r="V14" i="42"/>
  <c r="M14" i="42"/>
  <c r="L14" i="42"/>
  <c r="K14" i="42"/>
  <c r="J14" i="42"/>
  <c r="I14" i="42"/>
  <c r="H14" i="42"/>
  <c r="V13" i="42"/>
  <c r="M13" i="42"/>
  <c r="L13" i="42"/>
  <c r="K13" i="42"/>
  <c r="J13" i="42"/>
  <c r="I13" i="42"/>
  <c r="H13" i="42"/>
  <c r="V12" i="42"/>
  <c r="M12" i="42"/>
  <c r="L12" i="42"/>
  <c r="K12" i="42"/>
  <c r="J12" i="42"/>
  <c r="I12" i="42"/>
  <c r="H12" i="42"/>
  <c r="V11" i="42"/>
  <c r="M11" i="42"/>
  <c r="L11" i="42"/>
  <c r="K11" i="42"/>
  <c r="J11" i="42"/>
  <c r="I11" i="42"/>
  <c r="H11" i="42"/>
  <c r="V10" i="42"/>
  <c r="M10" i="42"/>
  <c r="L10" i="42"/>
  <c r="K10" i="42"/>
  <c r="J10" i="42"/>
  <c r="I10" i="42"/>
  <c r="H10" i="42"/>
  <c r="V109" i="41"/>
  <c r="V108" i="41"/>
  <c r="V107" i="41"/>
  <c r="V106" i="41"/>
  <c r="V105" i="41"/>
  <c r="V104" i="41"/>
  <c r="V103" i="41"/>
  <c r="V102" i="41"/>
  <c r="V101" i="41"/>
  <c r="V100" i="41"/>
  <c r="V99" i="41"/>
  <c r="V98" i="41"/>
  <c r="V97" i="41"/>
  <c r="V96" i="41"/>
  <c r="V95" i="41"/>
  <c r="V94" i="41"/>
  <c r="V93" i="41"/>
  <c r="V92" i="41"/>
  <c r="V91" i="41"/>
  <c r="V90" i="41"/>
  <c r="V89" i="41"/>
  <c r="V88" i="41"/>
  <c r="V87" i="41"/>
  <c r="V86" i="41"/>
  <c r="V85" i="41"/>
  <c r="V84" i="41"/>
  <c r="V83" i="41"/>
  <c r="V82" i="41"/>
  <c r="V81" i="41"/>
  <c r="V80" i="41"/>
  <c r="V79" i="41"/>
  <c r="V78" i="41"/>
  <c r="V77" i="41"/>
  <c r="V76" i="41"/>
  <c r="V75" i="41"/>
  <c r="V74" i="41"/>
  <c r="V73" i="41"/>
  <c r="V72" i="41"/>
  <c r="V71" i="41"/>
  <c r="V70" i="41"/>
  <c r="V69" i="41"/>
  <c r="V68" i="41"/>
  <c r="V67" i="41"/>
  <c r="V66" i="41"/>
  <c r="V65" i="41"/>
  <c r="V64" i="41"/>
  <c r="V63" i="41"/>
  <c r="V62" i="41"/>
  <c r="V61" i="41"/>
  <c r="V60" i="41"/>
  <c r="V59" i="41"/>
  <c r="V58" i="41"/>
  <c r="V57" i="41"/>
  <c r="V56" i="41"/>
  <c r="V55" i="41"/>
  <c r="V54" i="41"/>
  <c r="V53" i="41"/>
  <c r="V52" i="41"/>
  <c r="V51" i="41"/>
  <c r="V50" i="41"/>
  <c r="V49" i="41"/>
  <c r="V48" i="41"/>
  <c r="V47" i="41"/>
  <c r="V46" i="41"/>
  <c r="V45" i="41"/>
  <c r="V44" i="41"/>
  <c r="V43" i="41"/>
  <c r="V42" i="41"/>
  <c r="V41" i="41"/>
  <c r="V40" i="41"/>
  <c r="V39" i="41"/>
  <c r="V38" i="41"/>
  <c r="V37" i="41"/>
  <c r="V36" i="41"/>
  <c r="V35" i="41"/>
  <c r="V34" i="41"/>
  <c r="V33" i="41"/>
  <c r="V32" i="41"/>
  <c r="V31" i="41"/>
  <c r="V30" i="41"/>
  <c r="V29" i="41"/>
  <c r="V28" i="41"/>
  <c r="V27" i="41"/>
  <c r="V26" i="41"/>
  <c r="V25" i="41"/>
  <c r="V24" i="41"/>
  <c r="V23" i="41"/>
  <c r="V22" i="41"/>
  <c r="V21" i="41"/>
  <c r="V20" i="41"/>
  <c r="V19" i="41"/>
  <c r="V17" i="41"/>
  <c r="V16" i="41"/>
  <c r="V15" i="41"/>
  <c r="M15" i="41"/>
  <c r="L15" i="41"/>
  <c r="K15" i="41"/>
  <c r="J15" i="41"/>
  <c r="I15" i="41"/>
  <c r="H15" i="41"/>
  <c r="V14" i="41"/>
  <c r="M14" i="41"/>
  <c r="L14" i="41"/>
  <c r="K14" i="41"/>
  <c r="J14" i="41"/>
  <c r="I14" i="41"/>
  <c r="H14" i="41"/>
  <c r="V13" i="41"/>
  <c r="M13" i="41"/>
  <c r="L13" i="41"/>
  <c r="K13" i="41"/>
  <c r="J13" i="41"/>
  <c r="I13" i="41"/>
  <c r="H13" i="41"/>
  <c r="V12" i="41"/>
  <c r="M12" i="41"/>
  <c r="L12" i="41"/>
  <c r="K12" i="41"/>
  <c r="J12" i="41"/>
  <c r="I12" i="41"/>
  <c r="H12" i="41"/>
  <c r="V11" i="41"/>
  <c r="M11" i="41"/>
  <c r="L11" i="41"/>
  <c r="K11" i="41"/>
  <c r="J11" i="41"/>
  <c r="I11" i="41"/>
  <c r="H11" i="41"/>
  <c r="V10" i="41"/>
  <c r="M10" i="41"/>
  <c r="L10" i="41"/>
  <c r="K10" i="41"/>
  <c r="J10" i="41"/>
  <c r="I10" i="41"/>
  <c r="H10" i="41"/>
  <c r="M15" i="38"/>
  <c r="L15" i="38"/>
  <c r="K15" i="38"/>
  <c r="J15" i="38"/>
  <c r="I15" i="38"/>
  <c r="H15" i="38"/>
  <c r="M14" i="38"/>
  <c r="L14" i="38"/>
  <c r="K14" i="38"/>
  <c r="J14" i="38"/>
  <c r="I14" i="38"/>
  <c r="H14" i="38"/>
  <c r="M13" i="38"/>
  <c r="L13" i="38"/>
  <c r="K13" i="38"/>
  <c r="J13" i="38"/>
  <c r="I13" i="38"/>
  <c r="H13" i="38"/>
  <c r="M12" i="38"/>
  <c r="L12" i="38"/>
  <c r="K12" i="38"/>
  <c r="J12" i="38"/>
  <c r="I12" i="38"/>
  <c r="H12" i="38"/>
  <c r="M11" i="38"/>
  <c r="L11" i="38"/>
  <c r="K11" i="38"/>
  <c r="J11" i="38"/>
  <c r="I11" i="38"/>
  <c r="H11" i="38"/>
  <c r="M10" i="38"/>
  <c r="L10" i="38"/>
  <c r="K10" i="38"/>
  <c r="J10" i="38"/>
  <c r="I10" i="38"/>
  <c r="H10" i="38"/>
  <c r="C26" i="28"/>
  <c r="C15" i="29" a="1"/>
  <c r="C23" i="28"/>
  <c r="C20" i="28"/>
  <c r="O10" i="41" a="1"/>
  <c r="O10" i="42" a="1"/>
  <c r="H24" i="41" l="1" a="1"/>
  <c r="H21" i="42" a="1"/>
  <c r="H25" i="41" a="1"/>
  <c r="L25" i="41" s="1"/>
  <c r="H22" i="42" a="1"/>
  <c r="I22" i="42" s="1"/>
  <c r="O10" i="42"/>
  <c r="K21" i="42"/>
  <c r="J21" i="42"/>
  <c r="I21" i="42"/>
  <c r="H21" i="42"/>
  <c r="H32" i="42" s="1"/>
  <c r="M21" i="42"/>
  <c r="L21" i="42"/>
  <c r="H23" i="42" a="1"/>
  <c r="H24" i="42" a="1"/>
  <c r="H25" i="42" a="1"/>
  <c r="H20" i="42" a="1"/>
  <c r="H20" i="41" a="1"/>
  <c r="I20" i="41" s="1"/>
  <c r="H21" i="41" a="1"/>
  <c r="H23" i="41" a="1"/>
  <c r="J23" i="41" s="1"/>
  <c r="H22" i="41" a="1"/>
  <c r="H22" i="41" s="1"/>
  <c r="H33" i="41" s="1"/>
  <c r="O10" i="41"/>
  <c r="J20" i="41"/>
  <c r="I23" i="41"/>
  <c r="H23" i="41"/>
  <c r="H34" i="41" s="1"/>
  <c r="M23" i="41"/>
  <c r="L23" i="41"/>
  <c r="K23" i="41"/>
  <c r="M24" i="41"/>
  <c r="L24" i="41"/>
  <c r="K24" i="41"/>
  <c r="J24" i="41"/>
  <c r="I24" i="41"/>
  <c r="H24" i="41"/>
  <c r="H35" i="41" s="1"/>
  <c r="J21" i="41"/>
  <c r="I21" i="41"/>
  <c r="H21" i="41"/>
  <c r="H32" i="41" s="1"/>
  <c r="M21" i="41"/>
  <c r="L21" i="41"/>
  <c r="K21" i="41"/>
  <c r="J22" i="41"/>
  <c r="I22" i="41"/>
  <c r="H21" i="38" a="1"/>
  <c r="K21" i="38" s="1"/>
  <c r="H22" i="38" a="1"/>
  <c r="J22" i="38" s="1"/>
  <c r="H25" i="38" a="1"/>
  <c r="L25" i="38" s="1"/>
  <c r="H24" i="38" a="1"/>
  <c r="J24" i="38" s="1"/>
  <c r="H20" i="38" a="1"/>
  <c r="M20" i="38" s="1"/>
  <c r="H23" i="38" a="1"/>
  <c r="H23" i="38" s="1"/>
  <c r="H34" i="38" s="1"/>
  <c r="M22" i="38"/>
  <c r="C15" i="29"/>
  <c r="C18" i="29" s="1"/>
  <c r="C21" i="29" s="1"/>
  <c r="E18" i="29"/>
  <c r="E21" i="29" s="1"/>
  <c r="F18" i="29"/>
  <c r="F21" i="29" s="1"/>
  <c r="G18" i="29"/>
  <c r="G21" i="29" s="1"/>
  <c r="K20" i="41" l="1"/>
  <c r="L20" i="41"/>
  <c r="M20" i="41"/>
  <c r="L22" i="41"/>
  <c r="H20" i="41"/>
  <c r="H31" i="41" s="1"/>
  <c r="L22" i="42"/>
  <c r="M22" i="42"/>
  <c r="J22" i="42"/>
  <c r="K22" i="42"/>
  <c r="H22" i="42"/>
  <c r="H33" i="42" s="1"/>
  <c r="I33" i="42" s="1"/>
  <c r="M25" i="41"/>
  <c r="I25" i="41"/>
  <c r="J25" i="41"/>
  <c r="H25" i="41"/>
  <c r="H36" i="41" s="1"/>
  <c r="I36" i="41" s="1"/>
  <c r="K25" i="41"/>
  <c r="I32" i="42"/>
  <c r="J32" i="42" s="1"/>
  <c r="K32" i="42" s="1"/>
  <c r="L32" i="42" s="1"/>
  <c r="M32" i="42" s="1"/>
  <c r="H20" i="42"/>
  <c r="H31" i="42" s="1"/>
  <c r="M20" i="42"/>
  <c r="L20" i="42"/>
  <c r="K20" i="42"/>
  <c r="J20" i="42"/>
  <c r="I20" i="42"/>
  <c r="L24" i="42"/>
  <c r="K24" i="42"/>
  <c r="J24" i="42"/>
  <c r="I24" i="42"/>
  <c r="H24" i="42"/>
  <c r="H35" i="42" s="1"/>
  <c r="M24" i="42"/>
  <c r="M25" i="42"/>
  <c r="L25" i="42"/>
  <c r="K25" i="42"/>
  <c r="J25" i="42"/>
  <c r="I25" i="42"/>
  <c r="H25" i="42"/>
  <c r="H36" i="42" s="1"/>
  <c r="I23" i="42"/>
  <c r="H23" i="42"/>
  <c r="H34" i="42" s="1"/>
  <c r="M23" i="42"/>
  <c r="L23" i="42"/>
  <c r="K23" i="42"/>
  <c r="J23" i="42"/>
  <c r="I32" i="41"/>
  <c r="J32" i="41" s="1"/>
  <c r="K32" i="41" s="1"/>
  <c r="L32" i="41" s="1"/>
  <c r="M32" i="41" s="1"/>
  <c r="K22" i="41"/>
  <c r="M22" i="41"/>
  <c r="I34" i="41"/>
  <c r="J34" i="41" s="1"/>
  <c r="K34" i="41" s="1"/>
  <c r="L34" i="41" s="1"/>
  <c r="M34" i="41" s="1"/>
  <c r="K24" i="38"/>
  <c r="I33" i="41"/>
  <c r="I35" i="41"/>
  <c r="J35" i="41" s="1"/>
  <c r="K35" i="41" s="1"/>
  <c r="L35" i="41" s="1"/>
  <c r="M35" i="41" s="1"/>
  <c r="I31" i="41"/>
  <c r="I22" i="38"/>
  <c r="H22" i="38"/>
  <c r="H33" i="38" s="1"/>
  <c r="K22" i="38"/>
  <c r="L22" i="38"/>
  <c r="M21" i="38"/>
  <c r="J21" i="38"/>
  <c r="L21" i="38"/>
  <c r="H21" i="38"/>
  <c r="H32" i="38" s="1"/>
  <c r="I21" i="38"/>
  <c r="I25" i="38"/>
  <c r="H25" i="38"/>
  <c r="H36" i="38" s="1"/>
  <c r="J25" i="38"/>
  <c r="K25" i="38"/>
  <c r="M25" i="38"/>
  <c r="L23" i="38"/>
  <c r="H24" i="38"/>
  <c r="H35" i="38" s="1"/>
  <c r="I23" i="38"/>
  <c r="I34" i="38" s="1"/>
  <c r="H20" i="38"/>
  <c r="H31" i="38" s="1"/>
  <c r="J23" i="38"/>
  <c r="L24" i="38"/>
  <c r="I20" i="38"/>
  <c r="K23" i="38"/>
  <c r="M24" i="38"/>
  <c r="J20" i="38"/>
  <c r="M23" i="38"/>
  <c r="K20" i="38"/>
  <c r="I24" i="38"/>
  <c r="L20" i="38"/>
  <c r="D18" i="29"/>
  <c r="D21" i="29" s="1"/>
  <c r="F36" i="20"/>
  <c r="F35" i="20"/>
  <c r="F34" i="20"/>
  <c r="F33" i="20"/>
  <c r="F32" i="20"/>
  <c r="C29" i="20"/>
  <c r="D29" i="20" s="1"/>
  <c r="C28" i="20"/>
  <c r="D28" i="20" s="1"/>
  <c r="N28" i="20" s="1"/>
  <c r="C27" i="20"/>
  <c r="C26" i="20"/>
  <c r="D26" i="20" s="1"/>
  <c r="C25" i="20"/>
  <c r="M25" i="20" s="1"/>
  <c r="J19" i="20"/>
  <c r="I19" i="20"/>
  <c r="J18" i="20"/>
  <c r="I18" i="20"/>
  <c r="J17" i="20"/>
  <c r="I17" i="20"/>
  <c r="J16" i="20"/>
  <c r="I16" i="20"/>
  <c r="J15" i="20"/>
  <c r="I15" i="20"/>
  <c r="J14" i="20"/>
  <c r="I14" i="20"/>
  <c r="J13" i="20"/>
  <c r="I13" i="20"/>
  <c r="J12" i="20"/>
  <c r="I12" i="20"/>
  <c r="J11" i="20"/>
  <c r="I11" i="20"/>
  <c r="J10" i="20"/>
  <c r="I10" i="20"/>
  <c r="C15" i="20"/>
  <c r="H18" i="20" s="1"/>
  <c r="P38" i="41" a="1"/>
  <c r="P88" i="41" a="1"/>
  <c r="P44" i="41" a="1"/>
  <c r="P27" i="42" a="1"/>
  <c r="P54" i="41" a="1"/>
  <c r="P48" i="41" a="1"/>
  <c r="P100" i="41" a="1"/>
  <c r="P12" i="41" a="1"/>
  <c r="P76" i="41" a="1"/>
  <c r="P103" i="41" a="1"/>
  <c r="P63" i="41" a="1"/>
  <c r="P85" i="41" a="1"/>
  <c r="P92" i="41" a="1"/>
  <c r="P46" i="41" a="1"/>
  <c r="P107" i="41" a="1"/>
  <c r="P73" i="41" a="1"/>
  <c r="P11" i="41" a="1"/>
  <c r="P43" i="41" a="1"/>
  <c r="P55" i="41" a="1"/>
  <c r="P73" i="42" a="1"/>
  <c r="P14" i="41" a="1"/>
  <c r="P61" i="41" a="1"/>
  <c r="P74" i="41" a="1"/>
  <c r="P30" i="41" a="1"/>
  <c r="P27" i="41" a="1"/>
  <c r="P91" i="41" a="1"/>
  <c r="P41" i="42" a="1"/>
  <c r="P97" i="41" a="1"/>
  <c r="P69" i="42" a="1"/>
  <c r="P65" i="41" a="1"/>
  <c r="P52" i="41" a="1"/>
  <c r="P43" i="42" a="1"/>
  <c r="P58" i="41" a="1"/>
  <c r="P82" i="42" a="1"/>
  <c r="P56" i="41" a="1"/>
  <c r="P29" i="41" a="1"/>
  <c r="P28" i="41" a="1"/>
  <c r="P38" i="42" a="1"/>
  <c r="P51" i="41" a="1"/>
  <c r="P35" i="41" a="1"/>
  <c r="P102" i="41" a="1"/>
  <c r="P41" i="41" a="1"/>
  <c r="P89" i="41" a="1"/>
  <c r="P48" i="42" a="1"/>
  <c r="P82" i="41" a="1"/>
  <c r="P84" i="41" a="1"/>
  <c r="P95" i="41" a="1"/>
  <c r="P93" i="41" a="1"/>
  <c r="P77" i="41" a="1"/>
  <c r="P49" i="41" a="1"/>
  <c r="P39" i="41" a="1"/>
  <c r="P23" i="41" a="1"/>
  <c r="P93" i="42" a="1"/>
  <c r="P80" i="41" a="1"/>
  <c r="P15" i="41" a="1"/>
  <c r="P69" i="41" a="1"/>
  <c r="P97" i="42" a="1"/>
  <c r="P85" i="42" a="1"/>
  <c r="P36" i="41" a="1"/>
  <c r="P45" i="41" a="1"/>
  <c r="P87" i="41" a="1"/>
  <c r="P68" i="41" a="1"/>
  <c r="P74" i="42" a="1"/>
  <c r="P50" i="42" a="1"/>
  <c r="P32" i="41" a="1"/>
  <c r="P26" i="41" a="1"/>
  <c r="P50" i="41" a="1"/>
  <c r="P45" i="42" a="1"/>
  <c r="P52" i="42" a="1"/>
  <c r="P21" i="41" a="1"/>
  <c r="P90" i="41" a="1"/>
  <c r="P109" i="41" a="1"/>
  <c r="P89" i="42" a="1"/>
  <c r="P39" i="42" a="1"/>
  <c r="P59" i="41" a="1"/>
  <c r="J36" i="41" l="1"/>
  <c r="I34" i="42"/>
  <c r="P52" i="42"/>
  <c r="W52" i="42" s="1" a="1"/>
  <c r="W52" i="42" s="1"/>
  <c r="X52" i="42" s="1"/>
  <c r="P89" i="42"/>
  <c r="W89" i="42" s="1" a="1"/>
  <c r="W89" i="42" s="1"/>
  <c r="X89" i="42" s="1"/>
  <c r="P43" i="42"/>
  <c r="W43" i="42" s="1" a="1"/>
  <c r="W43" i="42" s="1"/>
  <c r="X43" i="42" s="1"/>
  <c r="P48" i="42"/>
  <c r="W48" i="42" s="1" a="1"/>
  <c r="W48" i="42" s="1"/>
  <c r="X48" i="42" s="1"/>
  <c r="P85" i="42"/>
  <c r="W85" i="42" s="1" a="1"/>
  <c r="W85" i="42" s="1"/>
  <c r="X85" i="42" s="1"/>
  <c r="P74" i="42"/>
  <c r="W74" i="42" s="1" a="1"/>
  <c r="W74" i="42" s="1"/>
  <c r="X74" i="42" s="1"/>
  <c r="P39" i="42"/>
  <c r="W39" i="42" s="1" a="1"/>
  <c r="W39" i="42" s="1"/>
  <c r="X39" i="42" s="1"/>
  <c r="P45" i="42"/>
  <c r="W45" i="42" s="1" a="1"/>
  <c r="W45" i="42" s="1"/>
  <c r="X45" i="42" s="1"/>
  <c r="P82" i="42"/>
  <c r="W82" i="42" s="1" a="1"/>
  <c r="W82" i="42" s="1"/>
  <c r="X82" i="42" s="1"/>
  <c r="P73" i="42"/>
  <c r="W73" i="42" s="1" a="1"/>
  <c r="W73" i="42" s="1"/>
  <c r="X73" i="42" s="1"/>
  <c r="P41" i="42"/>
  <c r="W41" i="42" s="1" a="1"/>
  <c r="W41" i="42" s="1"/>
  <c r="X41" i="42" s="1"/>
  <c r="P38" i="42"/>
  <c r="W38" i="42" s="1" a="1"/>
  <c r="W38" i="42" s="1"/>
  <c r="X38" i="42" s="1"/>
  <c r="P69" i="42"/>
  <c r="W69" i="42" s="1" a="1"/>
  <c r="W69" i="42" s="1"/>
  <c r="X69" i="42" s="1"/>
  <c r="P50" i="42"/>
  <c r="W50" i="42" s="1" a="1"/>
  <c r="W50" i="42" s="1"/>
  <c r="X50" i="42" s="1"/>
  <c r="P97" i="42"/>
  <c r="W97" i="42" s="1" a="1"/>
  <c r="W97" i="42" s="1"/>
  <c r="X97" i="42" s="1"/>
  <c r="P27" i="42"/>
  <c r="W27" i="42" s="1" a="1"/>
  <c r="W27" i="42" s="1"/>
  <c r="X27" i="42" s="1"/>
  <c r="P93" i="42"/>
  <c r="W93" i="42" s="1" a="1"/>
  <c r="W93" i="42" s="1"/>
  <c r="X93" i="42" s="1"/>
  <c r="I31" i="42"/>
  <c r="I33" i="38"/>
  <c r="J33" i="38" s="1"/>
  <c r="I35" i="42"/>
  <c r="J35" i="42" s="1"/>
  <c r="K35" i="42" s="1"/>
  <c r="L35" i="42" s="1"/>
  <c r="M35" i="42" s="1"/>
  <c r="J34" i="42"/>
  <c r="I36" i="42"/>
  <c r="J36" i="42" s="1"/>
  <c r="K36" i="42" s="1"/>
  <c r="L36" i="42" s="1"/>
  <c r="M36" i="42" s="1"/>
  <c r="J33" i="42"/>
  <c r="I36" i="38"/>
  <c r="P41" i="41"/>
  <c r="W41" i="41" s="1" a="1"/>
  <c r="W41" i="41" s="1"/>
  <c r="X41" i="41" s="1"/>
  <c r="P48" i="41"/>
  <c r="W48" i="41" s="1" a="1"/>
  <c r="W48" i="41" s="1"/>
  <c r="X48" i="41" s="1"/>
  <c r="P97" i="41"/>
  <c r="W97" i="41" s="1" a="1"/>
  <c r="W97" i="41" s="1"/>
  <c r="X97" i="41" s="1"/>
  <c r="P89" i="41"/>
  <c r="W89" i="41" s="1" a="1"/>
  <c r="W89" i="41" s="1"/>
  <c r="X89" i="41" s="1"/>
  <c r="P39" i="41"/>
  <c r="W39" i="41" s="1" a="1"/>
  <c r="W39" i="41" s="1"/>
  <c r="X39" i="41" s="1"/>
  <c r="P82" i="41"/>
  <c r="W82" i="41" s="1" a="1"/>
  <c r="W82" i="41" s="1"/>
  <c r="X82" i="41" s="1"/>
  <c r="P45" i="41"/>
  <c r="W45" i="41" s="1" a="1"/>
  <c r="W45" i="41" s="1"/>
  <c r="X45" i="41" s="1"/>
  <c r="P74" i="41"/>
  <c r="W74" i="41" s="1" a="1"/>
  <c r="W74" i="41" s="1"/>
  <c r="X74" i="41" s="1"/>
  <c r="P73" i="41"/>
  <c r="W73" i="41" s="1" a="1"/>
  <c r="W73" i="41" s="1"/>
  <c r="X73" i="41" s="1"/>
  <c r="P27" i="41"/>
  <c r="W27" i="41" s="1" a="1"/>
  <c r="W27" i="41" s="1"/>
  <c r="X27" i="41" s="1"/>
  <c r="P93" i="41"/>
  <c r="W93" i="41" s="1" a="1"/>
  <c r="W93" i="41" s="1"/>
  <c r="X93" i="41" s="1"/>
  <c r="P85" i="41"/>
  <c r="W85" i="41" s="1" a="1"/>
  <c r="W85" i="41" s="1"/>
  <c r="X85" i="41" s="1"/>
  <c r="P50" i="41"/>
  <c r="W50" i="41" s="1" a="1"/>
  <c r="W50" i="41" s="1"/>
  <c r="X50" i="41" s="1"/>
  <c r="P43" i="41"/>
  <c r="W43" i="41" s="1" a="1"/>
  <c r="W43" i="41" s="1"/>
  <c r="X43" i="41" s="1"/>
  <c r="P52" i="41"/>
  <c r="W52" i="41" s="1" a="1"/>
  <c r="W52" i="41" s="1"/>
  <c r="X52" i="41" s="1"/>
  <c r="P69" i="41"/>
  <c r="W69" i="41" s="1" a="1"/>
  <c r="W69" i="41" s="1"/>
  <c r="X69" i="41" s="1"/>
  <c r="P38" i="41"/>
  <c r="W38" i="41" s="1" a="1"/>
  <c r="W38" i="41" s="1"/>
  <c r="X38" i="41" s="1"/>
  <c r="P44" i="41"/>
  <c r="W44" i="41" s="1" a="1"/>
  <c r="W44" i="41" s="1"/>
  <c r="X44" i="41" s="1"/>
  <c r="P55" i="41"/>
  <c r="W55" i="41" s="1" a="1"/>
  <c r="W55" i="41" s="1"/>
  <c r="X55" i="41" s="1"/>
  <c r="P91" i="41"/>
  <c r="W91" i="41" s="1" a="1"/>
  <c r="W91" i="41" s="1"/>
  <c r="X91" i="41" s="1"/>
  <c r="P90" i="41"/>
  <c r="W90" i="41" s="1" a="1"/>
  <c r="W90" i="41" s="1"/>
  <c r="X90" i="41" s="1"/>
  <c r="P11" i="41"/>
  <c r="W11" i="41" s="1" a="1"/>
  <c r="W11" i="41" s="1"/>
  <c r="X11" i="41" s="1"/>
  <c r="P29" i="41"/>
  <c r="W29" i="41" s="1" a="1"/>
  <c r="W29" i="41" s="1"/>
  <c r="X29" i="41" s="1"/>
  <c r="P92" i="41"/>
  <c r="W92" i="41" s="1" a="1"/>
  <c r="W92" i="41" s="1"/>
  <c r="X92" i="41" s="1"/>
  <c r="P15" i="41"/>
  <c r="W15" i="41" s="1" a="1"/>
  <c r="W15" i="41" s="1"/>
  <c r="X15" i="41" s="1"/>
  <c r="P95" i="41"/>
  <c r="W95" i="41" s="1" a="1"/>
  <c r="W95" i="41" s="1"/>
  <c r="X95" i="41" s="1"/>
  <c r="P88" i="41"/>
  <c r="W88" i="41" s="1" a="1"/>
  <c r="W88" i="41" s="1"/>
  <c r="X88" i="41" s="1"/>
  <c r="P87" i="41"/>
  <c r="W87" i="41" s="1" a="1"/>
  <c r="W87" i="41" s="1"/>
  <c r="X87" i="41" s="1"/>
  <c r="P35" i="41"/>
  <c r="W35" i="41" s="1" a="1"/>
  <c r="W35" i="41" s="1"/>
  <c r="X35" i="41" s="1"/>
  <c r="P58" i="41"/>
  <c r="W58" i="41" s="1" a="1"/>
  <c r="W58" i="41" s="1"/>
  <c r="X58" i="41" s="1"/>
  <c r="P54" i="41"/>
  <c r="W54" i="41" s="1" a="1"/>
  <c r="W54" i="41" s="1"/>
  <c r="X54" i="41" s="1"/>
  <c r="P46" i="41"/>
  <c r="W46" i="41" s="1" a="1"/>
  <c r="W46" i="41" s="1"/>
  <c r="X46" i="41" s="1"/>
  <c r="P49" i="41"/>
  <c r="W49" i="41" s="1" a="1"/>
  <c r="W49" i="41" s="1"/>
  <c r="X49" i="41" s="1"/>
  <c r="P63" i="41"/>
  <c r="W63" i="41" s="1" a="1"/>
  <c r="W63" i="41" s="1"/>
  <c r="X63" i="41" s="1"/>
  <c r="P21" i="41"/>
  <c r="W21" i="41" s="1" a="1"/>
  <c r="W21" i="41" s="1"/>
  <c r="X21" i="41" s="1"/>
  <c r="P102" i="41"/>
  <c r="W102" i="41" s="1" a="1"/>
  <c r="W102" i="41" s="1"/>
  <c r="X102" i="41" s="1"/>
  <c r="P30" i="41"/>
  <c r="W30" i="41" s="1" a="1"/>
  <c r="W30" i="41" s="1"/>
  <c r="X30" i="41" s="1"/>
  <c r="P61" i="41"/>
  <c r="W61" i="41" s="1" a="1"/>
  <c r="W61" i="41" s="1"/>
  <c r="X61" i="41" s="1"/>
  <c r="P100" i="41"/>
  <c r="W100" i="41" s="1" a="1"/>
  <c r="W100" i="41" s="1"/>
  <c r="X100" i="41" s="1"/>
  <c r="P36" i="41"/>
  <c r="W36" i="41" s="1" a="1"/>
  <c r="W36" i="41" s="1"/>
  <c r="X36" i="41" s="1"/>
  <c r="P26" i="41"/>
  <c r="W26" i="41" s="1" a="1"/>
  <c r="W26" i="41" s="1"/>
  <c r="X26" i="41" s="1"/>
  <c r="P103" i="41"/>
  <c r="W103" i="41" s="1" a="1"/>
  <c r="W103" i="41" s="1"/>
  <c r="X103" i="41" s="1"/>
  <c r="P109" i="41"/>
  <c r="W109" i="41" s="1" a="1"/>
  <c r="W109" i="41" s="1"/>
  <c r="X109" i="41" s="1"/>
  <c r="P32" i="41"/>
  <c r="W32" i="41" s="1" a="1"/>
  <c r="W32" i="41" s="1"/>
  <c r="X32" i="41" s="1"/>
  <c r="P84" i="41"/>
  <c r="W84" i="41" s="1" a="1"/>
  <c r="W84" i="41" s="1"/>
  <c r="X84" i="41" s="1"/>
  <c r="P28" i="41"/>
  <c r="W28" i="41" s="1" a="1"/>
  <c r="W28" i="41" s="1"/>
  <c r="X28" i="41" s="1"/>
  <c r="P76" i="41"/>
  <c r="W76" i="41" s="1" a="1"/>
  <c r="W76" i="41" s="1"/>
  <c r="X76" i="41" s="1"/>
  <c r="P80" i="41"/>
  <c r="W80" i="41" s="1" a="1"/>
  <c r="W80" i="41" s="1"/>
  <c r="X80" i="41" s="1"/>
  <c r="P59" i="41"/>
  <c r="W59" i="41" s="1" a="1"/>
  <c r="W59" i="41" s="1"/>
  <c r="X59" i="41" s="1"/>
  <c r="P65" i="41"/>
  <c r="W65" i="41" s="1" a="1"/>
  <c r="W65" i="41" s="1"/>
  <c r="X65" i="41" s="1"/>
  <c r="P68" i="41"/>
  <c r="W68" i="41" s="1" a="1"/>
  <c r="W68" i="41" s="1"/>
  <c r="X68" i="41" s="1"/>
  <c r="P51" i="41"/>
  <c r="W51" i="41" s="1" a="1"/>
  <c r="W51" i="41" s="1"/>
  <c r="X51" i="41" s="1"/>
  <c r="P14" i="41"/>
  <c r="W14" i="41" s="1" a="1"/>
  <c r="W14" i="41" s="1"/>
  <c r="X14" i="41" s="1"/>
  <c r="P77" i="41"/>
  <c r="W77" i="41" s="1" a="1"/>
  <c r="W77" i="41" s="1"/>
  <c r="X77" i="41" s="1"/>
  <c r="P23" i="41"/>
  <c r="W23" i="41" s="1" a="1"/>
  <c r="W23" i="41" s="1"/>
  <c r="X23" i="41" s="1"/>
  <c r="P107" i="41"/>
  <c r="W107" i="41" s="1" a="1"/>
  <c r="W107" i="41" s="1"/>
  <c r="X107" i="41" s="1"/>
  <c r="P12" i="41"/>
  <c r="W12" i="41" s="1" a="1"/>
  <c r="W12" i="41" s="1"/>
  <c r="X12" i="41" s="1"/>
  <c r="P56" i="41"/>
  <c r="W56" i="41" s="1" a="1"/>
  <c r="W56" i="41" s="1"/>
  <c r="X56" i="41" s="1"/>
  <c r="I32" i="38"/>
  <c r="J32" i="38" s="1"/>
  <c r="K32" i="38" s="1"/>
  <c r="L32" i="38" s="1"/>
  <c r="M32" i="38" s="1"/>
  <c r="J31" i="41"/>
  <c r="K36" i="41"/>
  <c r="J33" i="41"/>
  <c r="J36" i="38"/>
  <c r="K36" i="38" s="1"/>
  <c r="L36" i="38" s="1"/>
  <c r="M36" i="38" s="1"/>
  <c r="I35" i="38"/>
  <c r="J35" i="38" s="1"/>
  <c r="K35" i="38" s="1"/>
  <c r="L35" i="38" s="1"/>
  <c r="M35" i="38" s="1"/>
  <c r="I31" i="38"/>
  <c r="J31" i="38" s="1"/>
  <c r="K31" i="38" s="1"/>
  <c r="L31" i="38" s="1"/>
  <c r="M31" i="38" s="1"/>
  <c r="J34" i="38"/>
  <c r="K34" i="38" s="1"/>
  <c r="L34" i="38" s="1"/>
  <c r="M34" i="38" s="1"/>
  <c r="K33" i="38"/>
  <c r="L33" i="38" s="1"/>
  <c r="M33" i="38" s="1"/>
  <c r="M28" i="20"/>
  <c r="M26" i="20"/>
  <c r="O29" i="20"/>
  <c r="E29" i="20"/>
  <c r="P29" i="20" s="1"/>
  <c r="N29" i="20"/>
  <c r="N27" i="20"/>
  <c r="N26" i="20"/>
  <c r="E26" i="20"/>
  <c r="O26" i="20" s="1"/>
  <c r="M29" i="20"/>
  <c r="D25" i="20"/>
  <c r="D27" i="20"/>
  <c r="E28" i="20"/>
  <c r="F28" i="20" s="1"/>
  <c r="M27" i="20"/>
  <c r="H17" i="20"/>
  <c r="H14" i="20"/>
  <c r="H13" i="20"/>
  <c r="H10" i="20"/>
  <c r="H12" i="20"/>
  <c r="H16" i="20"/>
  <c r="H11" i="20"/>
  <c r="H15" i="20"/>
  <c r="H19" i="20"/>
  <c r="P47" i="42" a="1"/>
  <c r="P49" i="42" a="1"/>
  <c r="P88" i="42" a="1"/>
  <c r="P104" i="42" a="1"/>
  <c r="P54" i="42" a="1"/>
  <c r="P63" i="42" a="1"/>
  <c r="P67" i="42" a="1"/>
  <c r="P29" i="42" a="1"/>
  <c r="P11" i="42" a="1"/>
  <c r="P94" i="42" a="1"/>
  <c r="P95" i="42" a="1"/>
  <c r="P46" i="42" a="1"/>
  <c r="P15" i="42" a="1"/>
  <c r="P57" i="42" a="1"/>
  <c r="P35" i="42" a="1"/>
  <c r="P62" i="42" a="1"/>
  <c r="P37" i="42" a="1"/>
  <c r="P92" i="42" a="1"/>
  <c r="P90" i="42" a="1"/>
  <c r="P58" i="42" a="1"/>
  <c r="P91" i="42" a="1"/>
  <c r="P101" i="42" a="1"/>
  <c r="P31" i="42" a="1"/>
  <c r="P55" i="42" a="1"/>
  <c r="P70" i="42" a="1"/>
  <c r="P81" i="42" a="1"/>
  <c r="P40" i="42" a="1"/>
  <c r="P25" i="42" a="1"/>
  <c r="P13" i="42" a="1"/>
  <c r="P10" i="42" a="1"/>
  <c r="P102" i="42" a="1"/>
  <c r="P42" i="42" a="1"/>
  <c r="P87" i="42" a="1"/>
  <c r="P60" i="42" a="1"/>
  <c r="P44" i="42" a="1"/>
  <c r="P105" i="42" a="1"/>
  <c r="P86" i="42" a="1"/>
  <c r="P21" i="42" a="1"/>
  <c r="P21" i="42" l="1"/>
  <c r="W21" i="42" s="1" a="1"/>
  <c r="W21" i="42" s="1"/>
  <c r="X21" i="42" s="1"/>
  <c r="P88" i="42"/>
  <c r="W88" i="42" s="1" a="1"/>
  <c r="W88" i="42" s="1"/>
  <c r="X88" i="42" s="1"/>
  <c r="P87" i="42"/>
  <c r="W87" i="42" s="1" a="1"/>
  <c r="W87" i="42" s="1"/>
  <c r="X87" i="42" s="1"/>
  <c r="P11" i="42"/>
  <c r="W11" i="42" s="1" a="1"/>
  <c r="W11" i="42" s="1"/>
  <c r="X11" i="42" s="1"/>
  <c r="P55" i="42"/>
  <c r="W55" i="42" s="1" a="1"/>
  <c r="W55" i="42" s="1"/>
  <c r="X55" i="42" s="1"/>
  <c r="P35" i="42"/>
  <c r="W35" i="42" s="1" a="1"/>
  <c r="W35" i="42" s="1"/>
  <c r="X35" i="42" s="1"/>
  <c r="P92" i="42"/>
  <c r="W92" i="42" s="1" a="1"/>
  <c r="W92" i="42" s="1"/>
  <c r="X92" i="42" s="1"/>
  <c r="P91" i="42"/>
  <c r="W91" i="42" s="1" a="1"/>
  <c r="W91" i="42" s="1"/>
  <c r="X91" i="42" s="1"/>
  <c r="P15" i="42"/>
  <c r="W15" i="42" s="1" a="1"/>
  <c r="W15" i="42" s="1"/>
  <c r="X15" i="42" s="1"/>
  <c r="P63" i="42"/>
  <c r="W63" i="42" s="1" a="1"/>
  <c r="W63" i="42" s="1"/>
  <c r="X63" i="42" s="1"/>
  <c r="P95" i="42"/>
  <c r="W95" i="42" s="1" a="1"/>
  <c r="W95" i="42" s="1"/>
  <c r="X95" i="42" s="1"/>
  <c r="P29" i="42"/>
  <c r="W29" i="42" s="1" a="1"/>
  <c r="W29" i="42" s="1"/>
  <c r="X29" i="42" s="1"/>
  <c r="P54" i="42"/>
  <c r="W54" i="42" s="1" a="1"/>
  <c r="W54" i="42" s="1"/>
  <c r="X54" i="42" s="1"/>
  <c r="P46" i="42"/>
  <c r="W46" i="42" s="1" a="1"/>
  <c r="W46" i="42" s="1"/>
  <c r="X46" i="42" s="1"/>
  <c r="P58" i="42"/>
  <c r="W58" i="42" s="1" a="1"/>
  <c r="W58" i="42" s="1"/>
  <c r="X58" i="42" s="1"/>
  <c r="P49" i="42"/>
  <c r="W49" i="42" s="1" a="1"/>
  <c r="W49" i="42" s="1"/>
  <c r="X49" i="42" s="1"/>
  <c r="P44" i="42"/>
  <c r="W44" i="42" s="1" a="1"/>
  <c r="W44" i="42" s="1"/>
  <c r="X44" i="42" s="1"/>
  <c r="P90" i="42"/>
  <c r="W90" i="42" s="1" a="1"/>
  <c r="W90" i="42" s="1"/>
  <c r="X90" i="42" s="1"/>
  <c r="P102" i="42"/>
  <c r="W102" i="42" s="1" a="1"/>
  <c r="W102" i="42" s="1"/>
  <c r="X102" i="42" s="1"/>
  <c r="P94" i="42"/>
  <c r="W94" i="42" s="1" a="1"/>
  <c r="W94" i="42" s="1"/>
  <c r="X94" i="42" s="1"/>
  <c r="P10" i="42"/>
  <c r="W10" i="42" s="1" a="1"/>
  <c r="W10" i="42" s="1"/>
  <c r="X10" i="42" s="1"/>
  <c r="P60" i="42"/>
  <c r="W60" i="42" s="1" a="1"/>
  <c r="W60" i="42" s="1"/>
  <c r="X60" i="42" s="1"/>
  <c r="P31" i="42"/>
  <c r="W31" i="42" s="1" a="1"/>
  <c r="W31" i="42" s="1"/>
  <c r="X31" i="42" s="1"/>
  <c r="P37" i="42"/>
  <c r="W37" i="42" s="1" a="1"/>
  <c r="W37" i="42" s="1"/>
  <c r="X37" i="42" s="1"/>
  <c r="P101" i="42"/>
  <c r="W101" i="42" s="1" a="1"/>
  <c r="W101" i="42" s="1"/>
  <c r="X101" i="42" s="1"/>
  <c r="P25" i="42"/>
  <c r="W25" i="42" s="1" a="1"/>
  <c r="W25" i="42" s="1"/>
  <c r="X25" i="42" s="1"/>
  <c r="P105" i="42"/>
  <c r="W105" i="42" s="1" a="1"/>
  <c r="W105" i="42" s="1"/>
  <c r="X105" i="42" s="1"/>
  <c r="P67" i="42"/>
  <c r="W67" i="42" s="1" a="1"/>
  <c r="W67" i="42" s="1"/>
  <c r="X67" i="42" s="1"/>
  <c r="P13" i="42"/>
  <c r="W13" i="42" s="1" a="1"/>
  <c r="W13" i="42" s="1"/>
  <c r="X13" i="42" s="1"/>
  <c r="P42" i="42"/>
  <c r="W42" i="42" s="1" a="1"/>
  <c r="W42" i="42" s="1"/>
  <c r="X42" i="42" s="1"/>
  <c r="P40" i="42"/>
  <c r="W40" i="42" s="1" a="1"/>
  <c r="W40" i="42" s="1"/>
  <c r="X40" i="42" s="1"/>
  <c r="P104" i="42"/>
  <c r="W104" i="42" s="1" a="1"/>
  <c r="W104" i="42" s="1"/>
  <c r="X104" i="42" s="1"/>
  <c r="P86" i="42"/>
  <c r="W86" i="42" s="1" a="1"/>
  <c r="W86" i="42" s="1"/>
  <c r="X86" i="42" s="1"/>
  <c r="P47" i="42"/>
  <c r="W47" i="42" s="1" a="1"/>
  <c r="W47" i="42" s="1"/>
  <c r="X47" i="42" s="1"/>
  <c r="P70" i="42"/>
  <c r="W70" i="42" s="1" a="1"/>
  <c r="W70" i="42" s="1"/>
  <c r="X70" i="42" s="1"/>
  <c r="P81" i="42"/>
  <c r="W81" i="42" s="1" a="1"/>
  <c r="W81" i="42" s="1"/>
  <c r="X81" i="42" s="1"/>
  <c r="P62" i="42"/>
  <c r="W62" i="42" s="1" a="1"/>
  <c r="W62" i="42" s="1"/>
  <c r="X62" i="42" s="1"/>
  <c r="P57" i="42"/>
  <c r="W57" i="42" s="1" a="1"/>
  <c r="W57" i="42" s="1"/>
  <c r="X57" i="42" s="1"/>
  <c r="K33" i="42"/>
  <c r="K34" i="42"/>
  <c r="J31" i="42"/>
  <c r="K33" i="41"/>
  <c r="L36" i="41"/>
  <c r="K31" i="41"/>
  <c r="F26" i="20"/>
  <c r="G26" i="20" s="1"/>
  <c r="F29" i="20"/>
  <c r="E25" i="20"/>
  <c r="F25" i="20" s="1"/>
  <c r="G25" i="20" s="1"/>
  <c r="Q25" i="20" s="1"/>
  <c r="O28" i="20"/>
  <c r="E27" i="20"/>
  <c r="F27" i="20" s="1"/>
  <c r="N25" i="20"/>
  <c r="C17" i="20" a="1"/>
  <c r="C17" i="20" s="1"/>
  <c r="C16" i="20" a="1"/>
  <c r="C16" i="20" s="1"/>
  <c r="G28" i="20"/>
  <c r="Q28" i="20"/>
  <c r="P28" i="20"/>
  <c r="Q29" i="20"/>
  <c r="G29" i="20"/>
  <c r="P26" i="20"/>
  <c r="L34" i="42" l="1"/>
  <c r="L33" i="42"/>
  <c r="K31" i="42"/>
  <c r="L31" i="41"/>
  <c r="M36" i="41"/>
  <c r="L33" i="41"/>
  <c r="P25" i="20"/>
  <c r="G27" i="20"/>
  <c r="Q27" i="20" s="1"/>
  <c r="O27" i="20"/>
  <c r="P27" i="20"/>
  <c r="O25" i="20"/>
  <c r="C18" i="20"/>
  <c r="H25" i="20"/>
  <c r="R25" i="20" s="1"/>
  <c r="H29" i="20"/>
  <c r="R29" i="20"/>
  <c r="H26" i="20"/>
  <c r="R26" i="20"/>
  <c r="H27" i="20"/>
  <c r="Q26" i="20"/>
  <c r="H28" i="20"/>
  <c r="R28" i="20"/>
  <c r="P31" i="41" a="1"/>
  <c r="P62" i="41" a="1"/>
  <c r="P81" i="41" a="1"/>
  <c r="P60" i="41" a="1"/>
  <c r="P13" i="41" a="1"/>
  <c r="P57" i="41" a="1"/>
  <c r="P70" i="41" a="1"/>
  <c r="P86" i="41" a="1"/>
  <c r="P40" i="41" a="1"/>
  <c r="P105" i="41" a="1"/>
  <c r="P101" i="41" a="1"/>
  <c r="P37" i="41" a="1"/>
  <c r="P94" i="41" a="1"/>
  <c r="P67" i="41" a="1"/>
  <c r="P10" i="41" a="1"/>
  <c r="P104" i="41" a="1"/>
  <c r="P42" i="41" a="1"/>
  <c r="P25" i="41" a="1"/>
  <c r="P47" i="41" a="1"/>
  <c r="L31" i="42" l="1"/>
  <c r="M33" i="42"/>
  <c r="M34" i="42"/>
  <c r="P42" i="41"/>
  <c r="W42" i="41" s="1" a="1"/>
  <c r="W42" i="41" s="1"/>
  <c r="X42" i="41" s="1"/>
  <c r="P60" i="41"/>
  <c r="W60" i="41" s="1" a="1"/>
  <c r="W60" i="41" s="1"/>
  <c r="X60" i="41" s="1"/>
  <c r="P57" i="41"/>
  <c r="W57" i="41" s="1" a="1"/>
  <c r="W57" i="41" s="1"/>
  <c r="X57" i="41" s="1"/>
  <c r="P13" i="41"/>
  <c r="W13" i="41" s="1" a="1"/>
  <c r="W13" i="41" s="1"/>
  <c r="X13" i="41" s="1"/>
  <c r="P25" i="41"/>
  <c r="W25" i="41" s="1" a="1"/>
  <c r="W25" i="41" s="1"/>
  <c r="X25" i="41" s="1"/>
  <c r="P62" i="41"/>
  <c r="W62" i="41" s="1" a="1"/>
  <c r="W62" i="41" s="1"/>
  <c r="X62" i="41" s="1"/>
  <c r="P10" i="41"/>
  <c r="W10" i="41" s="1" a="1"/>
  <c r="W10" i="41" s="1"/>
  <c r="X10" i="41" s="1"/>
  <c r="P70" i="41"/>
  <c r="W70" i="41" s="1" a="1"/>
  <c r="W70" i="41" s="1"/>
  <c r="X70" i="41" s="1"/>
  <c r="P67" i="41"/>
  <c r="W67" i="41" s="1" a="1"/>
  <c r="W67" i="41" s="1"/>
  <c r="X67" i="41" s="1"/>
  <c r="P37" i="41"/>
  <c r="W37" i="41" s="1" a="1"/>
  <c r="W37" i="41" s="1"/>
  <c r="X37" i="41" s="1"/>
  <c r="P101" i="41"/>
  <c r="W101" i="41" s="1" a="1"/>
  <c r="W101" i="41" s="1"/>
  <c r="X101" i="41" s="1"/>
  <c r="P81" i="41"/>
  <c r="W81" i="41" s="1" a="1"/>
  <c r="W81" i="41" s="1"/>
  <c r="X81" i="41" s="1"/>
  <c r="P86" i="41"/>
  <c r="W86" i="41" s="1" a="1"/>
  <c r="W86" i="41" s="1"/>
  <c r="X86" i="41" s="1"/>
  <c r="P40" i="41"/>
  <c r="W40" i="41" s="1" a="1"/>
  <c r="W40" i="41" s="1"/>
  <c r="X40" i="41" s="1"/>
  <c r="P104" i="41"/>
  <c r="W104" i="41" s="1" a="1"/>
  <c r="W104" i="41" s="1"/>
  <c r="X104" i="41" s="1"/>
  <c r="P47" i="41"/>
  <c r="W47" i="41" s="1" a="1"/>
  <c r="W47" i="41" s="1"/>
  <c r="X47" i="41" s="1"/>
  <c r="P31" i="41"/>
  <c r="W31" i="41" s="1" a="1"/>
  <c r="W31" i="41" s="1"/>
  <c r="X31" i="41" s="1"/>
  <c r="P94" i="41"/>
  <c r="W94" i="41" s="1" a="1"/>
  <c r="W94" i="41" s="1"/>
  <c r="X94" i="41" s="1"/>
  <c r="P105" i="41"/>
  <c r="W105" i="41" s="1" a="1"/>
  <c r="W105" i="41" s="1"/>
  <c r="X105" i="41" s="1"/>
  <c r="M33" i="41"/>
  <c r="M31" i="41"/>
  <c r="I28" i="20"/>
  <c r="S28" i="20"/>
  <c r="S27" i="20"/>
  <c r="I27" i="20"/>
  <c r="I29" i="20"/>
  <c r="S29" i="20"/>
  <c r="I26" i="20"/>
  <c r="S26" i="20" s="1"/>
  <c r="R27" i="20"/>
  <c r="I25" i="20"/>
  <c r="P68" i="42" a="1"/>
  <c r="P34" i="41" a="1"/>
  <c r="P26" i="42" a="1"/>
  <c r="P32" i="42" a="1"/>
  <c r="P24" i="41" a="1"/>
  <c r="P20" i="42" a="1"/>
  <c r="P71" i="42" a="1"/>
  <c r="P51" i="42" a="1"/>
  <c r="P33" i="41" a="1"/>
  <c r="P109" i="42" a="1"/>
  <c r="P61" i="42" a="1"/>
  <c r="P53" i="41" a="1"/>
  <c r="P98" i="41" a="1"/>
  <c r="P64" i="41" a="1"/>
  <c r="P106" i="42" a="1"/>
  <c r="P22" i="41" a="1"/>
  <c r="P107" i="42" a="1"/>
  <c r="P106" i="41" a="1"/>
  <c r="P83" i="41" a="1"/>
  <c r="P108" i="41" a="1"/>
  <c r="P22" i="42" a="1"/>
  <c r="P56" i="42" a="1"/>
  <c r="P59" i="42" a="1"/>
  <c r="P17" i="42" a="1"/>
  <c r="P100" i="42" a="1"/>
  <c r="P99" i="41" a="1"/>
  <c r="P66" i="41" a="1"/>
  <c r="P23" i="42" a="1"/>
  <c r="P96" i="41" a="1"/>
  <c r="P84" i="42" a="1"/>
  <c r="P79" i="42" a="1"/>
  <c r="P16" i="41" a="1"/>
  <c r="P18" i="41" a="1"/>
  <c r="P20" i="41" a="1"/>
  <c r="P98" i="42" a="1"/>
  <c r="P12" i="42" a="1"/>
  <c r="P36" i="42" a="1"/>
  <c r="P19" i="41" a="1"/>
  <c r="P30" i="42" a="1"/>
  <c r="P18" i="42" a="1"/>
  <c r="P99" i="42" a="1"/>
  <c r="P75" i="42" a="1"/>
  <c r="P65" i="42" a="1"/>
  <c r="P77" i="42" a="1"/>
  <c r="P66" i="42" a="1"/>
  <c r="P76" i="42" a="1"/>
  <c r="P75" i="41" a="1"/>
  <c r="P103" i="42" a="1"/>
  <c r="P19" i="42" a="1"/>
  <c r="P72" i="42" a="1"/>
  <c r="P78" i="41" a="1"/>
  <c r="P64" i="42" a="1"/>
  <c r="P80" i="42" a="1"/>
  <c r="P72" i="41" a="1"/>
  <c r="P79" i="41" a="1"/>
  <c r="P17" i="41" a="1"/>
  <c r="P14" i="42" a="1"/>
  <c r="P28" i="42" a="1"/>
  <c r="P71" i="41" a="1"/>
  <c r="P22" i="42" l="1"/>
  <c r="W22" i="42" s="1" a="1"/>
  <c r="W22" i="42" s="1"/>
  <c r="X22" i="42" s="1"/>
  <c r="P75" i="42"/>
  <c r="W75" i="42" s="1" a="1"/>
  <c r="W75" i="42" s="1"/>
  <c r="X75" i="42" s="1"/>
  <c r="P18" i="42"/>
  <c r="W18" i="42" s="1" a="1"/>
  <c r="W18" i="42" s="1"/>
  <c r="X18" i="42" s="1"/>
  <c r="P98" i="42"/>
  <c r="W98" i="42" s="1" a="1"/>
  <c r="W98" i="42" s="1"/>
  <c r="X98" i="42" s="1"/>
  <c r="P19" i="42"/>
  <c r="W19" i="42" s="1" a="1"/>
  <c r="W19" i="42" s="1"/>
  <c r="X19" i="42" s="1"/>
  <c r="P79" i="42"/>
  <c r="W79" i="42" s="1" a="1"/>
  <c r="W79" i="42" s="1"/>
  <c r="X79" i="42" s="1"/>
  <c r="P71" i="42"/>
  <c r="W71" i="42" s="1" a="1"/>
  <c r="W71" i="42" s="1"/>
  <c r="X71" i="42" s="1"/>
  <c r="P72" i="42"/>
  <c r="W72" i="42" s="1" a="1"/>
  <c r="W72" i="42" s="1"/>
  <c r="X72" i="42" s="1"/>
  <c r="P99" i="42"/>
  <c r="W99" i="42" s="1" a="1"/>
  <c r="W99" i="42" s="1"/>
  <c r="X99" i="42" s="1"/>
  <c r="P66" i="42"/>
  <c r="W66" i="42" s="1" a="1"/>
  <c r="W66" i="42" s="1"/>
  <c r="X66" i="42" s="1"/>
  <c r="P64" i="42"/>
  <c r="W64" i="42" s="1" a="1"/>
  <c r="W64" i="42" s="1"/>
  <c r="X64" i="42" s="1"/>
  <c r="P20" i="42"/>
  <c r="W20" i="42" s="1" a="1"/>
  <c r="W20" i="42" s="1"/>
  <c r="X20" i="42" s="1"/>
  <c r="P106" i="42"/>
  <c r="W106" i="42" s="1" a="1"/>
  <c r="W106" i="42" s="1"/>
  <c r="X106" i="42" s="1"/>
  <c r="P17" i="42"/>
  <c r="W17" i="42" s="1" a="1"/>
  <c r="W17" i="42" s="1"/>
  <c r="X17" i="42" s="1"/>
  <c r="P51" i="42"/>
  <c r="W51" i="42" s="1" a="1"/>
  <c r="W51" i="42" s="1"/>
  <c r="X51" i="42" s="1"/>
  <c r="P14" i="42"/>
  <c r="W14" i="42" s="1" a="1"/>
  <c r="W14" i="42" s="1"/>
  <c r="X14" i="42" s="1"/>
  <c r="P84" i="42"/>
  <c r="W84" i="42" s="1" a="1"/>
  <c r="W84" i="42" s="1"/>
  <c r="X84" i="42" s="1"/>
  <c r="P26" i="42"/>
  <c r="W26" i="42" s="1" a="1"/>
  <c r="W26" i="42" s="1"/>
  <c r="X26" i="42" s="1"/>
  <c r="P107" i="42"/>
  <c r="W107" i="42" s="1" a="1"/>
  <c r="W107" i="42" s="1"/>
  <c r="X107" i="42" s="1"/>
  <c r="P76" i="42"/>
  <c r="W76" i="42" s="1" a="1"/>
  <c r="W76" i="42" s="1"/>
  <c r="X76" i="42" s="1"/>
  <c r="P12" i="42"/>
  <c r="W12" i="42" s="1" a="1"/>
  <c r="W12" i="42" s="1"/>
  <c r="X12" i="42" s="1"/>
  <c r="P80" i="42"/>
  <c r="W80" i="42" s="1" a="1"/>
  <c r="W80" i="42" s="1"/>
  <c r="X80" i="42" s="1"/>
  <c r="P23" i="42"/>
  <c r="W23" i="42" s="1" a="1"/>
  <c r="W23" i="42" s="1"/>
  <c r="X23" i="42" s="1"/>
  <c r="P28" i="42"/>
  <c r="W28" i="42" s="1" a="1"/>
  <c r="W28" i="42" s="1"/>
  <c r="X28" i="42" s="1"/>
  <c r="P103" i="42"/>
  <c r="W103" i="42" s="1" a="1"/>
  <c r="W103" i="42" s="1"/>
  <c r="X103" i="42" s="1"/>
  <c r="P109" i="42"/>
  <c r="W109" i="42" s="1" a="1"/>
  <c r="W109" i="42" s="1"/>
  <c r="X109" i="42" s="1"/>
  <c r="P77" i="42"/>
  <c r="W77" i="42" s="1" a="1"/>
  <c r="W77" i="42" s="1"/>
  <c r="X77" i="42" s="1"/>
  <c r="P100" i="42"/>
  <c r="W100" i="42" s="1" a="1"/>
  <c r="W100" i="42" s="1"/>
  <c r="X100" i="42" s="1"/>
  <c r="P68" i="42"/>
  <c r="W68" i="42" s="1" a="1"/>
  <c r="W68" i="42" s="1"/>
  <c r="X68" i="42" s="1"/>
  <c r="P36" i="42"/>
  <c r="W36" i="42" s="1" a="1"/>
  <c r="W36" i="42" s="1"/>
  <c r="X36" i="42" s="1"/>
  <c r="P59" i="42"/>
  <c r="W59" i="42" s="1" a="1"/>
  <c r="W59" i="42" s="1"/>
  <c r="X59" i="42" s="1"/>
  <c r="P32" i="42"/>
  <c r="W32" i="42" s="1" a="1"/>
  <c r="W32" i="42" s="1"/>
  <c r="X32" i="42" s="1"/>
  <c r="P65" i="42"/>
  <c r="W65" i="42" s="1" a="1"/>
  <c r="W65" i="42" s="1"/>
  <c r="X65" i="42" s="1"/>
  <c r="P61" i="42"/>
  <c r="W61" i="42" s="1" a="1"/>
  <c r="W61" i="42" s="1"/>
  <c r="X61" i="42" s="1"/>
  <c r="P56" i="42"/>
  <c r="W56" i="42" s="1" a="1"/>
  <c r="W56" i="42" s="1"/>
  <c r="X56" i="42" s="1"/>
  <c r="P30" i="42"/>
  <c r="W30" i="42" s="1" a="1"/>
  <c r="W30" i="42" s="1"/>
  <c r="X30" i="42" s="1"/>
  <c r="M31" i="42"/>
  <c r="P108" i="41"/>
  <c r="W108" i="41" s="1" a="1"/>
  <c r="W108" i="41" s="1"/>
  <c r="X108" i="41" s="1"/>
  <c r="P34" i="41"/>
  <c r="W34" i="41" s="1" a="1"/>
  <c r="W34" i="41" s="1"/>
  <c r="X34" i="41" s="1"/>
  <c r="P53" i="41"/>
  <c r="W53" i="41" s="1" a="1"/>
  <c r="W53" i="41" s="1"/>
  <c r="X53" i="41" s="1"/>
  <c r="P83" i="41"/>
  <c r="W83" i="41" s="1" a="1"/>
  <c r="W83" i="41" s="1"/>
  <c r="X83" i="41" s="1"/>
  <c r="P96" i="41"/>
  <c r="W96" i="41" s="1" a="1"/>
  <c r="W96" i="41" s="1"/>
  <c r="X96" i="41" s="1"/>
  <c r="P78" i="41"/>
  <c r="W78" i="41" s="1" a="1"/>
  <c r="W78" i="41" s="1"/>
  <c r="X78" i="41" s="1"/>
  <c r="P24" i="41"/>
  <c r="W24" i="41" s="1" a="1"/>
  <c r="W24" i="41" s="1"/>
  <c r="X24" i="41" s="1"/>
  <c r="P33" i="41"/>
  <c r="W33" i="41" s="1" a="1"/>
  <c r="W33" i="41" s="1"/>
  <c r="X33" i="41" s="1"/>
  <c r="P16" i="41"/>
  <c r="W16" i="41" s="1" a="1"/>
  <c r="W16" i="41" s="1"/>
  <c r="X16" i="41" s="1"/>
  <c r="P98" i="41"/>
  <c r="W98" i="41" s="1" a="1"/>
  <c r="W98" i="41" s="1"/>
  <c r="X98" i="41" s="1"/>
  <c r="P19" i="41"/>
  <c r="W19" i="41" s="1" a="1"/>
  <c r="W19" i="41" s="1"/>
  <c r="X19" i="41" s="1"/>
  <c r="P75" i="41"/>
  <c r="W75" i="41" s="1" a="1"/>
  <c r="W75" i="41" s="1"/>
  <c r="X75" i="41" s="1"/>
  <c r="P22" i="41"/>
  <c r="W22" i="41" s="1" a="1"/>
  <c r="W22" i="41" s="1"/>
  <c r="X22" i="41" s="1"/>
  <c r="P66" i="41"/>
  <c r="W66" i="41" s="1" a="1"/>
  <c r="W66" i="41" s="1"/>
  <c r="X66" i="41" s="1"/>
  <c r="P17" i="41"/>
  <c r="W17" i="41" s="1" a="1"/>
  <c r="W17" i="41" s="1"/>
  <c r="X17" i="41" s="1"/>
  <c r="P20" i="41"/>
  <c r="W20" i="41" s="1" a="1"/>
  <c r="W20" i="41" s="1"/>
  <c r="X20" i="41" s="1"/>
  <c r="P79" i="41"/>
  <c r="W79" i="41" s="1" a="1"/>
  <c r="W79" i="41" s="1"/>
  <c r="X79" i="41" s="1"/>
  <c r="P72" i="41"/>
  <c r="W72" i="41" s="1" a="1"/>
  <c r="W72" i="41" s="1"/>
  <c r="X72" i="41" s="1"/>
  <c r="P18" i="41"/>
  <c r="W18" i="41" s="1" a="1"/>
  <c r="W18" i="41" s="1"/>
  <c r="X18" i="41" s="1"/>
  <c r="P71" i="41"/>
  <c r="W71" i="41" s="1" a="1"/>
  <c r="W71" i="41" s="1"/>
  <c r="X71" i="41" s="1"/>
  <c r="P64" i="41"/>
  <c r="W64" i="41" s="1" a="1"/>
  <c r="W64" i="41" s="1"/>
  <c r="X64" i="41" s="1"/>
  <c r="P106" i="41"/>
  <c r="W106" i="41" s="1" a="1"/>
  <c r="W106" i="41" s="1"/>
  <c r="X106" i="41" s="1"/>
  <c r="P99" i="41"/>
  <c r="W99" i="41" s="1" a="1"/>
  <c r="W99" i="41" s="1"/>
  <c r="X99" i="41" s="1"/>
  <c r="T29" i="20"/>
  <c r="J29" i="20"/>
  <c r="T27" i="20"/>
  <c r="J27" i="20"/>
  <c r="J25" i="20"/>
  <c r="T28" i="20"/>
  <c r="J28" i="20"/>
  <c r="S25" i="20"/>
  <c r="J26" i="20"/>
  <c r="P33" i="42" a="1"/>
  <c r="P24" i="42" a="1"/>
  <c r="P16" i="42" a="1"/>
  <c r="P96" i="42" a="1"/>
  <c r="P78" i="42" a="1"/>
  <c r="P83" i="42" a="1"/>
  <c r="P108" i="42" a="1"/>
  <c r="P53" i="42" a="1"/>
  <c r="P34" i="42" a="1"/>
  <c r="P78" i="42" l="1"/>
  <c r="W78" i="42" s="1" a="1"/>
  <c r="W78" i="42" s="1"/>
  <c r="X78" i="42" s="1"/>
  <c r="P34" i="42"/>
  <c r="W34" i="42" s="1" a="1"/>
  <c r="W34" i="42" s="1"/>
  <c r="X34" i="42" s="1"/>
  <c r="P96" i="42"/>
  <c r="W96" i="42" s="1" a="1"/>
  <c r="W96" i="42" s="1"/>
  <c r="X96" i="42" s="1"/>
  <c r="P33" i="42"/>
  <c r="W33" i="42" s="1" a="1"/>
  <c r="W33" i="42" s="1"/>
  <c r="X33" i="42" s="1"/>
  <c r="P53" i="42"/>
  <c r="W53" i="42" s="1" a="1"/>
  <c r="W53" i="42" s="1"/>
  <c r="X53" i="42" s="1"/>
  <c r="P16" i="42"/>
  <c r="W16" i="42" s="1" a="1"/>
  <c r="W16" i="42" s="1"/>
  <c r="X16" i="42" s="1"/>
  <c r="P108" i="42"/>
  <c r="W108" i="42" s="1" a="1"/>
  <c r="W108" i="42" s="1"/>
  <c r="X108" i="42" s="1"/>
  <c r="P24" i="42"/>
  <c r="W24" i="42" s="1" a="1"/>
  <c r="W24" i="42" s="1"/>
  <c r="X24" i="42" s="1"/>
  <c r="P83" i="42"/>
  <c r="W83" i="42" s="1" a="1"/>
  <c r="W83" i="42" s="1"/>
  <c r="X83" i="42" s="1"/>
  <c r="K25" i="20"/>
  <c r="U25" i="20" s="1"/>
  <c r="K28" i="20"/>
  <c r="U28" i="20"/>
  <c r="T25" i="20"/>
  <c r="U26" i="20"/>
  <c r="K26" i="20"/>
  <c r="U27" i="20"/>
  <c r="K27" i="20"/>
  <c r="T26" i="20"/>
  <c r="K29" i="20"/>
  <c r="U29" i="20"/>
  <c r="L25" i="20" l="1"/>
  <c r="V25" i="20" s="1"/>
  <c r="C32" i="20" s="1"/>
  <c r="E32" i="20" s="1"/>
  <c r="G32" i="20" s="1"/>
  <c r="L29" i="20"/>
  <c r="V29" i="20"/>
  <c r="C36" i="20" s="1"/>
  <c r="E36" i="20" s="1"/>
  <c r="G36" i="20" s="1"/>
  <c r="L26" i="20"/>
  <c r="V26" i="20"/>
  <c r="C33" i="20" s="1"/>
  <c r="E33" i="20" s="1"/>
  <c r="G33" i="20" s="1"/>
  <c r="L28" i="20"/>
  <c r="V28" i="20"/>
  <c r="C35" i="20" s="1"/>
  <c r="E35" i="20" s="1"/>
  <c r="G35" i="20" s="1"/>
  <c r="L27" i="20"/>
  <c r="V27" i="20"/>
  <c r="C34" i="20" s="1"/>
  <c r="E34" i="20" s="1"/>
  <c r="G34" i="20" s="1"/>
  <c r="G37" i="20" l="1"/>
  <c r="I32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<sst xmlns="http://schemas.openxmlformats.org/spreadsheetml/2006/main" count="1908" uniqueCount="293">
  <si>
    <t>Others?</t>
  </si>
  <si>
    <t>responsiveness to contact attempts</t>
  </si>
  <si>
    <t># days past due</t>
  </si>
  <si>
    <t># payments missed</t>
  </si>
  <si>
    <t>Post origination</t>
  </si>
  <si>
    <t>Revenue</t>
  </si>
  <si>
    <t>Time in business</t>
  </si>
  <si>
    <t>Commercial</t>
  </si>
  <si>
    <t>Income</t>
  </si>
  <si>
    <t>Bank Statements</t>
  </si>
  <si>
    <t>FICO Scores</t>
  </si>
  <si>
    <t>Consumer</t>
  </si>
  <si>
    <t>geography</t>
  </si>
  <si>
    <t>Rate</t>
  </si>
  <si>
    <t>Vintage</t>
  </si>
  <si>
    <t>Term</t>
  </si>
  <si>
    <t>Size</t>
  </si>
  <si>
    <t>At origination</t>
  </si>
  <si>
    <t>Segmentation</t>
  </si>
  <si>
    <t>Loan Portfolio Segments</t>
  </si>
  <si>
    <t>D</t>
  </si>
  <si>
    <t>C</t>
  </si>
  <si>
    <t>Company100</t>
  </si>
  <si>
    <t>A</t>
  </si>
  <si>
    <t>Company99</t>
  </si>
  <si>
    <t>Company98</t>
  </si>
  <si>
    <t>Company97</t>
  </si>
  <si>
    <t>F</t>
  </si>
  <si>
    <t>Company96</t>
  </si>
  <si>
    <t>Company95</t>
  </si>
  <si>
    <t>Company94</t>
  </si>
  <si>
    <t>E</t>
  </si>
  <si>
    <t>Company93</t>
  </si>
  <si>
    <t>Company92</t>
  </si>
  <si>
    <t>Company91</t>
  </si>
  <si>
    <t>Company90</t>
  </si>
  <si>
    <t>B</t>
  </si>
  <si>
    <t>Company89</t>
  </si>
  <si>
    <t>Company88</t>
  </si>
  <si>
    <t>Company87</t>
  </si>
  <si>
    <t>Company86</t>
  </si>
  <si>
    <t>Company85</t>
  </si>
  <si>
    <t>Company84</t>
  </si>
  <si>
    <t>Company83</t>
  </si>
  <si>
    <t>Company82</t>
  </si>
  <si>
    <t>Company81</t>
  </si>
  <si>
    <t>Company80</t>
  </si>
  <si>
    <t>Company79</t>
  </si>
  <si>
    <t>Company78</t>
  </si>
  <si>
    <t>Company77</t>
  </si>
  <si>
    <t>Company76</t>
  </si>
  <si>
    <t>Company75</t>
  </si>
  <si>
    <t>Company74</t>
  </si>
  <si>
    <t>Company73</t>
  </si>
  <si>
    <t>Company72</t>
  </si>
  <si>
    <t>Company71</t>
  </si>
  <si>
    <t>Company70</t>
  </si>
  <si>
    <t>Company69</t>
  </si>
  <si>
    <t>Company68</t>
  </si>
  <si>
    <t>Company67</t>
  </si>
  <si>
    <t>Company66</t>
  </si>
  <si>
    <t>Company65</t>
  </si>
  <si>
    <t>Company64</t>
  </si>
  <si>
    <t>Company63</t>
  </si>
  <si>
    <t>Company62</t>
  </si>
  <si>
    <t>Company61</t>
  </si>
  <si>
    <t>Company60</t>
  </si>
  <si>
    <t>Company59</t>
  </si>
  <si>
    <t>Company58</t>
  </si>
  <si>
    <t>Company57</t>
  </si>
  <si>
    <t>Company56</t>
  </si>
  <si>
    <t>Company55</t>
  </si>
  <si>
    <t>Company54</t>
  </si>
  <si>
    <t>Company53</t>
  </si>
  <si>
    <t>Company52</t>
  </si>
  <si>
    <t>Company51</t>
  </si>
  <si>
    <t>Company50</t>
  </si>
  <si>
    <t>Company49</t>
  </si>
  <si>
    <t>Company48</t>
  </si>
  <si>
    <t>Company47</t>
  </si>
  <si>
    <t>Company46</t>
  </si>
  <si>
    <t>Company45</t>
  </si>
  <si>
    <t>Company44</t>
  </si>
  <si>
    <t>Company43</t>
  </si>
  <si>
    <t>Company42</t>
  </si>
  <si>
    <t>Company41</t>
  </si>
  <si>
    <t>Company40</t>
  </si>
  <si>
    <t>Company39</t>
  </si>
  <si>
    <t>Company38</t>
  </si>
  <si>
    <t>Company37</t>
  </si>
  <si>
    <t>Company36</t>
  </si>
  <si>
    <t>Company35</t>
  </si>
  <si>
    <t>Company34</t>
  </si>
  <si>
    <t>Company33</t>
  </si>
  <si>
    <t>Company32</t>
  </si>
  <si>
    <t>Company31</t>
  </si>
  <si>
    <t>Company30</t>
  </si>
  <si>
    <t>Company29</t>
  </si>
  <si>
    <t>Company28</t>
  </si>
  <si>
    <t>Company27</t>
  </si>
  <si>
    <t>Company26</t>
  </si>
  <si>
    <t>Company25</t>
  </si>
  <si>
    <t>Company24</t>
  </si>
  <si>
    <t>Company23</t>
  </si>
  <si>
    <t>Company22</t>
  </si>
  <si>
    <t>Company21</t>
  </si>
  <si>
    <t>Cumulative Probabilities</t>
  </si>
  <si>
    <t>Company20</t>
  </si>
  <si>
    <t>Company19</t>
  </si>
  <si>
    <t>Company18</t>
  </si>
  <si>
    <t>Company17</t>
  </si>
  <si>
    <t>Company16</t>
  </si>
  <si>
    <t>Company15</t>
  </si>
  <si>
    <t>Company14</t>
  </si>
  <si>
    <t>Company13</t>
  </si>
  <si>
    <t>Company12</t>
  </si>
  <si>
    <t>Company11</t>
  </si>
  <si>
    <t>Histograms</t>
  </si>
  <si>
    <t>Company10</t>
  </si>
  <si>
    <t>Probabilities</t>
  </si>
  <si>
    <t>Company9</t>
  </si>
  <si>
    <t>Company8</t>
  </si>
  <si>
    <t>Company7</t>
  </si>
  <si>
    <t>Company6</t>
  </si>
  <si>
    <t>Company5</t>
  </si>
  <si>
    <t>Company4</t>
  </si>
  <si>
    <t>Company3</t>
  </si>
  <si>
    <t>Company2</t>
  </si>
  <si>
    <t>Company1</t>
  </si>
  <si>
    <t>RatingNow</t>
  </si>
  <si>
    <t>RatingLast</t>
  </si>
  <si>
    <t>Rand</t>
  </si>
  <si>
    <t>Company</t>
  </si>
  <si>
    <t>Counts</t>
  </si>
  <si>
    <t>CreditMetrics</t>
  </si>
  <si>
    <t>Loan covenants</t>
  </si>
  <si>
    <t>Triggers</t>
  </si>
  <si>
    <t>Ratings downgrade</t>
  </si>
  <si>
    <t>Default on supplier</t>
  </si>
  <si>
    <t>Low profit or revenue</t>
  </si>
  <si>
    <t>May backfire if all counterparties make demands</t>
  </si>
  <si>
    <t>Homework Review</t>
  </si>
  <si>
    <t>PD</t>
  </si>
  <si>
    <t>Spread</t>
  </si>
  <si>
    <t>Credit Metrics</t>
  </si>
  <si>
    <t>Loan Covenants</t>
  </si>
  <si>
    <t>Loan Segmentation</t>
  </si>
  <si>
    <t>How cash is different than profit.</t>
  </si>
  <si>
    <t>Cash, but not profit, reducing events:</t>
  </si>
  <si>
    <t>Customers bought on account.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</si>
  <si>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</si>
  <si>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</si>
  <si>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</si>
  <si>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</si>
  <si>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</si>
  <si>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</si>
  <si>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CDS</t>
  </si>
  <si>
    <t>What's a Credit Default Swap (CDS)?</t>
  </si>
  <si>
    <t>Recall that a swap is a fixed for floating exchange.</t>
  </si>
  <si>
    <t>A CDS is the same but the floating leg is a an unlikely credit event.</t>
  </si>
  <si>
    <t>Invented at JPM Morgan to insure Exxon after the Valdez Crisis.</t>
  </si>
  <si>
    <t>The spread is the price.</t>
  </si>
  <si>
    <t>A spread is the difference between risk free and risky loans.</t>
  </si>
  <si>
    <t>See optional material for calculation.</t>
  </si>
  <si>
    <t>http://www.investopedia.com/terms/c/creditdefaultswap.asp</t>
  </si>
  <si>
    <t>Calculate PD given a Credit Spread</t>
  </si>
  <si>
    <t>Face</t>
  </si>
  <si>
    <t>CouponRate</t>
  </si>
  <si>
    <t>Frequency</t>
  </si>
  <si>
    <t>n</t>
  </si>
  <si>
    <t>YTM</t>
  </si>
  <si>
    <t>YTM_rf</t>
  </si>
  <si>
    <t>CouponPmt</t>
  </si>
  <si>
    <t>Value</t>
  </si>
  <si>
    <t>Value_rf</t>
  </si>
  <si>
    <t>Eloss</t>
  </si>
  <si>
    <t>Period</t>
  </si>
  <si>
    <t>Time</t>
  </si>
  <si>
    <t>pmt</t>
  </si>
  <si>
    <t>pv</t>
  </si>
  <si>
    <t>pv_rf</t>
  </si>
  <si>
    <t xml:space="preserve">Time </t>
  </si>
  <si>
    <t>TimeR</t>
  </si>
  <si>
    <t>Time_</t>
  </si>
  <si>
    <t>value_rf_</t>
  </si>
  <si>
    <t>Recovery</t>
  </si>
  <si>
    <t>Loss</t>
  </si>
  <si>
    <t>pv_rf_</t>
  </si>
  <si>
    <t>PV[Loss]</t>
  </si>
  <si>
    <t>Credit Spreads</t>
  </si>
  <si>
    <t>Term Structure</t>
  </si>
  <si>
    <t>Spread to PD</t>
  </si>
  <si>
    <t>-&gt;</t>
  </si>
  <si>
    <t>PV</t>
  </si>
  <si>
    <t>E[L] = PD * EAD * LGD</t>
  </si>
  <si>
    <t>E[L] = PD * EAD * (1-R)</t>
  </si>
  <si>
    <t>E[L] / (EAD * (1-R)) = PD</t>
  </si>
  <si>
    <t>Spread2PD</t>
  </si>
  <si>
    <t>Price_</t>
  </si>
  <si>
    <t>Duration_</t>
  </si>
  <si>
    <t>N/A</t>
  </si>
  <si>
    <t>You have a 7 year bond paying at 6% coupon semiannually.</t>
  </si>
  <si>
    <t>Estimate the implied probability of default.</t>
  </si>
  <si>
    <t>The bond is trading at 98 cents on the dollar.</t>
  </si>
  <si>
    <t>You will need to surf the web to infer risk free rates and/or compare to a treasury bond.</t>
  </si>
  <si>
    <t>Review the notecards.</t>
  </si>
  <si>
    <t>Cards</t>
  </si>
  <si>
    <t>Software</t>
  </si>
  <si>
    <t>Review the Reminder tabs</t>
  </si>
  <si>
    <t>Do Homework Questions in the yellow tabs</t>
  </si>
  <si>
    <t xml:space="preserve"> </t>
  </si>
  <si>
    <t>Hazard Rates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</si>
  <si>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</si>
  <si>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</si>
  <si>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</si>
  <si>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</si>
  <si>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</si>
  <si>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</si>
  <si>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</si>
  <si>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</si>
  <si>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</si>
  <si>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</si>
  <si>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</si>
  <si>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</si>
  <si>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</si>
  <si>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</si>
  <si>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</si>
  <si>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</si>
  <si>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</si>
  <si>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</si>
  <si>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</si>
  <si>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</si>
  <si>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</si>
  <si>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Q(t) = 1 - V(t)</t>
  </si>
  <si>
    <t>The modeled average hazard rate is 2.2%</t>
  </si>
  <si>
    <t>What is the Conditional Probability of default in each year over the next 3 years?</t>
  </si>
  <si>
    <t>Implied PD</t>
  </si>
  <si>
    <t>Question</t>
  </si>
  <si>
    <t>Points</t>
  </si>
  <si>
    <t>A credit analyst at your company has modeled the hazard rate of a counterparty.</t>
  </si>
  <si>
    <t>Assuming a recovery rate of 40%, what should the limit to the counterparty be set at, over the next year, to keep the Expected loss under $1 Million?</t>
  </si>
  <si>
    <t>Assuming a recovery rate of 40%, what should the limit to the counterparty be set at, over the next 2 years, to keep the Expected loss under $1 Million?</t>
  </si>
  <si>
    <t>What is the Cumulative Unconditional Probability of default in each year over the next 3 years?</t>
  </si>
  <si>
    <t>What is the Unconditional Probability of default in each year over the next 3 years?</t>
  </si>
  <si>
    <t>Prepare for the midterm</t>
  </si>
  <si>
    <t>Review the Homework assignments</t>
  </si>
  <si>
    <t>p_d</t>
  </si>
  <si>
    <t>C_</t>
  </si>
  <si>
    <t>Transitions</t>
  </si>
  <si>
    <t>RatingSim</t>
  </si>
  <si>
    <t>index</t>
  </si>
  <si>
    <t>SpreadLast</t>
  </si>
  <si>
    <t>SpreadNew</t>
  </si>
  <si>
    <t>SpreadCh</t>
  </si>
  <si>
    <t>ValueCh</t>
  </si>
  <si>
    <t>PortfolioSpread_PnL</t>
  </si>
  <si>
    <t>Spread_PnL</t>
  </si>
  <si>
    <t>Tables</t>
  </si>
  <si>
    <t>TransSim</t>
  </si>
  <si>
    <t>Data</t>
  </si>
  <si>
    <t>LoanCovenants</t>
  </si>
  <si>
    <t>LoanSegmentation</t>
  </si>
  <si>
    <t>HazardRate1</t>
  </si>
  <si>
    <t>HazardRate2</t>
  </si>
  <si>
    <t>HazardRate_Appendix</t>
  </si>
  <si>
    <t>What is the probability of defaulting at some time between now and ten years forward?</t>
  </si>
  <si>
    <t>CashVsProfit</t>
  </si>
  <si>
    <t>Below is a data set of rating transitions for a fixed income portfolio.</t>
  </si>
  <si>
    <t>Notes</t>
  </si>
  <si>
    <t>But that machinery only captures the Spread PnL.</t>
  </si>
  <si>
    <t>Use 1000 simulations.</t>
  </si>
  <si>
    <t>Use the CreditMetrics framework to generate different risk distributions.</t>
  </si>
  <si>
    <t>Spread Risk</t>
  </si>
  <si>
    <t>Default Risk</t>
  </si>
  <si>
    <t>Spread and Default Risk</t>
  </si>
  <si>
    <t>Display the different distributions.</t>
  </si>
  <si>
    <t>You can use data tables.</t>
  </si>
  <si>
    <t>Price</t>
  </si>
  <si>
    <t>Duration</t>
  </si>
  <si>
    <t>The CreditMetrics tabs show much of the machinery.</t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</si>
  <si>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</si>
  <si>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V(t)</t>
    </r>
  </si>
  <si>
    <r>
      <t>[ V(t)  - 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]  /  V(t)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</si>
  <si>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 xml:space="preserve">dV(t)/dt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V(t)</t>
    </r>
  </si>
  <si>
    <r>
      <t xml:space="preserve">dV(t)/dt /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</t>
    </r>
  </si>
  <si>
    <r>
      <t xml:space="preserve">ln(V(t)) =  ∫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</si>
  <si>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V(t) =  e-∫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</si>
  <si>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>-∫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</si>
  <si>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 xml:space="preserve">-∫ 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 (Body)"/>
      </rPr>
      <t>avg</t>
    </r>
    <r>
      <rPr>
        <vertAlign val="superscript"/>
        <sz val="20"/>
        <color theme="1"/>
        <rFont val="Calibri"/>
        <family val="2"/>
        <scheme val="minor"/>
      </rPr>
      <t xml:space="preserve"> dt</t>
    </r>
  </si>
  <si>
    <t>Risk Management and Financial Institutions. 6th Edition. Ch 17.4</t>
  </si>
  <si>
    <t>Risk Management and Financial Institutions. 6th Edition. Ch 19.4</t>
  </si>
  <si>
    <t>Risk Management and Financial Institutions. 6th Edition. Ch 17.2</t>
  </si>
  <si>
    <t>Risk Management and Financial Institutions. 6th Edition. Ch 17.2.1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</si>
</sst>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0.0"/>
    <numFmt numFmtId="166" formatCode="0.000%"/>
    <numFmt numFmtId="167" formatCode="0.0000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"/>
      <family val="2"/>
      <scheme val="minor"/>
    </font>
    <font>
      <vertAlign val="superscript"/>
      <sz val="20"/>
      <color theme="1"/>
      <name val="Symbol"/>
      <charset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1">
    <xf numFmtId="0" fontId="0" fillId="0" borderId="0"/>
    <xf numFmtId="164" fontId="9" fillId="0" borderId="0" applyFont="0" applyFill="0" applyBorder="0" applyAlignment="0" applyProtection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44" fontId="1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114">
    <xf numFmtId="0" fontId="0" fillId="0" borderId="0" xfId="0"/>
    <xf numFmtId="0" fontId="10" fillId="3" borderId="0" xfId="0" applyFont="1" applyFill="1"/>
    <xf numFmtId="0" fontId="0" fillId="4" borderId="0" xfId="0" applyFill="1"/>
    <xf numFmtId="0" fontId="10" fillId="2" borderId="0" xfId="5" applyFont="1" applyFill="1"/>
    <xf numFmtId="0" fontId="11" fillId="3" borderId="0" xfId="6" applyFill="1"/>
    <xf numFmtId="0" fontId="12" fillId="3" borderId="0" xfId="6" applyFont="1" applyFill="1" applyAlignment="1">
      <alignment horizontal="right"/>
    </xf>
    <xf numFmtId="0" fontId="12" fillId="3" borderId="0" xfId="6" applyFont="1" applyFill="1"/>
    <xf numFmtId="0" fontId="11" fillId="3" borderId="0" xfId="6" applyFill="1" applyAlignment="1">
      <alignment horizontal="right"/>
    </xf>
    <xf numFmtId="0" fontId="0" fillId="3" borderId="0" xfId="6" applyFont="1" applyFill="1"/>
    <xf numFmtId="9" fontId="0" fillId="4" borderId="1" xfId="8" applyFont="1" applyFill="1" applyBorder="1"/>
    <xf numFmtId="9" fontId="0" fillId="3" borderId="2" xfId="8" applyFont="1" applyFill="1" applyBorder="1"/>
    <xf numFmtId="9" fontId="0" fillId="3" borderId="3" xfId="8" applyFont="1" applyFill="1" applyBorder="1"/>
    <xf numFmtId="9" fontId="0" fillId="3" borderId="4" xfId="8" applyFont="1" applyFill="1" applyBorder="1"/>
    <xf numFmtId="9" fontId="0" fillId="4" borderId="0" xfId="8" applyFont="1" applyFill="1"/>
    <xf numFmtId="9" fontId="0" fillId="3" borderId="0" xfId="8" applyFont="1" applyFill="1"/>
    <xf numFmtId="9" fontId="0" fillId="3" borderId="5" xfId="8" applyFont="1" applyFill="1" applyBorder="1"/>
    <xf numFmtId="9" fontId="0" fillId="3" borderId="6" xfId="8" applyFont="1" applyFill="1" applyBorder="1"/>
    <xf numFmtId="9" fontId="0" fillId="3" borderId="7" xfId="8" applyFont="1" applyFill="1" applyBorder="1"/>
    <xf numFmtId="9" fontId="0" fillId="4" borderId="8" xfId="8" applyFont="1" applyFill="1" applyBorder="1"/>
    <xf numFmtId="0" fontId="13" fillId="3" borderId="1" xfId="6" applyFont="1" applyFill="1" applyBorder="1"/>
    <xf numFmtId="0" fontId="13" fillId="3" borderId="2" xfId="6" applyFont="1" applyFill="1" applyBorder="1"/>
    <xf numFmtId="0" fontId="13" fillId="3" borderId="3" xfId="6" applyFont="1" applyFill="1" applyBorder="1"/>
    <xf numFmtId="0" fontId="13" fillId="3" borderId="0" xfId="6" applyFont="1" applyFill="1"/>
    <xf numFmtId="0" fontId="13" fillId="3" borderId="4" xfId="6" applyFont="1" applyFill="1" applyBorder="1"/>
    <xf numFmtId="0" fontId="13" fillId="3" borderId="5" xfId="6" applyFont="1" applyFill="1" applyBorder="1"/>
    <xf numFmtId="0" fontId="13" fillId="3" borderId="6" xfId="6" applyFont="1" applyFill="1" applyBorder="1"/>
    <xf numFmtId="0" fontId="13" fillId="3" borderId="7" xfId="6" applyFont="1" applyFill="1" applyBorder="1"/>
    <xf numFmtId="0" fontId="13" fillId="3" borderId="8" xfId="6" applyFont="1" applyFill="1" applyBorder="1"/>
    <xf numFmtId="0" fontId="13" fillId="3" borderId="0" xfId="6" applyFont="1" applyFill="1" applyAlignment="1">
      <alignment horizontal="right"/>
    </xf>
    <xf numFmtId="0" fontId="10" fillId="3" borderId="0" xfId="6" applyFont="1" applyFill="1"/>
    <xf numFmtId="0" fontId="0" fillId="3" borderId="0" xfId="6" applyFont="1" applyFill="1" applyAlignment="1">
      <alignment horizontal="right"/>
    </xf>
    <xf numFmtId="0" fontId="14" fillId="4" borderId="0" xfId="9" applyFont="1" applyFill="1"/>
    <xf numFmtId="0" fontId="15" fillId="4" borderId="0" xfId="0" applyFont="1" applyFill="1"/>
    <xf numFmtId="0" fontId="10" fillId="2" borderId="0" xfId="0" applyFont="1" applyFill="1"/>
    <xf numFmtId="0" fontId="17" fillId="2" borderId="0" xfId="12" applyFont="1" applyFill="1"/>
    <xf numFmtId="0" fontId="16" fillId="2" borderId="0" xfId="12" applyFill="1"/>
    <xf numFmtId="0" fontId="18" fillId="3" borderId="0" xfId="0" applyFont="1" applyFill="1"/>
    <xf numFmtId="0" fontId="0" fillId="3" borderId="0" xfId="0" applyFill="1"/>
    <xf numFmtId="9" fontId="0" fillId="3" borderId="0" xfId="0" applyNumberFormat="1" applyFill="1"/>
    <xf numFmtId="44" fontId="0" fillId="3" borderId="0" xfId="11" applyFont="1" applyFill="1"/>
    <xf numFmtId="44" fontId="0" fillId="3" borderId="0" xfId="0" applyNumberFormat="1" applyFill="1"/>
    <xf numFmtId="0" fontId="0" fillId="3" borderId="0" xfId="0" applyFill="1" applyAlignment="1">
      <alignment horizontal="right"/>
    </xf>
    <xf numFmtId="0" fontId="0" fillId="3" borderId="8" xfId="0" applyFill="1" applyBorder="1"/>
    <xf numFmtId="0" fontId="0" fillId="3" borderId="7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1" xfId="0" applyFill="1" applyBorder="1"/>
    <xf numFmtId="2" fontId="0" fillId="3" borderId="0" xfId="0" applyNumberFormat="1" applyFill="1"/>
    <xf numFmtId="167" fontId="0" fillId="3" borderId="0" xfId="0" applyNumberFormat="1" applyFill="1"/>
    <xf numFmtId="10" fontId="0" fillId="3" borderId="0" xfId="7" applyNumberFormat="1" applyFont="1" applyFill="1"/>
    <xf numFmtId="0" fontId="10" fillId="2" borderId="0" xfId="0" quotePrefix="1" applyFont="1" applyFill="1"/>
    <xf numFmtId="0" fontId="14" fillId="2" borderId="0" xfId="0" applyFont="1" applyFill="1" applyAlignment="1">
      <alignment vertical="top"/>
    </xf>
    <xf numFmtId="0" fontId="19" fillId="2" borderId="0" xfId="0" applyFont="1" applyFill="1"/>
    <xf numFmtId="0" fontId="20" fillId="2" borderId="0" xfId="0" applyFont="1" applyFill="1"/>
    <xf numFmtId="0" fontId="17" fillId="3" borderId="0" xfId="12" applyFont="1" applyFill="1"/>
    <xf numFmtId="0" fontId="14" fillId="4" borderId="0" xfId="15" applyFont="1" applyFill="1"/>
    <xf numFmtId="0" fontId="17" fillId="4" borderId="0" xfId="12" applyFont="1" applyFill="1"/>
    <xf numFmtId="0" fontId="14" fillId="4" borderId="0" xfId="16" applyFont="1" applyFill="1"/>
    <xf numFmtId="0" fontId="21" fillId="4" borderId="0" xfId="17" applyFont="1" applyFill="1"/>
    <xf numFmtId="0" fontId="21" fillId="5" borderId="0" xfId="17" applyFont="1" applyFill="1"/>
    <xf numFmtId="0" fontId="21" fillId="4" borderId="0" xfId="17" applyFont="1" applyFill="1" applyAlignment="1">
      <alignment horizontal="center"/>
    </xf>
    <xf numFmtId="0" fontId="21" fillId="4" borderId="0" xfId="17" applyFont="1" applyFill="1" applyAlignment="1">
      <alignment horizontal="left"/>
    </xf>
    <xf numFmtId="166" fontId="21" fillId="4" borderId="0" xfId="18" applyNumberFormat="1" applyFont="1" applyFill="1"/>
    <xf numFmtId="10" fontId="21" fillId="4" borderId="0" xfId="18" applyNumberFormat="1" applyFont="1" applyFill="1"/>
    <xf numFmtId="0" fontId="14" fillId="4" borderId="0" xfId="17" applyFont="1" applyFill="1"/>
    <xf numFmtId="0" fontId="14" fillId="4" borderId="0" xfId="17" quotePrefix="1" applyFont="1" applyFill="1"/>
    <xf numFmtId="10" fontId="14" fillId="6" borderId="0" xfId="17" applyNumberFormat="1" applyFont="1" applyFill="1"/>
    <xf numFmtId="0" fontId="14" fillId="4" borderId="0" xfId="17" applyFont="1" applyFill="1" applyAlignment="1">
      <alignment horizontal="right"/>
    </xf>
    <xf numFmtId="167" fontId="14" fillId="4" borderId="0" xfId="17" quotePrefix="1" applyNumberFormat="1" applyFont="1" applyFill="1"/>
    <xf numFmtId="167" fontId="14" fillId="4" borderId="0" xfId="17" applyNumberFormat="1" applyFont="1" applyFill="1"/>
    <xf numFmtId="0" fontId="14" fillId="6" borderId="0" xfId="16" applyFont="1" applyFill="1"/>
    <xf numFmtId="0" fontId="14" fillId="4" borderId="0" xfId="0" applyFont="1" applyFill="1"/>
    <xf numFmtId="0" fontId="21" fillId="4" borderId="0" xfId="16" applyFont="1" applyFill="1"/>
    <xf numFmtId="0" fontId="21" fillId="6" borderId="0" xfId="16" applyFont="1" applyFill="1"/>
    <xf numFmtId="9" fontId="11" fillId="3" borderId="0" xfId="7" applyFill="1"/>
    <xf numFmtId="9" fontId="11" fillId="7" borderId="0" xfId="7" applyFill="1"/>
    <xf numFmtId="9" fontId="11" fillId="3" borderId="7" xfId="6" applyNumberFormat="1" applyFill="1" applyBorder="1"/>
    <xf numFmtId="9" fontId="11" fillId="3" borderId="6" xfId="6" applyNumberFormat="1" applyFill="1" applyBorder="1"/>
    <xf numFmtId="9" fontId="11" fillId="3" borderId="4" xfId="6" applyNumberFormat="1" applyFill="1" applyBorder="1"/>
    <xf numFmtId="9" fontId="11" fillId="3" borderId="2" xfId="6" applyNumberFormat="1" applyFill="1" applyBorder="1"/>
    <xf numFmtId="9" fontId="11" fillId="3" borderId="1" xfId="6" applyNumberFormat="1" applyFill="1" applyBorder="1"/>
    <xf numFmtId="9" fontId="13" fillId="3" borderId="8" xfId="7" applyFont="1" applyFill="1" applyBorder="1"/>
    <xf numFmtId="9" fontId="13" fillId="3" borderId="7" xfId="7" applyFont="1" applyFill="1" applyBorder="1"/>
    <xf numFmtId="9" fontId="13" fillId="3" borderId="6" xfId="7" applyFont="1" applyFill="1" applyBorder="1"/>
    <xf numFmtId="9" fontId="13" fillId="3" borderId="5" xfId="7" applyFont="1" applyFill="1" applyBorder="1"/>
    <xf numFmtId="9" fontId="13" fillId="3" borderId="0" xfId="7" applyFont="1" applyFill="1"/>
    <xf numFmtId="9" fontId="13" fillId="3" borderId="4" xfId="7" applyFont="1" applyFill="1" applyBorder="1"/>
    <xf numFmtId="9" fontId="13" fillId="3" borderId="3" xfId="7" applyFont="1" applyFill="1" applyBorder="1"/>
    <xf numFmtId="9" fontId="13" fillId="3" borderId="2" xfId="7" applyFont="1" applyFill="1" applyBorder="1"/>
    <xf numFmtId="9" fontId="13" fillId="3" borderId="1" xfId="7" applyFont="1" applyFill="1" applyBorder="1"/>
    <xf numFmtId="1" fontId="11" fillId="8" borderId="0" xfId="6" applyNumberFormat="1" applyFill="1"/>
    <xf numFmtId="165" fontId="11" fillId="8" borderId="0" xfId="6" applyNumberFormat="1" applyFill="1"/>
    <xf numFmtId="0" fontId="11" fillId="8" borderId="0" xfId="6" applyFill="1"/>
    <xf numFmtId="10" fontId="11" fillId="8" borderId="0" xfId="6" applyNumberFormat="1" applyFill="1"/>
    <xf numFmtId="10" fontId="0" fillId="8" borderId="0" xfId="6" applyNumberFormat="1" applyFont="1" applyFill="1"/>
    <xf numFmtId="0" fontId="11" fillId="8" borderId="0" xfId="6" applyFill="1" applyAlignment="1">
      <alignment horizontal="right"/>
    </xf>
    <xf numFmtId="0" fontId="14" fillId="4" borderId="0" xfId="19" applyFont="1" applyFill="1"/>
    <xf numFmtId="0" fontId="14" fillId="4" borderId="0" xfId="20" applyFont="1" applyFill="1"/>
    <xf numFmtId="0" fontId="14" fillId="4" borderId="0" xfId="20" applyFont="1" applyFill="1" applyAlignment="1">
      <alignment horizontal="right"/>
    </xf>
    <xf numFmtId="2" fontId="14" fillId="4" borderId="0" xfId="20" applyNumberFormat="1" applyFont="1" applyFill="1"/>
    <xf numFmtId="0" fontId="14" fillId="5" borderId="0" xfId="20" applyFont="1" applyFill="1"/>
    <xf numFmtId="2" fontId="14" fillId="5" borderId="0" xfId="20" applyNumberFormat="1" applyFont="1" applyFill="1"/>
    <xf numFmtId="0" fontId="14" fillId="5" borderId="0" xfId="20" applyFont="1" applyFill="1" applyAlignment="1">
      <alignment horizontal="right"/>
    </xf>
    <xf numFmtId="0" fontId="24" fillId="4" borderId="0" xfId="17" applyFont="1" applyFill="1"/>
    <xf numFmtId="9" fontId="11" fillId="3" borderId="8" xfId="6" applyNumberFormat="1" applyFill="1" applyBorder="1"/>
    <xf numFmtId="9" fontId="11" fillId="3" borderId="5" xfId="6" applyNumberFormat="1" applyFill="1" applyBorder="1"/>
    <xf numFmtId="9" fontId="11" fillId="3" borderId="0" xfId="6" applyNumberFormat="1" applyFill="1" applyBorder="1"/>
    <xf numFmtId="9" fontId="11" fillId="3" borderId="3" xfId="6" applyNumberFormat="1" applyFill="1" applyBorder="1"/>
    <xf numFmtId="0" fontId="0" fillId="2" borderId="0" xfId="0" applyFont="1" applyFill="1"/>
    <xf numFmtId="0" fontId="0" fillId="3" borderId="0" xfId="0" applyFont="1" applyFill="1"/>
    <xf numFmtId="0" fontId="11" fillId="4" borderId="0" xfId="20" applyFont="1" applyFill="1"/>
  </cellXfs>
  <cellStyles count="21">
    <cellStyle name="Comma 2" xfId="1" xr:uid="{00000000-0005-0000-0000-000000000000}"/>
    <cellStyle name="Currency" xfId="11" builtinId="4"/>
    <cellStyle name="Hyperlink" xfId="12" builtinId="8"/>
    <cellStyle name="Normal" xfId="0" builtinId="0"/>
    <cellStyle name="Normal 10" xfId="20" xr:uid="{159A2853-1204-D64F-86F0-FB1CB7A9B867}"/>
    <cellStyle name="Normal 2" xfId="2" xr:uid="{00000000-0005-0000-0000-000002000000}"/>
    <cellStyle name="Normal 2 2" xfId="6" xr:uid="{00000000-0005-0000-0000-000003000000}"/>
    <cellStyle name="Normal 2 3" xfId="10" xr:uid="{8741B8F3-B87D-3447-8076-1406D875AD40}"/>
    <cellStyle name="Normal 3" xfId="3" xr:uid="{00000000-0005-0000-0000-000004000000}"/>
    <cellStyle name="Normal 4" xfId="5" xr:uid="{00000000-0005-0000-0000-000005000000}"/>
    <cellStyle name="Normal 4 2" xfId="14" xr:uid="{D325C384-E417-D740-8956-0A9F6C5FEC4E}"/>
    <cellStyle name="Normal 5" xfId="9" xr:uid="{D30D7F96-EDB1-E646-8DAF-2AAA8CF1E5F0}"/>
    <cellStyle name="Normal 6" xfId="13" xr:uid="{43B3A43A-269D-AE4C-A9A2-509F7A0C1B9B}"/>
    <cellStyle name="Normal 6 2" xfId="16" xr:uid="{2D38C378-981B-3649-8D7F-D274B8608364}"/>
    <cellStyle name="Normal 7" xfId="15" xr:uid="{0156467C-9145-9941-BCB7-48064EADE8CC}"/>
    <cellStyle name="Normal 8" xfId="17" xr:uid="{62B79F71-B435-E644-9372-2DC85393319C}"/>
    <cellStyle name="Normal 9" xfId="19" xr:uid="{FF983659-6785-024E-98DC-8282C3D7CDB2}"/>
    <cellStyle name="Percent" xfId="7" builtinId="5"/>
    <cellStyle name="Percent 2" xfId="4" xr:uid="{00000000-0005-0000-0000-000006000000}"/>
    <cellStyle name="Percent 2 2" xfId="8" xr:uid="{49CFB7D4-8E97-E948-B7A0-AAF7F6A67C6F}"/>
    <cellStyle name="Percent 3" xfId="18" xr:uid="{F4D7FF5A-B560-A84C-95BF-927D470246B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596900</xdr:colOff>
      <xdr:row>6</xdr:row>
      <xdr:rowOff>88900</xdr:rowOff>
    </xdr:from>
    <xdr:to>
      <xdr:col>16</xdr:col>
      <xdr:colOff>469900</xdr:colOff>
      <xdr:row>12</xdr:row>
      <xdr:rowOff>0</xdr:rowOff>
    </xdr:to>
    <xdr:pic>
      <xdr:nvPicPr>
        <xdr:cNvPr id="2" name="Picture 1" descr="Exxon Valdez oil spill - Wikipedia">
          <a:extLst>
            <a:ext uri="{FF2B5EF4-FFF2-40B4-BE49-F238E27FC236}">
              <a16:creationId xmlns:a16="http://schemas.microsoft.com/office/drawing/2014/main" id="{5DD2BD01-3B85-5443-8888-C31A20450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2298700"/>
          <a:ext cx="3175000" cy="2120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56</xdr:col>
      <xdr:colOff>381000</xdr:colOff>
      <xdr:row>41</xdr:row>
      <xdr:rowOff>152400</xdr:rowOff>
    </xdr:to>
    <xdr:pic>
      <xdr:nvPicPr>
        <xdr:cNvPr id="3" name="Picture 2" descr="Wounded Wilderness: The Exxon Valdez Oil Spill 30 Years Later ...">
          <a:extLst>
            <a:ext uri="{FF2B5EF4-FFF2-40B4-BE49-F238E27FC236}">
              <a16:creationId xmlns:a16="http://schemas.microsoft.com/office/drawing/2014/main" id="{32D7226F-491A-B048-9B6B-2F0421345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0" y="0"/>
          <a:ext cx="31750000" cy="1525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177800</xdr:rowOff>
    </xdr:from>
    <xdr:to>
      <xdr:col>14</xdr:col>
      <xdr:colOff>381000</xdr:colOff>
      <xdr:row>66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8200" y="177800"/>
          <a:ext cx="11099800" cy="1244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Loan</a:t>
          </a:r>
          <a:r>
            <a:rPr lang="en-US" sz="2000" baseline="0"/>
            <a:t> portfolio Segementation</a:t>
          </a:r>
        </a:p>
        <a:p>
          <a:r>
            <a:rPr lang="en-US" sz="2000" baseline="0"/>
            <a:t>	Pre and Post origination metrics</a:t>
          </a:r>
          <a:endParaRPr lang="en-US" sz="2000"/>
        </a:p>
        <a:p>
          <a:endParaRPr lang="en-US" sz="2000"/>
        </a:p>
        <a:p>
          <a:r>
            <a:rPr lang="en-US" sz="2000"/>
            <a:t>Loan covenants</a:t>
          </a:r>
        </a:p>
        <a:p>
          <a:r>
            <a:rPr lang="en-US" sz="2000"/>
            <a:t>	Triggers</a:t>
          </a:r>
        </a:p>
        <a:p>
          <a:r>
            <a:rPr lang="en-US" sz="2000"/>
            <a:t>		Ratings downgrade</a:t>
          </a:r>
        </a:p>
        <a:p>
          <a:r>
            <a:rPr lang="en-US" sz="2000"/>
            <a:t>		Default on supplier</a:t>
          </a:r>
        </a:p>
        <a:p>
          <a:r>
            <a:rPr lang="en-US" sz="2000"/>
            <a:t>		Low profit</a:t>
          </a:r>
          <a:r>
            <a:rPr lang="en-US" sz="2000" baseline="0"/>
            <a:t> or revenue</a:t>
          </a:r>
        </a:p>
        <a:p>
          <a:r>
            <a:rPr lang="en-US" sz="2000" baseline="0"/>
            <a:t>	May backfire if all counterparties make demands</a:t>
          </a:r>
        </a:p>
        <a:p>
          <a:endParaRPr lang="en-US" sz="2000" baseline="0"/>
        </a:p>
        <a:p>
          <a:r>
            <a:rPr lang="en-US" sz="2000" baseline="0"/>
            <a:t>CDS contracts are resellable</a:t>
          </a:r>
        </a:p>
        <a:p>
          <a:endParaRPr lang="en-US" sz="2000" baseline="0"/>
        </a:p>
        <a:p>
          <a:r>
            <a:rPr lang="en-US" sz="2000" baseline="0"/>
            <a:t>PD can be inferred from CDS prices.</a:t>
          </a:r>
        </a:p>
        <a:p>
          <a:r>
            <a:rPr lang="en-US" sz="2000" baseline="0"/>
            <a:t>Inferred PD over time is not necessarily constant.</a:t>
          </a:r>
        </a:p>
        <a:p>
          <a:endParaRPr lang="en-US" sz="2000" baseline="0"/>
        </a:p>
        <a:p>
          <a:r>
            <a:rPr lang="en-US" sz="2000" baseline="0"/>
            <a:t>PD is not necessarily constant over the life of a loan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FRM/FRMClass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Homewor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rive.google.com/open?id=0B46op8AajwqfZXZiSWJ4SXlkUEE" TargetMode="External"/><Relationship Id="rId1" Type="http://schemas.openxmlformats.org/officeDocument/2006/relationships/hyperlink" Target="http://www.investopedia.com/terms/c/creditdefaultswap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apps.ankiweb.net/" TargetMode="External"/><Relationship Id="rId1" Type="http://schemas.openxmlformats.org/officeDocument/2006/relationships/hyperlink" Target="https://drive.google.com/open?id=1vjXVIGVG69olvNwGAHQAOJRwqteuLQ2Z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2"/>
  <sheetViews>
    <sheetView tabSelected="1" workbookViewId="0"/>
  </sheetViews>
  <sheetFormatPr baseColWidth="10" defaultRowHeight="29" x14ac:dyDescent="0.35"/>
  <cols>
    <col min="1" max="16384" width="10.83203125" style="3"/>
  </cols>
  <sheetData>
    <row r="2" spans="2:3" x14ac:dyDescent="0.35">
      <c r="B2" s="3" t="s">
        <v>141</v>
      </c>
    </row>
    <row r="4" spans="2:3" x14ac:dyDescent="0.35">
      <c r="B4" s="3" t="s">
        <v>189</v>
      </c>
    </row>
    <row r="5" spans="2:3" x14ac:dyDescent="0.35">
      <c r="C5" s="3" t="s">
        <v>191</v>
      </c>
    </row>
    <row r="6" spans="2:3" x14ac:dyDescent="0.35">
      <c r="C6" s="3" t="s">
        <v>190</v>
      </c>
    </row>
    <row r="8" spans="2:3" x14ac:dyDescent="0.35">
      <c r="B8" s="3" t="s">
        <v>144</v>
      </c>
    </row>
    <row r="10" spans="2:3" x14ac:dyDescent="0.35">
      <c r="B10" s="3" t="s">
        <v>145</v>
      </c>
    </row>
    <row r="12" spans="2:3" x14ac:dyDescent="0.35">
      <c r="B12" s="3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5E66-76EB-6049-81DB-E33ED55E4BB7}">
  <sheetPr codeName="Sheet2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156</v>
      </c>
    </row>
    <row r="2" spans="1:1" x14ac:dyDescent="0.3">
      <c r="A2" s="99" t="s">
        <v>175</v>
      </c>
    </row>
    <row r="3" spans="1:1" x14ac:dyDescent="0.3">
      <c r="A3" s="99" t="s">
        <v>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DC6AC-F490-DF46-8F9A-480D7426B4DA}">
  <sheetPr codeName="Sheet3">
    <tabColor rgb="FFFF0000"/>
  </sheetPr>
  <dimension ref="A1:T15"/>
  <sheetViews>
    <sheetView zoomScaleNormal="100" workbookViewId="0">
      <selection activeCell="B3" sqref="B3"/>
    </sheetView>
  </sheetViews>
  <sheetFormatPr baseColWidth="10" defaultRowHeight="29" x14ac:dyDescent="0.35"/>
  <cols>
    <col min="1" max="16384" width="10.83203125" style="33"/>
  </cols>
  <sheetData>
    <row r="1" spans="1:20" x14ac:dyDescent="0.35">
      <c r="A1" s="34" t="s">
        <v>156</v>
      </c>
    </row>
    <row r="2" spans="1:20" x14ac:dyDescent="0.35">
      <c r="B2" s="33" t="s">
        <v>157</v>
      </c>
    </row>
    <row r="3" spans="1:20" x14ac:dyDescent="0.35">
      <c r="B3" s="111" t="s">
        <v>289</v>
      </c>
    </row>
    <row r="4" spans="1:20" x14ac:dyDescent="0.35">
      <c r="B4" s="111"/>
      <c r="T4"/>
    </row>
    <row r="5" spans="1:20" x14ac:dyDescent="0.35">
      <c r="C5" s="33" t="s">
        <v>158</v>
      </c>
    </row>
    <row r="6" spans="1:20" x14ac:dyDescent="0.35">
      <c r="C6" s="33" t="s">
        <v>159</v>
      </c>
    </row>
    <row r="8" spans="1:20" x14ac:dyDescent="0.35">
      <c r="C8" s="33" t="s">
        <v>160</v>
      </c>
    </row>
    <row r="9" spans="1:20" x14ac:dyDescent="0.35">
      <c r="R9" s="53" t="s">
        <v>192</v>
      </c>
    </row>
    <row r="10" spans="1:20" x14ac:dyDescent="0.35">
      <c r="C10" s="33" t="s">
        <v>161</v>
      </c>
    </row>
    <row r="12" spans="1:20" x14ac:dyDescent="0.35">
      <c r="C12" s="33" t="s">
        <v>162</v>
      </c>
    </row>
    <row r="13" spans="1:20" x14ac:dyDescent="0.35">
      <c r="D13" s="33" t="s">
        <v>163</v>
      </c>
    </row>
    <row r="15" spans="1:20" x14ac:dyDescent="0.35">
      <c r="C15" s="35" t="s">
        <v>164</v>
      </c>
    </row>
  </sheetData>
  <hyperlinks>
    <hyperlink ref="C15" r:id="rId1" xr:uid="{BDB0FC3C-CA4E-EF47-B6B9-7D61A06E320C}"/>
    <hyperlink ref="A1" r:id="rId2" xr:uid="{9881166E-B32E-0345-A3B2-AB7BB8BC866B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7E0F-DF8E-B04D-918E-119C9775A33C}">
  <sheetPr codeName="Sheet4">
    <tabColor rgb="FFC00000"/>
  </sheetPr>
  <dimension ref="A1:F18"/>
  <sheetViews>
    <sheetView workbookViewId="0"/>
  </sheetViews>
  <sheetFormatPr baseColWidth="10" defaultRowHeight="92" x14ac:dyDescent="1"/>
  <cols>
    <col min="1" max="16384" width="10.83203125" style="55"/>
  </cols>
  <sheetData>
    <row r="1" spans="1:2" x14ac:dyDescent="1">
      <c r="A1" s="54"/>
    </row>
    <row r="2" spans="1:2" x14ac:dyDescent="1">
      <c r="B2" s="55" t="s">
        <v>194</v>
      </c>
    </row>
    <row r="4" spans="1:2" x14ac:dyDescent="1">
      <c r="B4" s="55" t="s">
        <v>195</v>
      </c>
    </row>
    <row r="6" spans="1:2" x14ac:dyDescent="1">
      <c r="B6" s="55" t="s">
        <v>196</v>
      </c>
    </row>
    <row r="18" spans="2:6" x14ac:dyDescent="1">
      <c r="B18" s="56"/>
      <c r="C18" s="56"/>
      <c r="D18" s="56"/>
      <c r="E18" s="56"/>
      <c r="F18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40CDB-6362-AB40-8780-252ED933DF0B}">
  <sheetPr codeName="Sheet5">
    <tabColor rgb="FFFF0000"/>
  </sheetPr>
  <dimension ref="A1:V37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8.83203125" style="37"/>
    <col min="2" max="2" width="14.5" style="37" customWidth="1"/>
    <col min="3" max="3" width="11.1640625" style="37" bestFit="1" customWidth="1"/>
    <col min="4" max="6" width="8.83203125" style="37"/>
    <col min="7" max="7" width="10.1640625" style="37" bestFit="1" customWidth="1"/>
    <col min="8" max="16384" width="8.83203125" style="37"/>
  </cols>
  <sheetData>
    <row r="1" spans="1:10" ht="26" x14ac:dyDescent="0.3">
      <c r="A1" s="57" t="s">
        <v>197</v>
      </c>
    </row>
    <row r="2" spans="1:10" ht="47" x14ac:dyDescent="0.55000000000000004">
      <c r="B2" s="36" t="s">
        <v>165</v>
      </c>
    </row>
    <row r="9" spans="1:10" x14ac:dyDescent="0.2">
      <c r="B9" s="37" t="s">
        <v>166</v>
      </c>
      <c r="C9" s="37">
        <v>100</v>
      </c>
      <c r="F9" s="41" t="s">
        <v>176</v>
      </c>
      <c r="G9" s="41" t="s">
        <v>177</v>
      </c>
      <c r="H9" s="41" t="s">
        <v>178</v>
      </c>
      <c r="I9" s="41" t="s">
        <v>179</v>
      </c>
      <c r="J9" s="41" t="s">
        <v>180</v>
      </c>
    </row>
    <row r="10" spans="1:10" x14ac:dyDescent="0.2">
      <c r="B10" s="37" t="s">
        <v>167</v>
      </c>
      <c r="C10" s="38">
        <v>0.06</v>
      </c>
      <c r="F10" s="37">
        <v>1</v>
      </c>
      <c r="G10" s="37">
        <v>0.5</v>
      </c>
      <c r="H10" s="37">
        <f t="shared" ref="H10:H18" si="0">CouponPmt</f>
        <v>3</v>
      </c>
      <c r="I10" s="51">
        <f t="shared" ref="I10:I19" si="1">EXP(-YTM/Frequency*Period)</f>
        <v>0.96560541625756646</v>
      </c>
      <c r="J10" s="51">
        <f t="shared" ref="J10:J19" si="2">EXP(-YTM_rf/Frequency*Period)</f>
        <v>0.97530991202833262</v>
      </c>
    </row>
    <row r="11" spans="1:10" x14ac:dyDescent="0.2">
      <c r="B11" s="37" t="s">
        <v>168</v>
      </c>
      <c r="C11" s="37">
        <v>2</v>
      </c>
      <c r="F11" s="37">
        <v>2</v>
      </c>
      <c r="G11" s="37">
        <v>1</v>
      </c>
      <c r="H11" s="37">
        <f t="shared" si="0"/>
        <v>3</v>
      </c>
      <c r="I11" s="51">
        <f t="shared" si="1"/>
        <v>0.93239381990594827</v>
      </c>
      <c r="J11" s="51">
        <f t="shared" si="2"/>
        <v>0.95122942450071402</v>
      </c>
    </row>
    <row r="12" spans="1:10" x14ac:dyDescent="0.2">
      <c r="B12" s="37" t="s">
        <v>169</v>
      </c>
      <c r="C12" s="37">
        <v>5</v>
      </c>
      <c r="F12" s="37">
        <v>3</v>
      </c>
      <c r="G12" s="37">
        <v>1.5</v>
      </c>
      <c r="H12" s="37">
        <f t="shared" si="0"/>
        <v>3</v>
      </c>
      <c r="I12" s="51">
        <f t="shared" si="1"/>
        <v>0.90032452258626561</v>
      </c>
      <c r="J12" s="51">
        <f t="shared" si="2"/>
        <v>0.92774348632855286</v>
      </c>
    </row>
    <row r="13" spans="1:10" x14ac:dyDescent="0.2">
      <c r="B13" s="37" t="s">
        <v>170</v>
      </c>
      <c r="C13" s="38">
        <v>7.0000000000000007E-2</v>
      </c>
      <c r="F13" s="37">
        <v>4</v>
      </c>
      <c r="G13" s="37">
        <v>2</v>
      </c>
      <c r="H13" s="37">
        <f t="shared" si="0"/>
        <v>3</v>
      </c>
      <c r="I13" s="51">
        <f t="shared" si="1"/>
        <v>0.86935823539880586</v>
      </c>
      <c r="J13" s="51">
        <f t="shared" si="2"/>
        <v>0.90483741803595952</v>
      </c>
    </row>
    <row r="14" spans="1:10" x14ac:dyDescent="0.2">
      <c r="B14" s="37" t="s">
        <v>171</v>
      </c>
      <c r="C14" s="38">
        <v>0.05</v>
      </c>
      <c r="F14" s="37">
        <v>5</v>
      </c>
      <c r="G14" s="37">
        <v>2.5</v>
      </c>
      <c r="H14" s="37">
        <f t="shared" si="0"/>
        <v>3</v>
      </c>
      <c r="I14" s="51">
        <f t="shared" si="1"/>
        <v>0.83945702076920736</v>
      </c>
      <c r="J14" s="51">
        <f t="shared" si="2"/>
        <v>0.88249690258459546</v>
      </c>
    </row>
    <row r="15" spans="1:10" x14ac:dyDescent="0.2">
      <c r="B15" s="37" t="s">
        <v>172</v>
      </c>
      <c r="C15" s="37">
        <f>Face*CouponRate/Frequency</f>
        <v>3</v>
      </c>
      <c r="F15" s="37">
        <v>6</v>
      </c>
      <c r="G15" s="37">
        <v>3</v>
      </c>
      <c r="H15" s="37">
        <f t="shared" si="0"/>
        <v>3</v>
      </c>
      <c r="I15" s="51">
        <f t="shared" si="1"/>
        <v>0.81058424597018708</v>
      </c>
      <c r="J15" s="51">
        <f t="shared" si="2"/>
        <v>0.86070797642505781</v>
      </c>
    </row>
    <row r="16" spans="1:10" x14ac:dyDescent="0.2">
      <c r="B16" s="37" t="s">
        <v>173</v>
      </c>
      <c r="C16" s="39">
        <f t="array" ref="C16">SUM(pmt*pv)</f>
        <v>95.340874485591371</v>
      </c>
      <c r="F16" s="37">
        <v>7</v>
      </c>
      <c r="G16" s="37">
        <v>3.5</v>
      </c>
      <c r="H16" s="37">
        <f t="shared" si="0"/>
        <v>3</v>
      </c>
      <c r="I16" s="51">
        <f t="shared" si="1"/>
        <v>0.78270453824186814</v>
      </c>
      <c r="J16" s="51">
        <f t="shared" si="2"/>
        <v>0.83945702076920736</v>
      </c>
    </row>
    <row r="17" spans="2:22" x14ac:dyDescent="0.2">
      <c r="B17" s="37" t="s">
        <v>174</v>
      </c>
      <c r="C17" s="39" cm="1">
        <f t="array" ref="C17">SUM(pmt*pv_rf)</f>
        <v>104.09356799388404</v>
      </c>
      <c r="F17" s="37">
        <v>8</v>
      </c>
      <c r="G17" s="37">
        <v>4</v>
      </c>
      <c r="H17" s="37">
        <f t="shared" si="0"/>
        <v>3</v>
      </c>
      <c r="I17" s="51">
        <f t="shared" si="1"/>
        <v>0.75578374145572547</v>
      </c>
      <c r="J17" s="51">
        <f t="shared" si="2"/>
        <v>0.81873075307798182</v>
      </c>
    </row>
    <row r="18" spans="2:22" x14ac:dyDescent="0.2">
      <c r="B18" s="37" t="s">
        <v>175</v>
      </c>
      <c r="C18" s="40">
        <f>C17-C16</f>
        <v>8.7526935082926656</v>
      </c>
      <c r="F18" s="37">
        <v>9</v>
      </c>
      <c r="G18" s="37">
        <v>4.5</v>
      </c>
      <c r="H18" s="37">
        <f t="shared" si="0"/>
        <v>3</v>
      </c>
      <c r="I18" s="51">
        <f t="shared" si="1"/>
        <v>0.72978887426905681</v>
      </c>
      <c r="J18" s="51">
        <f t="shared" si="2"/>
        <v>0.79851621875937706</v>
      </c>
    </row>
    <row r="19" spans="2:22" x14ac:dyDescent="0.2">
      <c r="F19" s="37">
        <v>10</v>
      </c>
      <c r="G19" s="37">
        <v>5</v>
      </c>
      <c r="H19" s="37">
        <f>CouponPmt+Face</f>
        <v>103</v>
      </c>
      <c r="I19" s="51">
        <f t="shared" si="1"/>
        <v>0.70468808971871344</v>
      </c>
      <c r="J19" s="51">
        <f t="shared" si="2"/>
        <v>0.77880078307140488</v>
      </c>
    </row>
    <row r="24" spans="2:22" s="41" customFormat="1" x14ac:dyDescent="0.2">
      <c r="B24" s="41" t="s">
        <v>181</v>
      </c>
      <c r="C24" s="41" t="s">
        <v>182</v>
      </c>
      <c r="M24" s="41" t="s">
        <v>193</v>
      </c>
    </row>
    <row r="25" spans="2:22" x14ac:dyDescent="0.2">
      <c r="B25" s="37">
        <v>0.5</v>
      </c>
      <c r="C25" s="42">
        <f>5-B25</f>
        <v>4.5</v>
      </c>
      <c r="D25" s="43">
        <f t="shared" ref="D25:L29" si="3">MAX(C25-0.5,0)</f>
        <v>4</v>
      </c>
      <c r="E25" s="43">
        <f t="shared" si="3"/>
        <v>3.5</v>
      </c>
      <c r="F25" s="43">
        <f t="shared" si="3"/>
        <v>3</v>
      </c>
      <c r="G25" s="43">
        <f t="shared" si="3"/>
        <v>2.5</v>
      </c>
      <c r="H25" s="43">
        <f t="shared" si="3"/>
        <v>2</v>
      </c>
      <c r="I25" s="43">
        <f t="shared" si="3"/>
        <v>1.5</v>
      </c>
      <c r="J25" s="43">
        <f t="shared" si="3"/>
        <v>1</v>
      </c>
      <c r="K25" s="43">
        <f t="shared" si="3"/>
        <v>0.5</v>
      </c>
      <c r="L25" s="43">
        <f t="shared" si="3"/>
        <v>0</v>
      </c>
      <c r="M25" s="42">
        <f>IF(D32=0,0,EXP(-YTM_rf*C25))</f>
        <v>0.79851621875937706</v>
      </c>
      <c r="N25" s="43">
        <f t="shared" ref="N25:V29" si="4">IF(C25=0,0,EXP(-YTM_rf*D25))</f>
        <v>0.81873075307798182</v>
      </c>
      <c r="O25" s="43">
        <f t="shared" si="4"/>
        <v>0.83945702076920736</v>
      </c>
      <c r="P25" s="43">
        <f t="shared" si="4"/>
        <v>0.86070797642505781</v>
      </c>
      <c r="Q25" s="43">
        <f t="shared" si="4"/>
        <v>0.88249690258459546</v>
      </c>
      <c r="R25" s="43">
        <f t="shared" si="4"/>
        <v>0.90483741803595952</v>
      </c>
      <c r="S25" s="43">
        <f t="shared" si="4"/>
        <v>0.92774348632855286</v>
      </c>
      <c r="T25" s="43">
        <f t="shared" si="4"/>
        <v>0.95122942450071402</v>
      </c>
      <c r="U25" s="43">
        <f t="shared" si="4"/>
        <v>0.97530991202833262</v>
      </c>
      <c r="V25" s="44">
        <f>IF(K25=0,0,EXP(-YTM_rf*L25))</f>
        <v>1</v>
      </c>
    </row>
    <row r="26" spans="2:22" x14ac:dyDescent="0.2">
      <c r="B26" s="37">
        <v>1.5</v>
      </c>
      <c r="C26" s="45">
        <f>5-B26</f>
        <v>3.5</v>
      </c>
      <c r="D26" s="37">
        <f t="shared" si="3"/>
        <v>3</v>
      </c>
      <c r="E26" s="37">
        <f t="shared" si="3"/>
        <v>2.5</v>
      </c>
      <c r="F26" s="37">
        <f t="shared" si="3"/>
        <v>2</v>
      </c>
      <c r="G26" s="37">
        <f t="shared" si="3"/>
        <v>1.5</v>
      </c>
      <c r="H26" s="37">
        <f t="shared" si="3"/>
        <v>1</v>
      </c>
      <c r="I26" s="37">
        <f t="shared" si="3"/>
        <v>0.5</v>
      </c>
      <c r="J26" s="37">
        <f t="shared" si="3"/>
        <v>0</v>
      </c>
      <c r="K26" s="37">
        <f t="shared" si="3"/>
        <v>0</v>
      </c>
      <c r="L26" s="37">
        <f t="shared" si="3"/>
        <v>0</v>
      </c>
      <c r="M26" s="45">
        <f>IF(D33=0,0,EXP(-YTM_rf*C26))</f>
        <v>0.83945702076920736</v>
      </c>
      <c r="N26" s="37">
        <f t="shared" si="4"/>
        <v>0.86070797642505781</v>
      </c>
      <c r="O26" s="37">
        <f t="shared" si="4"/>
        <v>0.88249690258459546</v>
      </c>
      <c r="P26" s="37">
        <f t="shared" si="4"/>
        <v>0.90483741803595952</v>
      </c>
      <c r="Q26" s="37">
        <f t="shared" si="4"/>
        <v>0.92774348632855286</v>
      </c>
      <c r="R26" s="37">
        <f t="shared" si="4"/>
        <v>0.95122942450071402</v>
      </c>
      <c r="S26" s="37">
        <f t="shared" si="4"/>
        <v>0.97530991202833262</v>
      </c>
      <c r="T26" s="37">
        <f t="shared" si="4"/>
        <v>1</v>
      </c>
      <c r="U26" s="37">
        <f t="shared" si="4"/>
        <v>0</v>
      </c>
      <c r="V26" s="46">
        <f t="shared" si="4"/>
        <v>0</v>
      </c>
    </row>
    <row r="27" spans="2:22" x14ac:dyDescent="0.2">
      <c r="B27" s="37">
        <v>2.5</v>
      </c>
      <c r="C27" s="45">
        <f>5-B27</f>
        <v>2.5</v>
      </c>
      <c r="D27" s="37">
        <f t="shared" si="3"/>
        <v>2</v>
      </c>
      <c r="E27" s="37">
        <f t="shared" si="3"/>
        <v>1.5</v>
      </c>
      <c r="F27" s="37">
        <f t="shared" si="3"/>
        <v>1</v>
      </c>
      <c r="G27" s="37">
        <f t="shared" si="3"/>
        <v>0.5</v>
      </c>
      <c r="H27" s="37">
        <f t="shared" si="3"/>
        <v>0</v>
      </c>
      <c r="I27" s="37">
        <f t="shared" si="3"/>
        <v>0</v>
      </c>
      <c r="J27" s="37">
        <f t="shared" si="3"/>
        <v>0</v>
      </c>
      <c r="K27" s="37">
        <f t="shared" si="3"/>
        <v>0</v>
      </c>
      <c r="L27" s="37">
        <f t="shared" si="3"/>
        <v>0</v>
      </c>
      <c r="M27" s="45">
        <f>IF(D34=0,0,EXP(-YTM_rf*C27))</f>
        <v>0.88249690258459546</v>
      </c>
      <c r="N27" s="37">
        <f t="shared" si="4"/>
        <v>0.90483741803595952</v>
      </c>
      <c r="O27" s="37">
        <f t="shared" si="4"/>
        <v>0.92774348632855286</v>
      </c>
      <c r="P27" s="37">
        <f t="shared" si="4"/>
        <v>0.95122942450071402</v>
      </c>
      <c r="Q27" s="37">
        <f t="shared" si="4"/>
        <v>0.97530991202833262</v>
      </c>
      <c r="R27" s="37">
        <f t="shared" si="4"/>
        <v>1</v>
      </c>
      <c r="S27" s="37">
        <f t="shared" si="4"/>
        <v>0</v>
      </c>
      <c r="T27" s="37">
        <f t="shared" si="4"/>
        <v>0</v>
      </c>
      <c r="U27" s="37">
        <f t="shared" si="4"/>
        <v>0</v>
      </c>
      <c r="V27" s="46">
        <f t="shared" si="4"/>
        <v>0</v>
      </c>
    </row>
    <row r="28" spans="2:22" x14ac:dyDescent="0.2">
      <c r="B28" s="37">
        <v>3.5</v>
      </c>
      <c r="C28" s="45">
        <f>5-B28</f>
        <v>1.5</v>
      </c>
      <c r="D28" s="37">
        <f t="shared" si="3"/>
        <v>1</v>
      </c>
      <c r="E28" s="37">
        <f t="shared" si="3"/>
        <v>0.5</v>
      </c>
      <c r="F28" s="37">
        <f t="shared" si="3"/>
        <v>0</v>
      </c>
      <c r="G28" s="37">
        <f t="shared" si="3"/>
        <v>0</v>
      </c>
      <c r="H28" s="37">
        <f t="shared" si="3"/>
        <v>0</v>
      </c>
      <c r="I28" s="37">
        <f t="shared" si="3"/>
        <v>0</v>
      </c>
      <c r="J28" s="37">
        <f t="shared" si="3"/>
        <v>0</v>
      </c>
      <c r="K28" s="37">
        <f t="shared" si="3"/>
        <v>0</v>
      </c>
      <c r="L28" s="37">
        <f t="shared" si="3"/>
        <v>0</v>
      </c>
      <c r="M28" s="45">
        <f>IF(D35=0,0,EXP(-YTM_rf*C28))</f>
        <v>0.92774348632855286</v>
      </c>
      <c r="N28" s="37">
        <f t="shared" si="4"/>
        <v>0.95122942450071402</v>
      </c>
      <c r="O28" s="37">
        <f t="shared" si="4"/>
        <v>0.97530991202833262</v>
      </c>
      <c r="P28" s="37">
        <f t="shared" si="4"/>
        <v>1</v>
      </c>
      <c r="Q28" s="37">
        <f t="shared" si="4"/>
        <v>0</v>
      </c>
      <c r="R28" s="37">
        <f t="shared" si="4"/>
        <v>0</v>
      </c>
      <c r="S28" s="37">
        <f t="shared" si="4"/>
        <v>0</v>
      </c>
      <c r="T28" s="37">
        <f t="shared" si="4"/>
        <v>0</v>
      </c>
      <c r="U28" s="37">
        <f t="shared" si="4"/>
        <v>0</v>
      </c>
      <c r="V28" s="46">
        <f t="shared" si="4"/>
        <v>0</v>
      </c>
    </row>
    <row r="29" spans="2:22" x14ac:dyDescent="0.2">
      <c r="B29" s="37">
        <v>4.5</v>
      </c>
      <c r="C29" s="47">
        <f>5-B29</f>
        <v>0.5</v>
      </c>
      <c r="D29" s="48">
        <f t="shared" si="3"/>
        <v>0</v>
      </c>
      <c r="E29" s="48">
        <f t="shared" si="3"/>
        <v>0</v>
      </c>
      <c r="F29" s="48">
        <f t="shared" si="3"/>
        <v>0</v>
      </c>
      <c r="G29" s="48">
        <f t="shared" si="3"/>
        <v>0</v>
      </c>
      <c r="H29" s="48">
        <f t="shared" si="3"/>
        <v>0</v>
      </c>
      <c r="I29" s="48">
        <f t="shared" si="3"/>
        <v>0</v>
      </c>
      <c r="J29" s="48">
        <f t="shared" si="3"/>
        <v>0</v>
      </c>
      <c r="K29" s="48">
        <f t="shared" si="3"/>
        <v>0</v>
      </c>
      <c r="L29" s="48">
        <f t="shared" si="3"/>
        <v>0</v>
      </c>
      <c r="M29" s="47">
        <f>IF(D36=0,0,EXP(-YTM_rf*C29))</f>
        <v>0.97530991202833262</v>
      </c>
      <c r="N29" s="48">
        <f t="shared" si="4"/>
        <v>1</v>
      </c>
      <c r="O29" s="48">
        <f t="shared" si="4"/>
        <v>0</v>
      </c>
      <c r="P29" s="48">
        <f t="shared" si="4"/>
        <v>0</v>
      </c>
      <c r="Q29" s="48">
        <f t="shared" si="4"/>
        <v>0</v>
      </c>
      <c r="R29" s="48">
        <f t="shared" si="4"/>
        <v>0</v>
      </c>
      <c r="S29" s="48">
        <f t="shared" si="4"/>
        <v>0</v>
      </c>
      <c r="T29" s="48">
        <f t="shared" si="4"/>
        <v>0</v>
      </c>
      <c r="U29" s="48">
        <f t="shared" si="4"/>
        <v>0</v>
      </c>
      <c r="V29" s="49">
        <f t="shared" si="4"/>
        <v>0</v>
      </c>
    </row>
    <row r="31" spans="2:22" s="41" customFormat="1" x14ac:dyDescent="0.2">
      <c r="B31" s="41" t="s">
        <v>183</v>
      </c>
      <c r="C31" s="41" t="s">
        <v>184</v>
      </c>
      <c r="D31" s="41" t="s">
        <v>185</v>
      </c>
      <c r="E31" s="41" t="s">
        <v>186</v>
      </c>
      <c r="F31" s="41" t="s">
        <v>187</v>
      </c>
      <c r="G31" s="41" t="s">
        <v>188</v>
      </c>
      <c r="I31" s="41" t="s">
        <v>142</v>
      </c>
    </row>
    <row r="32" spans="2:22" x14ac:dyDescent="0.2">
      <c r="B32" s="37">
        <v>0.5</v>
      </c>
      <c r="C32" s="50">
        <f>SUM(M25:V25)*CouponPmt+100*M25</f>
        <v>106.72870921346704</v>
      </c>
      <c r="D32" s="37">
        <v>40</v>
      </c>
      <c r="E32" s="50">
        <f>value_rf_-Recovery</f>
        <v>66.728709213467042</v>
      </c>
      <c r="F32" s="51">
        <f>EXP(-YTM_rf*Time_)</f>
        <v>0.97530991202833262</v>
      </c>
      <c r="G32" s="51">
        <f>Loss*pv_rf_</f>
        <v>65.081171512750728</v>
      </c>
      <c r="I32" s="52">
        <f>Eloss/lossAmount</f>
        <v>3.0340581191964006E-2</v>
      </c>
    </row>
    <row r="33" spans="2:7" x14ac:dyDescent="0.2">
      <c r="B33" s="37">
        <v>1.5</v>
      </c>
      <c r="C33" s="50">
        <f>SUM(M26:V26)*CouponPmt+100*M26</f>
        <v>105.97104849893799</v>
      </c>
      <c r="D33" s="37">
        <v>40</v>
      </c>
      <c r="E33" s="50">
        <f>value_rf_-Recovery</f>
        <v>65.971048498937989</v>
      </c>
      <c r="F33" s="51">
        <f>EXP(-YTM_rf*Time_)</f>
        <v>0.92774348632855286</v>
      </c>
      <c r="G33" s="51">
        <f>Loss*pv_rf_</f>
        <v>61.204210531154772</v>
      </c>
    </row>
    <row r="34" spans="2:7" x14ac:dyDescent="0.2">
      <c r="B34" s="37">
        <v>2.5</v>
      </c>
      <c r="C34" s="50">
        <f>SUM(M27:V27)*CouponPmt+100*M27</f>
        <v>105.17454168889401</v>
      </c>
      <c r="D34" s="37">
        <v>40</v>
      </c>
      <c r="E34" s="50">
        <f>value_rf_-Recovery</f>
        <v>65.17454168889401</v>
      </c>
      <c r="F34" s="51">
        <f>EXP(-YTM_rf*Time_)</f>
        <v>0.88249690258459546</v>
      </c>
      <c r="G34" s="51">
        <f>Loss*pv_rf_</f>
        <v>57.516331167819551</v>
      </c>
    </row>
    <row r="35" spans="2:7" x14ac:dyDescent="0.2">
      <c r="B35" s="37">
        <v>3.5</v>
      </c>
      <c r="C35" s="50">
        <f>SUM(M28:V28)*CouponPmt+100*M28</f>
        <v>104.33719710142807</v>
      </c>
      <c r="D35" s="37">
        <v>40</v>
      </c>
      <c r="E35" s="50">
        <f>value_rf_-Recovery</f>
        <v>64.337197101428075</v>
      </c>
      <c r="F35" s="51">
        <f>EXP(-YTM_rf*Time_)</f>
        <v>0.83945702076920736</v>
      </c>
      <c r="G35" s="51">
        <f>Loss*pv_rf_</f>
        <v>54.008311803406094</v>
      </c>
    </row>
    <row r="36" spans="2:7" x14ac:dyDescent="0.2">
      <c r="B36" s="37">
        <v>4.5</v>
      </c>
      <c r="C36" s="50">
        <f>SUM(M29:V29)*CouponPmt+100*M29</f>
        <v>103.45692093891826</v>
      </c>
      <c r="D36" s="37">
        <v>40</v>
      </c>
      <c r="E36" s="50">
        <f>value_rf_-Recovery</f>
        <v>63.456920938918259</v>
      </c>
      <c r="F36" s="51">
        <f>EXP(-YTM_rf*Time_)</f>
        <v>0.79851621875937706</v>
      </c>
      <c r="G36" s="51">
        <f>Loss*pv_rf_</f>
        <v>50.671380562257745</v>
      </c>
    </row>
    <row r="37" spans="2:7" x14ac:dyDescent="0.2">
      <c r="G37" s="50">
        <f>SUM(G32:G36)</f>
        <v>288.4814055773889</v>
      </c>
    </row>
  </sheetData>
  <hyperlinks>
    <hyperlink ref="A1" r:id="rId1" display="Video" xr:uid="{67ACFEB6-73AE-7D4B-86BB-3DA603E3F2B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40CCC-8D51-8F4A-B39D-C82DE7AE91AF}">
  <sheetPr codeName="Sheet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257</v>
      </c>
    </row>
    <row r="2" spans="1:1" x14ac:dyDescent="0.3">
      <c r="A2" s="99" t="s">
        <v>258</v>
      </c>
    </row>
    <row r="3" spans="1:1" x14ac:dyDescent="0.3">
      <c r="A3" s="99" t="s">
        <v>259</v>
      </c>
    </row>
    <row r="4" spans="1:1" x14ac:dyDescent="0.3">
      <c r="A4" s="99" t="s">
        <v>256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E912-4A04-A343-96AE-89743D5C51E0}">
  <sheetPr codeName="Sheet7">
    <tabColor rgb="FFFF0000"/>
  </sheetPr>
  <dimension ref="B3:O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6384" width="8.83203125" style="4"/>
  </cols>
  <sheetData>
    <row r="3" spans="2:14" ht="29" x14ac:dyDescent="0.35">
      <c r="B3" s="29" t="s">
        <v>134</v>
      </c>
    </row>
    <row r="4" spans="2:14" x14ac:dyDescent="0.2">
      <c r="B4" s="112" t="s">
        <v>290</v>
      </c>
    </row>
    <row r="8" spans="2:14" x14ac:dyDescent="0.2">
      <c r="G8" s="22" t="s">
        <v>133</v>
      </c>
      <c r="H8" s="22"/>
      <c r="I8" s="22"/>
      <c r="J8" s="22"/>
      <c r="K8" s="22"/>
      <c r="L8" s="22"/>
      <c r="M8" s="22"/>
      <c r="N8" s="6"/>
    </row>
    <row r="9" spans="2:14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</row>
    <row r="10" spans="2:14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5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</row>
    <row r="11" spans="2:14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si="0"/>
        <v>2</v>
      </c>
      <c r="I11" s="22">
        <f t="shared" si="0"/>
        <v>11</v>
      </c>
      <c r="J11" s="22">
        <f t="shared" si="0"/>
        <v>6</v>
      </c>
      <c r="K11" s="22">
        <f t="shared" si="0"/>
        <v>2</v>
      </c>
      <c r="L11" s="22">
        <f t="shared" si="0"/>
        <v>0</v>
      </c>
      <c r="M11" s="23">
        <f t="shared" si="0"/>
        <v>0</v>
      </c>
      <c r="N11" s="6"/>
    </row>
    <row r="12" spans="2:14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si="0"/>
        <v>0</v>
      </c>
      <c r="I12" s="22">
        <f t="shared" si="0"/>
        <v>2</v>
      </c>
      <c r="J12" s="22">
        <f t="shared" si="0"/>
        <v>4</v>
      </c>
      <c r="K12" s="22">
        <f t="shared" si="0"/>
        <v>9</v>
      </c>
      <c r="L12" s="22">
        <f t="shared" si="0"/>
        <v>6</v>
      </c>
      <c r="M12" s="23">
        <f t="shared" si="0"/>
        <v>0</v>
      </c>
      <c r="N12" s="6"/>
    </row>
    <row r="13" spans="2:14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si="0"/>
        <v>0</v>
      </c>
      <c r="I13" s="22">
        <f t="shared" si="0"/>
        <v>0</v>
      </c>
      <c r="J13" s="22">
        <f t="shared" si="0"/>
        <v>2</v>
      </c>
      <c r="K13" s="22">
        <f t="shared" si="0"/>
        <v>8</v>
      </c>
      <c r="L13" s="22">
        <f t="shared" si="0"/>
        <v>7</v>
      </c>
      <c r="M13" s="23">
        <f t="shared" si="0"/>
        <v>3</v>
      </c>
      <c r="N13" s="6"/>
    </row>
    <row r="14" spans="2:14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si="0"/>
        <v>0</v>
      </c>
      <c r="I14" s="22">
        <f t="shared" si="0"/>
        <v>0</v>
      </c>
      <c r="J14" s="22">
        <f t="shared" si="0"/>
        <v>0</v>
      </c>
      <c r="K14" s="22">
        <f t="shared" si="0"/>
        <v>3</v>
      </c>
      <c r="L14" s="22">
        <f t="shared" si="0"/>
        <v>6</v>
      </c>
      <c r="M14" s="23">
        <f t="shared" si="0"/>
        <v>16</v>
      </c>
      <c r="N14" s="6"/>
    </row>
    <row r="15" spans="2:14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si="0"/>
        <v>0</v>
      </c>
      <c r="I15" s="20">
        <f t="shared" si="0"/>
        <v>0</v>
      </c>
      <c r="J15" s="20">
        <f t="shared" si="0"/>
        <v>0</v>
      </c>
      <c r="K15" s="20">
        <f t="shared" si="0"/>
        <v>0</v>
      </c>
      <c r="L15" s="20">
        <f t="shared" si="0"/>
        <v>0</v>
      </c>
      <c r="M15" s="19">
        <f t="shared" si="0"/>
        <v>0</v>
      </c>
      <c r="N15" s="6"/>
    </row>
    <row r="16" spans="2:14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</row>
    <row r="17" spans="2:15" x14ac:dyDescent="0.2">
      <c r="B17" s="4" t="s">
        <v>121</v>
      </c>
      <c r="C17" s="4" t="s">
        <v>23</v>
      </c>
      <c r="D17" s="4" t="s">
        <v>247</v>
      </c>
    </row>
    <row r="18" spans="2:15" x14ac:dyDescent="0.2">
      <c r="B18" s="4" t="s">
        <v>120</v>
      </c>
      <c r="C18" s="4" t="s">
        <v>36</v>
      </c>
      <c r="D18" s="4" t="s">
        <v>247</v>
      </c>
      <c r="G18" s="4" t="s">
        <v>119</v>
      </c>
    </row>
    <row r="19" spans="2:15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8" t="s">
        <v>117</v>
      </c>
    </row>
    <row r="20" spans="2:15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</row>
    <row r="21" spans="2:15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</row>
    <row r="22" spans="2:15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</row>
    <row r="23" spans="2:15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</row>
    <row r="24" spans="2:15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</row>
    <row r="25" spans="2:15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</row>
    <row r="26" spans="2:15" x14ac:dyDescent="0.2">
      <c r="B26" s="4" t="s">
        <v>110</v>
      </c>
      <c r="C26" s="4" t="s">
        <v>20</v>
      </c>
      <c r="D26" s="4" t="s">
        <v>20</v>
      </c>
    </row>
    <row r="27" spans="2:15" x14ac:dyDescent="0.2">
      <c r="B27" s="4" t="s">
        <v>109</v>
      </c>
      <c r="C27" s="4" t="s">
        <v>36</v>
      </c>
      <c r="D27" s="4" t="s">
        <v>36</v>
      </c>
    </row>
    <row r="28" spans="2:15" x14ac:dyDescent="0.2">
      <c r="B28" s="4" t="s">
        <v>108</v>
      </c>
      <c r="C28" s="4" t="s">
        <v>20</v>
      </c>
      <c r="D28" s="4" t="s">
        <v>20</v>
      </c>
    </row>
    <row r="29" spans="2:15" x14ac:dyDescent="0.2">
      <c r="B29" s="4" t="s">
        <v>107</v>
      </c>
      <c r="C29" s="4" t="s">
        <v>21</v>
      </c>
      <c r="D29" s="4" t="s">
        <v>31</v>
      </c>
      <c r="G29" s="8" t="s">
        <v>106</v>
      </c>
    </row>
    <row r="30" spans="2:15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</row>
    <row r="31" spans="2:15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107">
        <f>H20</f>
        <v>0.53846153846153844</v>
      </c>
      <c r="I31" s="79">
        <f t="shared" ref="H31:M36" si="1">I20+H31</f>
        <v>0.84615384615384615</v>
      </c>
      <c r="J31" s="79">
        <f t="shared" si="1"/>
        <v>1</v>
      </c>
      <c r="K31" s="79">
        <f t="shared" si="1"/>
        <v>1</v>
      </c>
      <c r="L31" s="79">
        <f t="shared" si="1"/>
        <v>1</v>
      </c>
      <c r="M31" s="80">
        <f t="shared" si="1"/>
        <v>1</v>
      </c>
    </row>
    <row r="32" spans="2:15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108">
        <f t="shared" ref="H32:H36" si="2">H21</f>
        <v>9.5238095238095233E-2</v>
      </c>
      <c r="I32" s="109">
        <f t="shared" si="1"/>
        <v>0.61904761904761907</v>
      </c>
      <c r="J32" s="109">
        <f t="shared" si="1"/>
        <v>0.90476190476190477</v>
      </c>
      <c r="K32" s="109">
        <f t="shared" si="1"/>
        <v>1</v>
      </c>
      <c r="L32" s="109">
        <f t="shared" si="1"/>
        <v>1</v>
      </c>
      <c r="M32" s="81">
        <f t="shared" si="1"/>
        <v>1</v>
      </c>
    </row>
    <row r="33" spans="2:13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108">
        <f t="shared" si="2"/>
        <v>0</v>
      </c>
      <c r="I33" s="109">
        <f t="shared" si="1"/>
        <v>9.5238095238095233E-2</v>
      </c>
      <c r="J33" s="109">
        <f t="shared" si="1"/>
        <v>0.2857142857142857</v>
      </c>
      <c r="K33" s="109">
        <f t="shared" si="1"/>
        <v>0.71428571428571419</v>
      </c>
      <c r="L33" s="109">
        <f t="shared" si="1"/>
        <v>0.99999999999999989</v>
      </c>
      <c r="M33" s="81">
        <f t="shared" si="1"/>
        <v>0.99999999999999989</v>
      </c>
    </row>
    <row r="34" spans="2:13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108">
        <f t="shared" si="2"/>
        <v>0</v>
      </c>
      <c r="I34" s="109">
        <f t="shared" si="1"/>
        <v>0</v>
      </c>
      <c r="J34" s="109">
        <f t="shared" si="1"/>
        <v>0.1</v>
      </c>
      <c r="K34" s="109">
        <f t="shared" si="1"/>
        <v>0.5</v>
      </c>
      <c r="L34" s="109">
        <f t="shared" si="1"/>
        <v>0.85</v>
      </c>
      <c r="M34" s="81">
        <f t="shared" si="1"/>
        <v>1</v>
      </c>
    </row>
    <row r="35" spans="2:13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108">
        <f t="shared" si="2"/>
        <v>0</v>
      </c>
      <c r="I35" s="109">
        <f t="shared" si="1"/>
        <v>0</v>
      </c>
      <c r="J35" s="109">
        <f t="shared" si="1"/>
        <v>0</v>
      </c>
      <c r="K35" s="109">
        <f t="shared" si="1"/>
        <v>0.12</v>
      </c>
      <c r="L35" s="109">
        <f t="shared" si="1"/>
        <v>0.36</v>
      </c>
      <c r="M35" s="81">
        <f t="shared" si="1"/>
        <v>1</v>
      </c>
    </row>
    <row r="36" spans="2:13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110">
        <f t="shared" si="2"/>
        <v>0</v>
      </c>
      <c r="I36" s="82">
        <f t="shared" si="1"/>
        <v>0</v>
      </c>
      <c r="J36" s="82">
        <f t="shared" si="1"/>
        <v>0</v>
      </c>
      <c r="K36" s="82">
        <f t="shared" si="1"/>
        <v>0</v>
      </c>
      <c r="L36" s="82">
        <f t="shared" si="1"/>
        <v>0</v>
      </c>
      <c r="M36" s="83">
        <f t="shared" si="1"/>
        <v>0</v>
      </c>
    </row>
    <row r="37" spans="2:13" x14ac:dyDescent="0.2">
      <c r="B37" s="4" t="s">
        <v>98</v>
      </c>
      <c r="C37" s="4" t="s">
        <v>31</v>
      </c>
      <c r="D37" s="4" t="s">
        <v>27</v>
      </c>
      <c r="H37" s="5" t="s">
        <v>23</v>
      </c>
      <c r="I37" s="5" t="s">
        <v>36</v>
      </c>
      <c r="J37" s="5" t="s">
        <v>21</v>
      </c>
      <c r="K37" s="5" t="s">
        <v>20</v>
      </c>
      <c r="L37" s="5" t="s">
        <v>31</v>
      </c>
      <c r="M37" s="5" t="s">
        <v>27</v>
      </c>
    </row>
    <row r="38" spans="2:13" x14ac:dyDescent="0.2">
      <c r="B38" s="4" t="s">
        <v>97</v>
      </c>
      <c r="C38" s="4" t="s">
        <v>36</v>
      </c>
      <c r="D38" s="4" t="s">
        <v>36</v>
      </c>
    </row>
    <row r="39" spans="2:13" x14ac:dyDescent="0.2">
      <c r="B39" s="4" t="s">
        <v>96</v>
      </c>
      <c r="C39" s="4" t="s">
        <v>23</v>
      </c>
      <c r="D39" s="4" t="s">
        <v>36</v>
      </c>
    </row>
    <row r="40" spans="2:13" x14ac:dyDescent="0.2">
      <c r="B40" s="4" t="s">
        <v>95</v>
      </c>
      <c r="C40" s="4" t="s">
        <v>31</v>
      </c>
      <c r="D40" s="4" t="s">
        <v>27</v>
      </c>
    </row>
    <row r="41" spans="2:13" x14ac:dyDescent="0.2">
      <c r="B41" s="4" t="s">
        <v>94</v>
      </c>
      <c r="C41" s="4" t="s">
        <v>23</v>
      </c>
      <c r="D41" s="4" t="s">
        <v>36</v>
      </c>
    </row>
    <row r="42" spans="2:13" x14ac:dyDescent="0.2">
      <c r="B42" s="4" t="s">
        <v>93</v>
      </c>
      <c r="C42" s="4" t="s">
        <v>20</v>
      </c>
      <c r="D42" s="4" t="s">
        <v>27</v>
      </c>
    </row>
    <row r="43" spans="2:13" x14ac:dyDescent="0.2">
      <c r="B43" s="4" t="s">
        <v>92</v>
      </c>
      <c r="C43" s="4" t="s">
        <v>36</v>
      </c>
      <c r="D43" s="4" t="s">
        <v>36</v>
      </c>
    </row>
    <row r="44" spans="2:13" x14ac:dyDescent="0.2">
      <c r="B44" s="4" t="s">
        <v>91</v>
      </c>
      <c r="C44" s="4" t="s">
        <v>20</v>
      </c>
      <c r="D44" s="4" t="s">
        <v>31</v>
      </c>
    </row>
    <row r="45" spans="2:13" x14ac:dyDescent="0.2">
      <c r="B45" s="4" t="s">
        <v>90</v>
      </c>
      <c r="C45" s="4" t="s">
        <v>21</v>
      </c>
      <c r="D45" s="4" t="s">
        <v>36</v>
      </c>
    </row>
    <row r="46" spans="2:13" x14ac:dyDescent="0.2">
      <c r="B46" s="4" t="s">
        <v>89</v>
      </c>
      <c r="C46" s="4" t="s">
        <v>31</v>
      </c>
      <c r="D46" s="4" t="s">
        <v>31</v>
      </c>
    </row>
    <row r="47" spans="2:13" x14ac:dyDescent="0.2">
      <c r="B47" s="4" t="s">
        <v>88</v>
      </c>
      <c r="C47" s="4" t="s">
        <v>31</v>
      </c>
      <c r="D47" s="4" t="s">
        <v>27</v>
      </c>
    </row>
    <row r="48" spans="2:13" x14ac:dyDescent="0.2">
      <c r="B48" s="4" t="s">
        <v>87</v>
      </c>
      <c r="C48" s="4" t="s">
        <v>36</v>
      </c>
      <c r="D48" s="4" t="s">
        <v>36</v>
      </c>
    </row>
    <row r="49" spans="2:4" x14ac:dyDescent="0.2">
      <c r="B49" s="4" t="s">
        <v>86</v>
      </c>
      <c r="C49" s="4" t="s">
        <v>20</v>
      </c>
      <c r="D49" s="4" t="s">
        <v>31</v>
      </c>
    </row>
    <row r="50" spans="2:4" x14ac:dyDescent="0.2">
      <c r="B50" s="4" t="s">
        <v>85</v>
      </c>
      <c r="C50" s="4" t="s">
        <v>36</v>
      </c>
      <c r="D50" s="4" t="s">
        <v>36</v>
      </c>
    </row>
    <row r="51" spans="2:4" x14ac:dyDescent="0.2">
      <c r="B51" s="4" t="s">
        <v>84</v>
      </c>
      <c r="C51" s="4" t="s">
        <v>21</v>
      </c>
      <c r="D51" s="4" t="s">
        <v>20</v>
      </c>
    </row>
    <row r="52" spans="2:4" x14ac:dyDescent="0.2">
      <c r="B52" s="4" t="s">
        <v>83</v>
      </c>
      <c r="C52" s="4" t="s">
        <v>36</v>
      </c>
      <c r="D52" s="4" t="s">
        <v>36</v>
      </c>
    </row>
    <row r="53" spans="2:4" x14ac:dyDescent="0.2">
      <c r="B53" s="4" t="s">
        <v>82</v>
      </c>
      <c r="C53" s="4" t="s">
        <v>23</v>
      </c>
      <c r="D53" s="4" t="s">
        <v>23</v>
      </c>
    </row>
    <row r="54" spans="2:4" x14ac:dyDescent="0.2">
      <c r="B54" s="4" t="s">
        <v>81</v>
      </c>
      <c r="C54" s="4" t="s">
        <v>31</v>
      </c>
      <c r="D54" s="4" t="s">
        <v>31</v>
      </c>
    </row>
    <row r="55" spans="2:4" x14ac:dyDescent="0.2">
      <c r="B55" s="4" t="s">
        <v>80</v>
      </c>
      <c r="C55" s="4" t="s">
        <v>31</v>
      </c>
      <c r="D55" s="4" t="s">
        <v>31</v>
      </c>
    </row>
    <row r="56" spans="2:4" x14ac:dyDescent="0.2">
      <c r="B56" s="4" t="s">
        <v>79</v>
      </c>
      <c r="C56" s="4" t="s">
        <v>20</v>
      </c>
      <c r="D56" s="4" t="s">
        <v>20</v>
      </c>
    </row>
    <row r="57" spans="2:4" x14ac:dyDescent="0.2">
      <c r="B57" s="4" t="s">
        <v>78</v>
      </c>
      <c r="C57" s="4" t="s">
        <v>31</v>
      </c>
      <c r="D57" s="4" t="s">
        <v>27</v>
      </c>
    </row>
    <row r="58" spans="2:4" x14ac:dyDescent="0.2">
      <c r="B58" s="4" t="s">
        <v>77</v>
      </c>
      <c r="C58" s="4" t="s">
        <v>21</v>
      </c>
      <c r="D58" s="4" t="s">
        <v>31</v>
      </c>
    </row>
    <row r="59" spans="2:4" x14ac:dyDescent="0.2">
      <c r="B59" s="4" t="s">
        <v>76</v>
      </c>
      <c r="C59" s="4" t="s">
        <v>20</v>
      </c>
      <c r="D59" s="4" t="s">
        <v>20</v>
      </c>
    </row>
    <row r="60" spans="2:4" x14ac:dyDescent="0.2">
      <c r="B60" s="4" t="s">
        <v>75</v>
      </c>
      <c r="C60" s="4" t="s">
        <v>31</v>
      </c>
      <c r="D60" s="4" t="s">
        <v>27</v>
      </c>
    </row>
    <row r="61" spans="2:4" x14ac:dyDescent="0.2">
      <c r="B61" s="4" t="s">
        <v>74</v>
      </c>
      <c r="C61" s="4" t="s">
        <v>36</v>
      </c>
      <c r="D61" s="4" t="s">
        <v>20</v>
      </c>
    </row>
    <row r="62" spans="2:4" x14ac:dyDescent="0.2">
      <c r="B62" s="4" t="s">
        <v>73</v>
      </c>
      <c r="C62" s="4" t="s">
        <v>31</v>
      </c>
      <c r="D62" s="4" t="s">
        <v>27</v>
      </c>
    </row>
    <row r="63" spans="2:4" x14ac:dyDescent="0.2">
      <c r="B63" s="4" t="s">
        <v>72</v>
      </c>
      <c r="C63" s="4" t="s">
        <v>20</v>
      </c>
      <c r="D63" s="4" t="s">
        <v>31</v>
      </c>
    </row>
    <row r="64" spans="2:4" x14ac:dyDescent="0.2">
      <c r="B64" s="4" t="s">
        <v>71</v>
      </c>
      <c r="C64" s="4" t="s">
        <v>36</v>
      </c>
      <c r="D64" s="4" t="s">
        <v>247</v>
      </c>
    </row>
    <row r="65" spans="2:4" x14ac:dyDescent="0.2">
      <c r="B65" s="4" t="s">
        <v>70</v>
      </c>
      <c r="C65" s="4" t="s">
        <v>36</v>
      </c>
      <c r="D65" s="4" t="s">
        <v>20</v>
      </c>
    </row>
    <row r="66" spans="2:4" x14ac:dyDescent="0.2">
      <c r="B66" s="4" t="s">
        <v>69</v>
      </c>
      <c r="C66" s="4" t="s">
        <v>23</v>
      </c>
      <c r="D66" s="4" t="s">
        <v>247</v>
      </c>
    </row>
    <row r="67" spans="2:4" x14ac:dyDescent="0.2">
      <c r="B67" s="4" t="s">
        <v>68</v>
      </c>
      <c r="C67" s="4" t="s">
        <v>31</v>
      </c>
      <c r="D67" s="4" t="s">
        <v>27</v>
      </c>
    </row>
    <row r="68" spans="2:4" x14ac:dyDescent="0.2">
      <c r="B68" s="4" t="s">
        <v>67</v>
      </c>
      <c r="C68" s="4" t="s">
        <v>21</v>
      </c>
      <c r="D68" s="4" t="s">
        <v>20</v>
      </c>
    </row>
    <row r="69" spans="2:4" x14ac:dyDescent="0.2">
      <c r="B69" s="4" t="s">
        <v>66</v>
      </c>
      <c r="C69" s="4" t="s">
        <v>36</v>
      </c>
      <c r="D69" s="4" t="s">
        <v>36</v>
      </c>
    </row>
    <row r="70" spans="2:4" x14ac:dyDescent="0.2">
      <c r="B70" s="4" t="s">
        <v>65</v>
      </c>
      <c r="C70" s="4" t="s">
        <v>31</v>
      </c>
      <c r="D70" s="4" t="s">
        <v>27</v>
      </c>
    </row>
    <row r="71" spans="2:4" x14ac:dyDescent="0.2">
      <c r="B71" s="4" t="s">
        <v>64</v>
      </c>
      <c r="C71" s="4" t="s">
        <v>36</v>
      </c>
      <c r="D71" s="4" t="s">
        <v>247</v>
      </c>
    </row>
    <row r="72" spans="2:4" x14ac:dyDescent="0.2">
      <c r="B72" s="4" t="s">
        <v>63</v>
      </c>
      <c r="C72" s="4" t="s">
        <v>21</v>
      </c>
      <c r="D72" s="4" t="s">
        <v>247</v>
      </c>
    </row>
    <row r="73" spans="2:4" x14ac:dyDescent="0.2">
      <c r="B73" s="4" t="s">
        <v>62</v>
      </c>
      <c r="C73" s="4" t="s">
        <v>36</v>
      </c>
      <c r="D73" s="4" t="s">
        <v>36</v>
      </c>
    </row>
    <row r="74" spans="2:4" x14ac:dyDescent="0.2">
      <c r="B74" s="4" t="s">
        <v>61</v>
      </c>
      <c r="C74" s="4" t="s">
        <v>23</v>
      </c>
      <c r="D74" s="4" t="s">
        <v>36</v>
      </c>
    </row>
    <row r="75" spans="2:4" x14ac:dyDescent="0.2">
      <c r="B75" s="4" t="s">
        <v>60</v>
      </c>
      <c r="C75" s="4" t="s">
        <v>20</v>
      </c>
      <c r="D75" s="4" t="s">
        <v>247</v>
      </c>
    </row>
    <row r="76" spans="2:4" x14ac:dyDescent="0.2">
      <c r="B76" s="4" t="s">
        <v>59</v>
      </c>
      <c r="C76" s="4" t="s">
        <v>20</v>
      </c>
      <c r="D76" s="4" t="s">
        <v>20</v>
      </c>
    </row>
    <row r="77" spans="2:4" x14ac:dyDescent="0.2">
      <c r="B77" s="4" t="s">
        <v>58</v>
      </c>
      <c r="C77" s="4" t="s">
        <v>21</v>
      </c>
      <c r="D77" s="4" t="s">
        <v>20</v>
      </c>
    </row>
    <row r="78" spans="2:4" x14ac:dyDescent="0.2">
      <c r="B78" s="4" t="s">
        <v>57</v>
      </c>
      <c r="C78" s="4" t="s">
        <v>36</v>
      </c>
      <c r="D78" s="4" t="s">
        <v>23</v>
      </c>
    </row>
    <row r="79" spans="2:4" x14ac:dyDescent="0.2">
      <c r="B79" s="4" t="s">
        <v>56</v>
      </c>
      <c r="C79" s="4" t="s">
        <v>36</v>
      </c>
      <c r="D79" s="4" t="s">
        <v>247</v>
      </c>
    </row>
    <row r="80" spans="2:4" x14ac:dyDescent="0.2">
      <c r="B80" s="4" t="s">
        <v>55</v>
      </c>
      <c r="C80" s="4" t="s">
        <v>21</v>
      </c>
      <c r="D80" s="4" t="s">
        <v>20</v>
      </c>
    </row>
    <row r="81" spans="2:4" x14ac:dyDescent="0.2">
      <c r="B81" s="4" t="s">
        <v>54</v>
      </c>
      <c r="C81" s="4" t="s">
        <v>31</v>
      </c>
      <c r="D81" s="4" t="s">
        <v>27</v>
      </c>
    </row>
    <row r="82" spans="2:4" x14ac:dyDescent="0.2">
      <c r="B82" s="4" t="s">
        <v>53</v>
      </c>
      <c r="C82" s="4" t="s">
        <v>23</v>
      </c>
      <c r="D82" s="4" t="s">
        <v>36</v>
      </c>
    </row>
    <row r="83" spans="2:4" x14ac:dyDescent="0.2">
      <c r="B83" s="4" t="s">
        <v>52</v>
      </c>
      <c r="C83" s="4" t="s">
        <v>23</v>
      </c>
      <c r="D83" s="4" t="s">
        <v>23</v>
      </c>
    </row>
    <row r="84" spans="2:4" x14ac:dyDescent="0.2">
      <c r="B84" s="4" t="s">
        <v>51</v>
      </c>
      <c r="C84" s="4" t="s">
        <v>20</v>
      </c>
      <c r="D84" s="4" t="s">
        <v>20</v>
      </c>
    </row>
    <row r="85" spans="2:4" x14ac:dyDescent="0.2">
      <c r="B85" s="4" t="s">
        <v>50</v>
      </c>
      <c r="C85" s="4" t="s">
        <v>36</v>
      </c>
      <c r="D85" s="4" t="s">
        <v>36</v>
      </c>
    </row>
    <row r="86" spans="2:4" x14ac:dyDescent="0.2">
      <c r="B86" s="4" t="s">
        <v>49</v>
      </c>
      <c r="C86" s="4" t="s">
        <v>31</v>
      </c>
      <c r="D86" s="4" t="s">
        <v>27</v>
      </c>
    </row>
    <row r="87" spans="2:4" x14ac:dyDescent="0.2">
      <c r="B87" s="4" t="s">
        <v>48</v>
      </c>
      <c r="C87" s="4" t="s">
        <v>21</v>
      </c>
      <c r="D87" s="4" t="s">
        <v>31</v>
      </c>
    </row>
    <row r="88" spans="2:4" x14ac:dyDescent="0.2">
      <c r="B88" s="4" t="s">
        <v>47</v>
      </c>
      <c r="C88" s="4" t="s">
        <v>20</v>
      </c>
      <c r="D88" s="4" t="s">
        <v>31</v>
      </c>
    </row>
    <row r="89" spans="2:4" x14ac:dyDescent="0.2">
      <c r="B89" s="4" t="s">
        <v>46</v>
      </c>
      <c r="C89" s="4" t="s">
        <v>21</v>
      </c>
      <c r="D89" s="4" t="s">
        <v>36</v>
      </c>
    </row>
    <row r="90" spans="2:4" x14ac:dyDescent="0.2">
      <c r="B90" s="4" t="s">
        <v>45</v>
      </c>
      <c r="C90" s="4" t="s">
        <v>31</v>
      </c>
      <c r="D90" s="4" t="s">
        <v>31</v>
      </c>
    </row>
    <row r="91" spans="2:4" x14ac:dyDescent="0.2">
      <c r="B91" s="4" t="s">
        <v>44</v>
      </c>
      <c r="C91" s="4" t="s">
        <v>21</v>
      </c>
      <c r="D91" s="4" t="s">
        <v>31</v>
      </c>
    </row>
    <row r="92" spans="2:4" x14ac:dyDescent="0.2">
      <c r="B92" s="4" t="s">
        <v>43</v>
      </c>
      <c r="C92" s="4" t="s">
        <v>20</v>
      </c>
      <c r="D92" s="4" t="s">
        <v>31</v>
      </c>
    </row>
    <row r="93" spans="2:4" x14ac:dyDescent="0.2">
      <c r="B93" s="4" t="s">
        <v>42</v>
      </c>
      <c r="C93" s="4" t="s">
        <v>36</v>
      </c>
      <c r="D93" s="4" t="s">
        <v>36</v>
      </c>
    </row>
    <row r="94" spans="2:4" x14ac:dyDescent="0.2">
      <c r="B94" s="4" t="s">
        <v>41</v>
      </c>
      <c r="C94" s="4" t="s">
        <v>31</v>
      </c>
      <c r="D94" s="4" t="s">
        <v>27</v>
      </c>
    </row>
    <row r="95" spans="2:4" x14ac:dyDescent="0.2">
      <c r="B95" s="4" t="s">
        <v>40</v>
      </c>
      <c r="C95" s="4" t="s">
        <v>20</v>
      </c>
      <c r="D95" s="4" t="s">
        <v>31</v>
      </c>
    </row>
    <row r="96" spans="2:4" x14ac:dyDescent="0.2">
      <c r="B96" s="4" t="s">
        <v>39</v>
      </c>
      <c r="C96" s="4" t="s">
        <v>23</v>
      </c>
      <c r="D96" s="4" t="s">
        <v>23</v>
      </c>
    </row>
    <row r="97" spans="2:4" x14ac:dyDescent="0.2">
      <c r="B97" s="4" t="s">
        <v>38</v>
      </c>
      <c r="C97" s="4" t="s">
        <v>36</v>
      </c>
      <c r="D97" s="4" t="s">
        <v>36</v>
      </c>
    </row>
    <row r="98" spans="2:4" x14ac:dyDescent="0.2">
      <c r="B98" s="4" t="s">
        <v>37</v>
      </c>
      <c r="C98" s="4" t="s">
        <v>36</v>
      </c>
      <c r="D98" s="4" t="s">
        <v>247</v>
      </c>
    </row>
    <row r="99" spans="2:4" x14ac:dyDescent="0.2">
      <c r="B99" s="4" t="s">
        <v>35</v>
      </c>
      <c r="C99" s="4" t="s">
        <v>21</v>
      </c>
      <c r="D99" s="4" t="s">
        <v>247</v>
      </c>
    </row>
    <row r="100" spans="2:4" x14ac:dyDescent="0.2">
      <c r="B100" s="4" t="s">
        <v>34</v>
      </c>
      <c r="C100" s="4" t="s">
        <v>31</v>
      </c>
      <c r="D100" s="4" t="s">
        <v>20</v>
      </c>
    </row>
    <row r="101" spans="2:4" x14ac:dyDescent="0.2">
      <c r="B101" s="4" t="s">
        <v>33</v>
      </c>
      <c r="C101" s="4" t="s">
        <v>31</v>
      </c>
      <c r="D101" s="4" t="s">
        <v>27</v>
      </c>
    </row>
    <row r="102" spans="2:4" x14ac:dyDescent="0.2">
      <c r="B102" s="4" t="s">
        <v>32</v>
      </c>
      <c r="C102" s="4" t="s">
        <v>21</v>
      </c>
      <c r="D102" s="4" t="s">
        <v>31</v>
      </c>
    </row>
    <row r="103" spans="2:4" x14ac:dyDescent="0.2">
      <c r="B103" s="4" t="s">
        <v>30</v>
      </c>
      <c r="C103" s="4" t="s">
        <v>21</v>
      </c>
      <c r="D103" s="4" t="s">
        <v>20</v>
      </c>
    </row>
    <row r="104" spans="2:4" x14ac:dyDescent="0.2">
      <c r="B104" s="4" t="s">
        <v>29</v>
      </c>
      <c r="C104" s="4" t="s">
        <v>20</v>
      </c>
      <c r="D104" s="4" t="s">
        <v>27</v>
      </c>
    </row>
    <row r="105" spans="2:4" x14ac:dyDescent="0.2">
      <c r="B105" s="4" t="s">
        <v>28</v>
      </c>
      <c r="C105" s="4" t="s">
        <v>20</v>
      </c>
      <c r="D105" s="4" t="s">
        <v>27</v>
      </c>
    </row>
    <row r="106" spans="2:4" x14ac:dyDescent="0.2">
      <c r="B106" s="4" t="s">
        <v>26</v>
      </c>
      <c r="C106" s="4" t="s">
        <v>21</v>
      </c>
      <c r="D106" s="4" t="s">
        <v>247</v>
      </c>
    </row>
    <row r="107" spans="2:4" x14ac:dyDescent="0.2">
      <c r="B107" s="4" t="s">
        <v>25</v>
      </c>
      <c r="C107" s="4" t="s">
        <v>20</v>
      </c>
      <c r="D107" s="4" t="s">
        <v>20</v>
      </c>
    </row>
    <row r="108" spans="2:4" x14ac:dyDescent="0.2">
      <c r="B108" s="4" t="s">
        <v>24</v>
      </c>
      <c r="C108" s="4" t="s">
        <v>23</v>
      </c>
      <c r="D108" s="4" t="s">
        <v>23</v>
      </c>
    </row>
    <row r="109" spans="2:4" x14ac:dyDescent="0.2">
      <c r="B109" s="4" t="s">
        <v>22</v>
      </c>
      <c r="C109" s="4" t="s">
        <v>21</v>
      </c>
      <c r="D109" s="4" t="s">
        <v>20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9CB0B59F-8D8A-AE46-8DE4-255263D76487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Tables!H20:M20</xm:f>
              <xm:sqref>O20</xm:sqref>
            </x14:sparkline>
            <x14:sparkline>
              <xm:f>Tables!H21:M21</xm:f>
              <xm:sqref>O21</xm:sqref>
            </x14:sparkline>
            <x14:sparkline>
              <xm:f>Tables!H22:M22</xm:f>
              <xm:sqref>O22</xm:sqref>
            </x14:sparkline>
            <x14:sparkline>
              <xm:f>Tables!H23:M23</xm:f>
              <xm:sqref>O23</xm:sqref>
            </x14:sparkline>
            <x14:sparkline>
              <xm:f>Tables!H24:M24</xm:f>
              <xm:sqref>O24</xm:sqref>
            </x14:sparkline>
            <x14:sparkline>
              <xm:f>Tables!H25:M25</xm:f>
              <xm:sqref>O25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AB22-906E-FE44-86CF-2B0A3DF51472}">
  <sheetPr codeName="Sheet8">
    <tabColor rgb="FFFF0000"/>
  </sheetPr>
  <dimension ref="B1:X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16384" width="8.83203125" style="4"/>
  </cols>
  <sheetData>
    <row r="1" spans="2:24" x14ac:dyDescent="0.2">
      <c r="P1" s="4"/>
      <c r="Q1" s="4"/>
      <c r="R1" s="4"/>
      <c r="S1" s="4"/>
      <c r="T1" s="4"/>
      <c r="U1" s="4"/>
    </row>
    <row r="2" spans="2:24" x14ac:dyDescent="0.2">
      <c r="P2" s="4"/>
      <c r="Q2" s="4"/>
      <c r="R2" s="4"/>
      <c r="S2" s="4"/>
      <c r="T2" s="4"/>
      <c r="U2" s="4"/>
    </row>
    <row r="3" spans="2:24" ht="29" x14ac:dyDescent="0.35">
      <c r="B3" s="29" t="s">
        <v>134</v>
      </c>
      <c r="P3" s="4"/>
      <c r="Q3" s="4"/>
      <c r="R3" s="4"/>
      <c r="S3" s="4"/>
      <c r="T3" s="4"/>
      <c r="U3" s="4"/>
    </row>
    <row r="4" spans="2:24" x14ac:dyDescent="0.2">
      <c r="P4" s="4"/>
      <c r="Q4" s="4"/>
      <c r="R4" s="4"/>
      <c r="S4" s="4"/>
      <c r="T4" s="4"/>
      <c r="U4" s="4"/>
    </row>
    <row r="5" spans="2:24" x14ac:dyDescent="0.2">
      <c r="P5" s="4"/>
      <c r="Q5" s="4"/>
      <c r="R5" s="4"/>
      <c r="S5" s="4"/>
      <c r="T5" s="4"/>
      <c r="U5" s="4"/>
    </row>
    <row r="6" spans="2:24" x14ac:dyDescent="0.2">
      <c r="P6" s="4"/>
      <c r="Q6" s="4"/>
      <c r="R6" s="4"/>
      <c r="S6" s="4"/>
      <c r="T6" s="4"/>
      <c r="U6" s="4"/>
    </row>
    <row r="7" spans="2:24" x14ac:dyDescent="0.2">
      <c r="P7" s="4"/>
      <c r="Q7" s="4"/>
      <c r="R7" s="4"/>
      <c r="S7" s="4"/>
      <c r="T7" s="4"/>
      <c r="U7" s="4"/>
    </row>
    <row r="8" spans="2:24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24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</row>
    <row r="10" spans="2:24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0.74567634093793778</v>
      </c>
      <c r="W10" s="4" cm="1">
        <f t="array" aca="1" ref="W10" ca="1">MIN(SUM((P10:U10&lt;V10)+0)+1,6)</f>
        <v>6</v>
      </c>
      <c r="X10" s="4" t="str">
        <f ca="1">OFFSET($G$9,0,W10)</f>
        <v>F</v>
      </c>
    </row>
    <row r="11" spans="2:24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2">COUNTIFS(RatingLast,$G11,RatingNow,H$9)</f>
        <v>2</v>
      </c>
      <c r="I11" s="22">
        <f t="shared" si="2"/>
        <v>11</v>
      </c>
      <c r="J11" s="22">
        <f t="shared" si="2"/>
        <v>6</v>
      </c>
      <c r="K11" s="22">
        <f t="shared" si="2"/>
        <v>2</v>
      </c>
      <c r="L11" s="22">
        <f t="shared" si="2"/>
        <v>0</v>
      </c>
      <c r="M11" s="23">
        <f t="shared" si="2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0.93797608240096642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</row>
    <row r="12" spans="2:24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4">COUNTIFS(RatingLast,$G12,RatingNow,H$9)</f>
        <v>0</v>
      </c>
      <c r="I12" s="22">
        <f t="shared" si="4"/>
        <v>2</v>
      </c>
      <c r="J12" s="22">
        <f t="shared" si="4"/>
        <v>4</v>
      </c>
      <c r="K12" s="22">
        <f t="shared" si="4"/>
        <v>9</v>
      </c>
      <c r="L12" s="22">
        <f t="shared" si="4"/>
        <v>6</v>
      </c>
      <c r="M12" s="23">
        <f t="shared" si="4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0.7870980212751042</v>
      </c>
      <c r="W12" s="4" cm="1">
        <f t="array" aca="1" ref="W12" ca="1">MIN(SUM((P12:U12&lt;V12)+0)+1,6)</f>
        <v>5</v>
      </c>
      <c r="X12" s="4" t="str">
        <f t="shared" ca="1" si="3"/>
        <v>E</v>
      </c>
    </row>
    <row r="13" spans="2:24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5">COUNTIFS(RatingLast,$G13,RatingNow,H$9)</f>
        <v>0</v>
      </c>
      <c r="I13" s="22">
        <f t="shared" si="5"/>
        <v>0</v>
      </c>
      <c r="J13" s="22">
        <f t="shared" si="5"/>
        <v>2</v>
      </c>
      <c r="K13" s="22">
        <f t="shared" si="5"/>
        <v>8</v>
      </c>
      <c r="L13" s="22">
        <f t="shared" si="5"/>
        <v>7</v>
      </c>
      <c r="M13" s="23">
        <f t="shared" si="5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0.84601983379689405</v>
      </c>
      <c r="W13" s="4" cm="1">
        <f t="array" aca="1" ref="W13" ca="1">MIN(SUM((P13:U13&lt;V13)+0)+1,6)</f>
        <v>6</v>
      </c>
      <c r="X13" s="4" t="str">
        <f t="shared" ca="1" si="3"/>
        <v>F</v>
      </c>
    </row>
    <row r="14" spans="2:24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6">COUNTIFS(RatingLast,$G14,RatingNow,H$9)</f>
        <v>0</v>
      </c>
      <c r="I14" s="22">
        <f t="shared" si="6"/>
        <v>0</v>
      </c>
      <c r="J14" s="22">
        <f t="shared" si="6"/>
        <v>0</v>
      </c>
      <c r="K14" s="22">
        <f t="shared" si="6"/>
        <v>3</v>
      </c>
      <c r="L14" s="22">
        <f t="shared" si="6"/>
        <v>6</v>
      </c>
      <c r="M14" s="23">
        <f t="shared" si="6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4.3425208354388678E-2</v>
      </c>
      <c r="W14" s="4" cm="1">
        <f t="array" aca="1" ref="W14" ca="1">MIN(SUM((P14:U14&lt;V14)+0)+1,6)</f>
        <v>3</v>
      </c>
      <c r="X14" s="4" t="str">
        <f t="shared" ca="1" si="3"/>
        <v>C_</v>
      </c>
    </row>
    <row r="15" spans="2:24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7">COUNTIFS(RatingLast,$G15,RatingNow,H$9)</f>
        <v>0</v>
      </c>
      <c r="I15" s="20">
        <f t="shared" si="7"/>
        <v>0</v>
      </c>
      <c r="J15" s="20">
        <f t="shared" si="7"/>
        <v>0</v>
      </c>
      <c r="K15" s="20">
        <f t="shared" si="7"/>
        <v>0</v>
      </c>
      <c r="L15" s="20">
        <f t="shared" si="7"/>
        <v>0</v>
      </c>
      <c r="M15" s="19">
        <f t="shared" si="7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0.46147225696891991</v>
      </c>
      <c r="W15" s="4" cm="1">
        <f t="array" aca="1" ref="W15" ca="1">MIN(SUM((P15:U15&lt;V15)+0)+1,6)</f>
        <v>6</v>
      </c>
      <c r="X15" s="4" t="str">
        <f t="shared" ca="1" si="3"/>
        <v>F</v>
      </c>
    </row>
    <row r="16" spans="2:24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0.93213430783200091</v>
      </c>
      <c r="W16" s="4" cm="1">
        <f t="array" aca="1" ref="W16" ca="1">MIN(SUM((P16:U16&lt;V16)+0)+1,6)</f>
        <v>3</v>
      </c>
      <c r="X16" s="4" t="str">
        <f t="shared" ca="1" si="3"/>
        <v>C_</v>
      </c>
    </row>
    <row r="17" spans="2:24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0.25463648541398443</v>
      </c>
      <c r="W17" s="4" cm="1">
        <f t="array" aca="1" ref="W17" ca="1">MIN(SUM((P17:U17&lt;V17)+0)+1,6)</f>
        <v>3</v>
      </c>
      <c r="X17" s="4" t="str">
        <f t="shared" ca="1" si="3"/>
        <v>C_</v>
      </c>
    </row>
    <row r="18" spans="2:24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3"/>
        <v>C_</v>
      </c>
    </row>
    <row r="19" spans="2:24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0.11441139534674749</v>
      </c>
      <c r="W19" s="4" cm="1">
        <f t="array" aca="1" ref="W19" ca="1">MIN(SUM((P19:U19&lt;V19)+0)+1,6)</f>
        <v>3</v>
      </c>
      <c r="X19" s="4" t="str">
        <f t="shared" ca="1" si="3"/>
        <v>C_</v>
      </c>
    </row>
    <row r="20" spans="2:24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8">RAND()</f>
        <v>0.2360183197104937</v>
      </c>
      <c r="W20" s="4" cm="1">
        <f t="array" aca="1" ref="W20" ca="1">MIN(SUM((P20:U20&lt;V20)+0)+1,6)</f>
        <v>3</v>
      </c>
      <c r="X20" s="4" t="str">
        <f t="shared" ca="1" si="3"/>
        <v>C_</v>
      </c>
    </row>
    <row r="21" spans="2:24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8"/>
        <v>0.116590850095174</v>
      </c>
      <c r="W21" s="4" cm="1">
        <f t="array" aca="1" ref="W21" ca="1">MIN(SUM((P21:U21&lt;V21)+0)+1,6)</f>
        <v>4</v>
      </c>
      <c r="X21" s="4" t="str">
        <f t="shared" ca="1" si="3"/>
        <v>D</v>
      </c>
    </row>
    <row r="22" spans="2:24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8"/>
        <v>0.9013642114442828</v>
      </c>
      <c r="W22" s="4" cm="1">
        <f t="array" aca="1" ref="W22" ca="1">MIN(SUM((P22:U22&lt;V22)+0)+1,6)</f>
        <v>5</v>
      </c>
      <c r="X22" s="4" t="str">
        <f t="shared" ca="1" si="3"/>
        <v>E</v>
      </c>
    </row>
    <row r="23" spans="2:24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8"/>
        <v>0.32352868180781558</v>
      </c>
      <c r="W23" s="4" cm="1">
        <f t="array" aca="1" ref="W23" ca="1">MIN(SUM((P23:U23&lt;V23)+0)+1,6)</f>
        <v>4</v>
      </c>
      <c r="X23" s="4" t="str">
        <f t="shared" ca="1" si="3"/>
        <v>D</v>
      </c>
    </row>
    <row r="24" spans="2:24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8"/>
        <v>0.36328465255126197</v>
      </c>
      <c r="W24" s="4" cm="1">
        <f t="array" aca="1" ref="W24" ca="1">MIN(SUM((P24:U24&lt;V24)+0)+1,6)</f>
        <v>1</v>
      </c>
      <c r="X24" s="4" t="str">
        <f t="shared" ca="1" si="3"/>
        <v>A</v>
      </c>
    </row>
    <row r="25" spans="2:24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8"/>
        <v>0.82307787604693383</v>
      </c>
      <c r="W25" s="4" cm="1">
        <f t="array" aca="1" ref="W25" ca="1">MIN(SUM((P25:U25&lt;V25)+0)+1,6)</f>
        <v>6</v>
      </c>
      <c r="X25" s="4" t="str">
        <f t="shared" ca="1" si="3"/>
        <v>F</v>
      </c>
    </row>
    <row r="26" spans="2:24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8"/>
        <v>0.68215680891992281</v>
      </c>
      <c r="W26" s="4" cm="1">
        <f t="array" aca="1" ref="W26" ca="1">MIN(SUM((P26:U26&lt;V26)+0)+1,6)</f>
        <v>5</v>
      </c>
      <c r="X26" s="4" t="str">
        <f t="shared" ca="1" si="3"/>
        <v>E</v>
      </c>
    </row>
    <row r="27" spans="2:24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8"/>
        <v>0.31469560719069856</v>
      </c>
      <c r="W27" s="4" cm="1">
        <f t="array" aca="1" ref="W27" ca="1">MIN(SUM((P27:U27&lt;V27)+0)+1,6)</f>
        <v>2</v>
      </c>
      <c r="X27" s="4" t="str">
        <f t="shared" ca="1" si="3"/>
        <v>B</v>
      </c>
    </row>
    <row r="28" spans="2:24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8"/>
        <v>1.6435514731386158E-2</v>
      </c>
      <c r="W28" s="4" cm="1">
        <f t="array" aca="1" ref="W28" ca="1">MIN(SUM((P28:U28&lt;V28)+0)+1,6)</f>
        <v>3</v>
      </c>
      <c r="X28" s="4" t="str">
        <f t="shared" ca="1" si="3"/>
        <v>C_</v>
      </c>
    </row>
    <row r="29" spans="2:24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8"/>
        <v>0.9409246234981401</v>
      </c>
      <c r="W29" s="4" cm="1">
        <f t="array" aca="1" ref="W29" ca="1">MIN(SUM((P29:U29&lt;V29)+0)+1,6)</f>
        <v>6</v>
      </c>
      <c r="X29" s="4" t="str">
        <f t="shared" ca="1" si="3"/>
        <v>F</v>
      </c>
    </row>
    <row r="30" spans="2:24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8"/>
        <v>0.59515106067097434</v>
      </c>
      <c r="W30" s="4" cm="1">
        <f t="array" aca="1" ref="W30" ca="1">MIN(SUM((P30:U30&lt;V30)+0)+1,6)</f>
        <v>5</v>
      </c>
      <c r="X30" s="4" t="str">
        <f t="shared" ca="1" si="3"/>
        <v>E</v>
      </c>
    </row>
    <row r="31" spans="2:24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9">I20+H31</f>
        <v>0.84615384615384615</v>
      </c>
      <c r="J31" s="85">
        <f t="shared" si="9"/>
        <v>1</v>
      </c>
      <c r="K31" s="85">
        <f t="shared" si="9"/>
        <v>1</v>
      </c>
      <c r="L31" s="85">
        <f t="shared" si="9"/>
        <v>1</v>
      </c>
      <c r="M31" s="86">
        <f t="shared" si="9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8"/>
        <v>0.16300838014470154</v>
      </c>
      <c r="W31" s="4" cm="1">
        <f t="array" aca="1" ref="W31" ca="1">MIN(SUM((P31:U31&lt;V31)+0)+1,6)</f>
        <v>6</v>
      </c>
      <c r="X31" s="4" t="str">
        <f t="shared" ca="1" si="3"/>
        <v>F</v>
      </c>
    </row>
    <row r="32" spans="2:24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0">H21</f>
        <v>9.5238095238095233E-2</v>
      </c>
      <c r="I32" s="88">
        <f t="shared" si="9"/>
        <v>0.61904761904761907</v>
      </c>
      <c r="J32" s="88">
        <f t="shared" si="9"/>
        <v>0.90476190476190477</v>
      </c>
      <c r="K32" s="88">
        <f t="shared" si="9"/>
        <v>1</v>
      </c>
      <c r="L32" s="88">
        <f t="shared" si="9"/>
        <v>1</v>
      </c>
      <c r="M32" s="89">
        <f t="shared" si="9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8"/>
        <v>0.89212392126808315</v>
      </c>
      <c r="W32" s="4" cm="1">
        <f t="array" aca="1" ref="W32" ca="1">MIN(SUM((P32:U32&lt;V32)+0)+1,6)</f>
        <v>6</v>
      </c>
      <c r="X32" s="4" t="str">
        <f t="shared" ca="1" si="3"/>
        <v>F</v>
      </c>
    </row>
    <row r="33" spans="2:24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0"/>
        <v>0</v>
      </c>
      <c r="I33" s="88">
        <f t="shared" si="9"/>
        <v>9.5238095238095233E-2</v>
      </c>
      <c r="J33" s="88">
        <f t="shared" si="9"/>
        <v>0.2857142857142857</v>
      </c>
      <c r="K33" s="88">
        <f t="shared" si="9"/>
        <v>0.71428571428571419</v>
      </c>
      <c r="L33" s="88">
        <f t="shared" si="9"/>
        <v>0.99999999999999989</v>
      </c>
      <c r="M33" s="89">
        <f t="shared" si="9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8"/>
        <v>0.70267629181846691</v>
      </c>
      <c r="W33" s="4" cm="1">
        <f t="array" aca="1" ref="W33" ca="1">MIN(SUM((P33:U33&lt;V33)+0)+1,6)</f>
        <v>2</v>
      </c>
      <c r="X33" s="4" t="str">
        <f t="shared" ca="1" si="3"/>
        <v>B</v>
      </c>
    </row>
    <row r="34" spans="2:24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0"/>
        <v>0</v>
      </c>
      <c r="I34" s="88">
        <f t="shared" si="9"/>
        <v>0</v>
      </c>
      <c r="J34" s="88">
        <f t="shared" si="9"/>
        <v>0.1</v>
      </c>
      <c r="K34" s="88">
        <f t="shared" si="9"/>
        <v>0.5</v>
      </c>
      <c r="L34" s="88">
        <f t="shared" si="9"/>
        <v>0.85</v>
      </c>
      <c r="M34" s="89">
        <f t="shared" si="9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8"/>
        <v>0.84584047760368641</v>
      </c>
      <c r="W34" s="4" cm="1">
        <f t="array" aca="1" ref="W34" ca="1">MIN(SUM((P34:U34&lt;V34)+0)+1,6)</f>
        <v>2</v>
      </c>
      <c r="X34" s="4" t="str">
        <f t="shared" ca="1" si="3"/>
        <v>B</v>
      </c>
    </row>
    <row r="35" spans="2:24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0"/>
        <v>0</v>
      </c>
      <c r="I35" s="88">
        <f t="shared" si="9"/>
        <v>0</v>
      </c>
      <c r="J35" s="88">
        <f t="shared" si="9"/>
        <v>0</v>
      </c>
      <c r="K35" s="88">
        <f t="shared" si="9"/>
        <v>0.12</v>
      </c>
      <c r="L35" s="88">
        <f t="shared" si="9"/>
        <v>0.36</v>
      </c>
      <c r="M35" s="89">
        <f t="shared" si="9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8"/>
        <v>0.525336457719493</v>
      </c>
      <c r="W35" s="4" cm="1">
        <f t="array" aca="1" ref="W35" ca="1">MIN(SUM((P35:U35&lt;V35)+0)+1,6)</f>
        <v>6</v>
      </c>
      <c r="X35" s="4" t="str">
        <f t="shared" ca="1" si="3"/>
        <v>F</v>
      </c>
    </row>
    <row r="36" spans="2:24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0"/>
        <v>0</v>
      </c>
      <c r="I36" s="91">
        <f t="shared" si="9"/>
        <v>0</v>
      </c>
      <c r="J36" s="91">
        <f t="shared" si="9"/>
        <v>0</v>
      </c>
      <c r="K36" s="91">
        <f t="shared" si="9"/>
        <v>0</v>
      </c>
      <c r="L36" s="91">
        <f t="shared" si="9"/>
        <v>0</v>
      </c>
      <c r="M36" s="92">
        <f t="shared" si="9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8"/>
        <v>0.77568043167650735</v>
      </c>
      <c r="W36" s="4" cm="1">
        <f t="array" aca="1" ref="W36" ca="1">MIN(SUM((P36:U36&lt;V36)+0)+1,6)</f>
        <v>5</v>
      </c>
      <c r="X36" s="4" t="str">
        <f t="shared" ca="1" si="3"/>
        <v>E</v>
      </c>
    </row>
    <row r="37" spans="2:24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8"/>
        <v>0.36881844804615049</v>
      </c>
      <c r="W37" s="4" cm="1">
        <f t="array" aca="1" ref="W37" ca="1">MIN(SUM((P37:U37&lt;V37)+0)+1,6)</f>
        <v>6</v>
      </c>
      <c r="X37" s="4" t="str">
        <f t="shared" ca="1" si="3"/>
        <v>F</v>
      </c>
    </row>
    <row r="38" spans="2:24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8"/>
        <v>0.43416594134674447</v>
      </c>
      <c r="W38" s="4" cm="1">
        <f t="array" aca="1" ref="W38" ca="1">MIN(SUM((P38:U38&lt;V38)+0)+1,6)</f>
        <v>2</v>
      </c>
      <c r="X38" s="4" t="str">
        <f t="shared" ca="1" si="3"/>
        <v>B</v>
      </c>
    </row>
    <row r="39" spans="2:24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8"/>
        <v>3.5871391636804084E-2</v>
      </c>
      <c r="W39" s="4" cm="1">
        <f t="array" aca="1" ref="W39" ca="1">MIN(SUM((P39:U39&lt;V39)+0)+1,6)</f>
        <v>1</v>
      </c>
      <c r="X39" s="4" t="str">
        <f t="shared" ca="1" si="3"/>
        <v>A</v>
      </c>
    </row>
    <row r="40" spans="2:24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8"/>
        <v>3.7812158923013706E-2</v>
      </c>
      <c r="W40" s="4" cm="1">
        <f t="array" aca="1" ref="W40" ca="1">MIN(SUM((P40:U40&lt;V40)+0)+1,6)</f>
        <v>6</v>
      </c>
      <c r="X40" s="4" t="str">
        <f t="shared" ca="1" si="3"/>
        <v>F</v>
      </c>
    </row>
    <row r="41" spans="2:24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8"/>
        <v>0.10008845550382695</v>
      </c>
      <c r="W41" s="4" cm="1">
        <f t="array" aca="1" ref="W41" ca="1">MIN(SUM((P41:U41&lt;V41)+0)+1,6)</f>
        <v>2</v>
      </c>
      <c r="X41" s="4" t="str">
        <f t="shared" ca="1" si="3"/>
        <v>B</v>
      </c>
    </row>
    <row r="42" spans="2:24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8"/>
        <v>0.93087712347618612</v>
      </c>
      <c r="W42" s="4" cm="1">
        <f t="array" aca="1" ref="W42" ca="1">MIN(SUM((P42:U42&lt;V42)+0)+1,6)</f>
        <v>6</v>
      </c>
      <c r="X42" s="4" t="str">
        <f t="shared" ca="1" si="3"/>
        <v>F</v>
      </c>
    </row>
    <row r="43" spans="2:24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8"/>
        <v>0.15063652249970683</v>
      </c>
      <c r="W43" s="4" cm="1">
        <f t="array" aca="1" ref="W43" ca="1">MIN(SUM((P43:U43&lt;V43)+0)+1,6)</f>
        <v>2</v>
      </c>
      <c r="X43" s="4" t="str">
        <f t="shared" ca="1" si="3"/>
        <v>B</v>
      </c>
    </row>
    <row r="44" spans="2:24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8"/>
        <v>0.26426403990861258</v>
      </c>
      <c r="W44" s="4" cm="1">
        <f t="array" aca="1" ref="W44" ca="1">MIN(SUM((P44:U44&lt;V44)+0)+1,6)</f>
        <v>5</v>
      </c>
      <c r="X44" s="4" t="str">
        <f t="shared" ca="1" si="3"/>
        <v>E</v>
      </c>
    </row>
    <row r="45" spans="2:24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8"/>
        <v>5.1893622769095038E-2</v>
      </c>
      <c r="W45" s="4" cm="1">
        <f t="array" aca="1" ref="W45" ca="1">MIN(SUM((P45:U45&lt;V45)+0)+1,6)</f>
        <v>1</v>
      </c>
      <c r="X45" s="4" t="str">
        <f t="shared" ca="1" si="3"/>
        <v>A</v>
      </c>
    </row>
    <row r="46" spans="2:24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8"/>
        <v>0.72246345764685671</v>
      </c>
      <c r="W46" s="4" cm="1">
        <f t="array" aca="1" ref="W46" ca="1">MIN(SUM((P46:U46&lt;V46)+0)+1,6)</f>
        <v>6</v>
      </c>
      <c r="X46" s="4" t="str">
        <f t="shared" ca="1" si="3"/>
        <v>F</v>
      </c>
    </row>
    <row r="47" spans="2:24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8"/>
        <v>0.23962439190714435</v>
      </c>
      <c r="W47" s="4" cm="1">
        <f t="array" aca="1" ref="W47" ca="1">MIN(SUM((P47:U47&lt;V47)+0)+1,6)</f>
        <v>6</v>
      </c>
      <c r="X47" s="4" t="str">
        <f t="shared" ca="1" si="3"/>
        <v>F</v>
      </c>
    </row>
    <row r="48" spans="2:24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8"/>
        <v>0.19604595333566333</v>
      </c>
      <c r="W48" s="4" cm="1">
        <f t="array" aca="1" ref="W48" ca="1">MIN(SUM((P48:U48&lt;V48)+0)+1,6)</f>
        <v>2</v>
      </c>
      <c r="X48" s="4" t="str">
        <f t="shared" ca="1" si="3"/>
        <v>B</v>
      </c>
    </row>
    <row r="49" spans="2:24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8"/>
        <v>0.17131287392481742</v>
      </c>
      <c r="W49" s="4" cm="1">
        <f t="array" aca="1" ref="W49" ca="1">MIN(SUM((P49:U49&lt;V49)+0)+1,6)</f>
        <v>5</v>
      </c>
      <c r="X49" s="4" t="str">
        <f t="shared" ca="1" si="3"/>
        <v>E</v>
      </c>
    </row>
    <row r="50" spans="2:24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8"/>
        <v>0.71653861839924304</v>
      </c>
      <c r="W50" s="4" cm="1">
        <f t="array" aca="1" ref="W50" ca="1">MIN(SUM((P50:U50&lt;V50)+0)+1,6)</f>
        <v>3</v>
      </c>
      <c r="X50" s="4" t="str">
        <f t="shared" ca="1" si="3"/>
        <v>C_</v>
      </c>
    </row>
    <row r="51" spans="2:24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8"/>
        <v>0.53599964290912705</v>
      </c>
      <c r="W51" s="4" cm="1">
        <f t="array" aca="1" ref="W51" ca="1">MIN(SUM((P51:U51&lt;V51)+0)+1,6)</f>
        <v>5</v>
      </c>
      <c r="X51" s="4" t="str">
        <f t="shared" ca="1" si="3"/>
        <v>E</v>
      </c>
    </row>
    <row r="52" spans="2:24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8"/>
        <v>0.44359466267205938</v>
      </c>
      <c r="W52" s="4" cm="1">
        <f t="array" aca="1" ref="W52" ca="1">MIN(SUM((P52:U52&lt;V52)+0)+1,6)</f>
        <v>2</v>
      </c>
      <c r="X52" s="4" t="str">
        <f t="shared" ca="1" si="3"/>
        <v>B</v>
      </c>
    </row>
    <row r="53" spans="2:24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8"/>
        <v>0.54220361831356667</v>
      </c>
      <c r="W53" s="4" cm="1">
        <f t="array" aca="1" ref="W53" ca="1">MIN(SUM((P53:U53&lt;V53)+0)+1,6)</f>
        <v>2</v>
      </c>
      <c r="X53" s="4" t="str">
        <f t="shared" ca="1" si="3"/>
        <v>B</v>
      </c>
    </row>
    <row r="54" spans="2:24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8"/>
        <v>0.72744513560028901</v>
      </c>
      <c r="W54" s="4" cm="1">
        <f t="array" aca="1" ref="W54" ca="1">MIN(SUM((P54:U54&lt;V54)+0)+1,6)</f>
        <v>6</v>
      </c>
      <c r="X54" s="4" t="str">
        <f t="shared" ca="1" si="3"/>
        <v>F</v>
      </c>
    </row>
    <row r="55" spans="2:24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8"/>
        <v>0.23095836082398946</v>
      </c>
      <c r="W55" s="4" cm="1">
        <f t="array" aca="1" ref="W55" ca="1">MIN(SUM((P55:U55&lt;V55)+0)+1,6)</f>
        <v>5</v>
      </c>
      <c r="X55" s="4" t="str">
        <f t="shared" ca="1" si="3"/>
        <v>E</v>
      </c>
    </row>
    <row r="56" spans="2:24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8"/>
        <v>0.9313077386025157</v>
      </c>
      <c r="W56" s="4" cm="1">
        <f t="array" aca="1" ref="W56" ca="1">MIN(SUM((P56:U56&lt;V56)+0)+1,6)</f>
        <v>6</v>
      </c>
      <c r="X56" s="4" t="str">
        <f t="shared" ca="1" si="3"/>
        <v>F</v>
      </c>
    </row>
    <row r="57" spans="2:24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8"/>
        <v>0.28289893764707419</v>
      </c>
      <c r="W57" s="4" cm="1">
        <f t="array" aca="1" ref="W57" ca="1">MIN(SUM((P57:U57&lt;V57)+0)+1,6)</f>
        <v>6</v>
      </c>
      <c r="X57" s="4" t="str">
        <f t="shared" ca="1" si="3"/>
        <v>F</v>
      </c>
    </row>
    <row r="58" spans="2:24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8"/>
        <v>0.75396053307832567</v>
      </c>
      <c r="W58" s="4" cm="1">
        <f t="array" aca="1" ref="W58" ca="1">MIN(SUM((P58:U58&lt;V58)+0)+1,6)</f>
        <v>6</v>
      </c>
      <c r="X58" s="4" t="str">
        <f t="shared" ca="1" si="3"/>
        <v>F</v>
      </c>
    </row>
    <row r="59" spans="2:24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8"/>
        <v>0.50010206167995785</v>
      </c>
      <c r="W59" s="4" cm="1">
        <f t="array" aca="1" ref="W59" ca="1">MIN(SUM((P59:U59&lt;V59)+0)+1,6)</f>
        <v>5</v>
      </c>
      <c r="X59" s="4" t="str">
        <f t="shared" ca="1" si="3"/>
        <v>E</v>
      </c>
    </row>
    <row r="60" spans="2:24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8"/>
        <v>0.11746316357196085</v>
      </c>
      <c r="W60" s="4" cm="1">
        <f t="array" aca="1" ref="W60" ca="1">MIN(SUM((P60:U60&lt;V60)+0)+1,6)</f>
        <v>6</v>
      </c>
      <c r="X60" s="4" t="str">
        <f t="shared" ca="1" si="3"/>
        <v>F</v>
      </c>
    </row>
    <row r="61" spans="2:24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8"/>
        <v>0.64051208967255679</v>
      </c>
      <c r="W61" s="4" cm="1">
        <f t="array" aca="1" ref="W61" ca="1">MIN(SUM((P61:U61&lt;V61)+0)+1,6)</f>
        <v>5</v>
      </c>
      <c r="X61" s="4" t="str">
        <f t="shared" ca="1" si="3"/>
        <v>E</v>
      </c>
    </row>
    <row r="62" spans="2:24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8"/>
        <v>0.33409952850500713</v>
      </c>
      <c r="W62" s="4" cm="1">
        <f t="array" aca="1" ref="W62" ca="1">MIN(SUM((P62:U62&lt;V62)+0)+1,6)</f>
        <v>6</v>
      </c>
      <c r="X62" s="4" t="str">
        <f t="shared" ca="1" si="3"/>
        <v>F</v>
      </c>
    </row>
    <row r="63" spans="2:24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8"/>
        <v>0.36676544421403845</v>
      </c>
      <c r="W63" s="4" cm="1">
        <f t="array" aca="1" ref="W63" ca="1">MIN(SUM((P63:U63&lt;V63)+0)+1,6)</f>
        <v>6</v>
      </c>
      <c r="X63" s="4" t="str">
        <f t="shared" ca="1" si="3"/>
        <v>F</v>
      </c>
    </row>
    <row r="64" spans="2:24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8"/>
        <v>4.9959420123353637E-2</v>
      </c>
      <c r="W64" s="4" cm="1">
        <f t="array" aca="1" ref="W64" ca="1">MIN(SUM((P64:U64&lt;V64)+0)+1,6)</f>
        <v>2</v>
      </c>
      <c r="X64" s="4" t="str">
        <f t="shared" ca="1" si="3"/>
        <v>B</v>
      </c>
    </row>
    <row r="65" spans="2:24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8"/>
        <v>0.88806403345918405</v>
      </c>
      <c r="W65" s="4" cm="1">
        <f t="array" aca="1" ref="W65" ca="1">MIN(SUM((P65:U65&lt;V65)+0)+1,6)</f>
        <v>6</v>
      </c>
      <c r="X65" s="4" t="str">
        <f t="shared" ca="1" si="3"/>
        <v>F</v>
      </c>
    </row>
    <row r="66" spans="2:24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8"/>
        <v>0.52719974820541449</v>
      </c>
      <c r="W66" s="4" cm="1">
        <f t="array" aca="1" ref="W66" ca="1">MIN(SUM((P66:U66&lt;V66)+0)+1,6)</f>
        <v>4</v>
      </c>
      <c r="X66" s="4" t="str">
        <f t="shared" ca="1" si="3"/>
        <v>D</v>
      </c>
    </row>
    <row r="67" spans="2:24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8"/>
        <v>0.42421962845832228</v>
      </c>
      <c r="W67" s="4" cm="1">
        <f t="array" aca="1" ref="W67" ca="1">MIN(SUM((P67:U67&lt;V67)+0)+1,6)</f>
        <v>6</v>
      </c>
      <c r="X67" s="4" t="str">
        <f t="shared" ca="1" si="3"/>
        <v>F</v>
      </c>
    </row>
    <row r="68" spans="2:24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8"/>
        <v>0.69273537311143696</v>
      </c>
      <c r="W68" s="4" cm="1">
        <f t="array" aca="1" ref="W68" ca="1">MIN(SUM((P68:U68&lt;V68)+0)+1,6)</f>
        <v>5</v>
      </c>
      <c r="X68" s="4" t="str">
        <f t="shared" ca="1" si="3"/>
        <v>E</v>
      </c>
    </row>
    <row r="69" spans="2:24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8"/>
        <v>0.31617361139320721</v>
      </c>
      <c r="W69" s="4" cm="1">
        <f t="array" aca="1" ref="W69" ca="1">MIN(SUM((P69:U69&lt;V69)+0)+1,6)</f>
        <v>2</v>
      </c>
      <c r="X69" s="4" t="str">
        <f t="shared" ca="1" si="3"/>
        <v>B</v>
      </c>
    </row>
    <row r="70" spans="2:24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8"/>
        <v>0.96706667200771113</v>
      </c>
      <c r="W70" s="4" cm="1">
        <f t="array" aca="1" ref="W70" ca="1">MIN(SUM((P70:U70&lt;V70)+0)+1,6)</f>
        <v>6</v>
      </c>
      <c r="X70" s="4" t="str">
        <f t="shared" ca="1" si="3"/>
        <v>F</v>
      </c>
    </row>
    <row r="71" spans="2:24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8"/>
        <v>0.38887465920385578</v>
      </c>
      <c r="W71" s="4" cm="1">
        <f t="array" aca="1" ref="W71" ca="1">MIN(SUM((P71:U71&lt;V71)+0)+1,6)</f>
        <v>4</v>
      </c>
      <c r="X71" s="4" t="str">
        <f t="shared" ca="1" si="3"/>
        <v>D</v>
      </c>
    </row>
    <row r="72" spans="2:24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8"/>
        <v>0.82639067574319514</v>
      </c>
      <c r="W72" s="4" cm="1">
        <f t="array" aca="1" ref="W72" ca="1">MIN(SUM((P72:U72&lt;V72)+0)+1,6)</f>
        <v>5</v>
      </c>
      <c r="X72" s="4" t="str">
        <f t="shared" ca="1" si="3"/>
        <v>E</v>
      </c>
    </row>
    <row r="73" spans="2:24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8"/>
        <v>0.70933474157674492</v>
      </c>
      <c r="W73" s="4" cm="1">
        <f t="array" aca="1" ref="W73" ca="1">MIN(SUM((P73:U73&lt;V73)+0)+1,6)</f>
        <v>3</v>
      </c>
      <c r="X73" s="4" t="str">
        <f t="shared" ca="1" si="3"/>
        <v>C_</v>
      </c>
    </row>
    <row r="74" spans="2:24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8"/>
        <v>0.55428440799180512</v>
      </c>
      <c r="W74" s="4" cm="1">
        <f t="array" aca="1" ref="W74" ca="1">MIN(SUM((P74:U74&lt;V74)+0)+1,6)</f>
        <v>2</v>
      </c>
      <c r="X74" s="4" t="str">
        <f t="shared" ca="1" si="3"/>
        <v>B</v>
      </c>
    </row>
    <row r="75" spans="2:24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8"/>
        <v>0.57340673911645412</v>
      </c>
      <c r="W75" s="4" cm="1">
        <f t="array" aca="1" ref="W75" ca="1">MIN(SUM((P75:U75&lt;V75)+0)+1,6)</f>
        <v>4</v>
      </c>
      <c r="X75" s="4" t="str">
        <f t="shared" ref="X75:X109" ca="1" si="11">OFFSET($G$9,0,W75)</f>
        <v>D</v>
      </c>
    </row>
    <row r="76" spans="2:24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8"/>
        <v>0.32835839695947677</v>
      </c>
      <c r="W76" s="4" cm="1">
        <f t="array" aca="1" ref="W76" ca="1">MIN(SUM((P76:U76&lt;V76)+0)+1,6)</f>
        <v>4</v>
      </c>
      <c r="X76" s="4" t="str">
        <f t="shared" ca="1" si="11"/>
        <v>D</v>
      </c>
    </row>
    <row r="77" spans="2:24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8"/>
        <v>0.68755650538537205</v>
      </c>
      <c r="W77" s="4" cm="1">
        <f t="array" aca="1" ref="W77" ca="1">MIN(SUM((P77:U77&lt;V77)+0)+1,6)</f>
        <v>5</v>
      </c>
      <c r="X77" s="4" t="str">
        <f t="shared" ca="1" si="11"/>
        <v>E</v>
      </c>
    </row>
    <row r="78" spans="2:24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8"/>
        <v>0.39249910013223621</v>
      </c>
      <c r="W78" s="4" cm="1">
        <f t="array" aca="1" ref="W78" ca="1">MIN(SUM((P78:U78&lt;V78)+0)+1,6)</f>
        <v>1</v>
      </c>
      <c r="X78" s="4" t="str">
        <f t="shared" ca="1" si="11"/>
        <v>A</v>
      </c>
    </row>
    <row r="79" spans="2:24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8"/>
        <v>0.63573421136082486</v>
      </c>
      <c r="W79" s="4" cm="1">
        <f t="array" aca="1" ref="W79" ca="1">MIN(SUM((P79:U79&lt;V79)+0)+1,6)</f>
        <v>4</v>
      </c>
      <c r="X79" s="4" t="str">
        <f t="shared" ca="1" si="11"/>
        <v>D</v>
      </c>
    </row>
    <row r="80" spans="2:24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8"/>
        <v>0.60319345409384517</v>
      </c>
      <c r="W80" s="4" cm="1">
        <f t="array" aca="1" ref="W80" ca="1">MIN(SUM((P80:U80&lt;V80)+0)+1,6)</f>
        <v>5</v>
      </c>
      <c r="X80" s="4" t="str">
        <f t="shared" ca="1" si="11"/>
        <v>E</v>
      </c>
    </row>
    <row r="81" spans="2:24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8"/>
        <v>9.1095012614338056E-2</v>
      </c>
      <c r="W81" s="4" cm="1">
        <f t="array" aca="1" ref="W81" ca="1">MIN(SUM((P81:U81&lt;V81)+0)+1,6)</f>
        <v>6</v>
      </c>
      <c r="X81" s="4" t="str">
        <f t="shared" ca="1" si="11"/>
        <v>F</v>
      </c>
    </row>
    <row r="82" spans="2:24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8"/>
        <v>0.98618189448523674</v>
      </c>
      <c r="W82" s="4" cm="1">
        <f t="array" aca="1" ref="W82" ca="1">MIN(SUM((P82:U82&lt;V82)+0)+1,6)</f>
        <v>4</v>
      </c>
      <c r="X82" s="4" t="str">
        <f t="shared" ca="1" si="11"/>
        <v>D</v>
      </c>
    </row>
    <row r="83" spans="2:24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8"/>
        <v>0.67530111259603376</v>
      </c>
      <c r="W83" s="4" cm="1">
        <f t="array" aca="1" ref="W83" ca="1">MIN(SUM((P83:U83&lt;V83)+0)+1,6)</f>
        <v>2</v>
      </c>
      <c r="X83" s="4" t="str">
        <f t="shared" ca="1" si="11"/>
        <v>B</v>
      </c>
    </row>
    <row r="84" spans="2:24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12">RAND()</f>
        <v>0.9175722449207161</v>
      </c>
      <c r="W84" s="4" cm="1">
        <f t="array" aca="1" ref="W84" ca="1">MIN(SUM((P84:U84&lt;V84)+0)+1,6)</f>
        <v>6</v>
      </c>
      <c r="X84" s="4" t="str">
        <f t="shared" ca="1" si="11"/>
        <v>F</v>
      </c>
    </row>
    <row r="85" spans="2:24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12"/>
        <v>0.58729688896064192</v>
      </c>
      <c r="W85" s="4" cm="1">
        <f t="array" aca="1" ref="W85" ca="1">MIN(SUM((P85:U85&lt;V85)+0)+1,6)</f>
        <v>2</v>
      </c>
      <c r="X85" s="4" t="str">
        <f t="shared" ca="1" si="11"/>
        <v>B</v>
      </c>
    </row>
    <row r="86" spans="2:24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12"/>
        <v>0.90772742858615307</v>
      </c>
      <c r="W86" s="4" cm="1">
        <f t="array" aca="1" ref="W86" ca="1">MIN(SUM((P86:U86&lt;V86)+0)+1,6)</f>
        <v>6</v>
      </c>
      <c r="X86" s="4" t="str">
        <f t="shared" ca="1" si="11"/>
        <v>F</v>
      </c>
    </row>
    <row r="87" spans="2:24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12"/>
        <v>0.93271191974295209</v>
      </c>
      <c r="W87" s="4" cm="1">
        <f t="array" aca="1" ref="W87" ca="1">MIN(SUM((P87:U87&lt;V87)+0)+1,6)</f>
        <v>6</v>
      </c>
      <c r="X87" s="4" t="str">
        <f t="shared" ca="1" si="11"/>
        <v>F</v>
      </c>
    </row>
    <row r="88" spans="2:24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12"/>
        <v>0.56676483632919894</v>
      </c>
      <c r="W88" s="4" cm="1">
        <f t="array" aca="1" ref="W88" ca="1">MIN(SUM((P88:U88&lt;V88)+0)+1,6)</f>
        <v>6</v>
      </c>
      <c r="X88" s="4" t="str">
        <f t="shared" ca="1" si="11"/>
        <v>F</v>
      </c>
    </row>
    <row r="89" spans="2:24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12"/>
        <v>0.72610778331080239</v>
      </c>
      <c r="W89" s="4" cm="1">
        <f t="array" aca="1" ref="W89" ca="1">MIN(SUM((P89:U89&lt;V89)+0)+1,6)</f>
        <v>3</v>
      </c>
      <c r="X89" s="4" t="str">
        <f t="shared" ca="1" si="11"/>
        <v>C_</v>
      </c>
    </row>
    <row r="90" spans="2:24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12"/>
        <v>0.26473754885556866</v>
      </c>
      <c r="W90" s="4" cm="1">
        <f t="array" aca="1" ref="W90" ca="1">MIN(SUM((P90:U90&lt;V90)+0)+1,6)</f>
        <v>5</v>
      </c>
      <c r="X90" s="4" t="str">
        <f t="shared" ca="1" si="11"/>
        <v>E</v>
      </c>
    </row>
    <row r="91" spans="2:24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12"/>
        <v>0.50299554420113124</v>
      </c>
      <c r="W91" s="4" cm="1">
        <f t="array" aca="1" ref="W91" ca="1">MIN(SUM((P91:U91&lt;V91)+0)+1,6)</f>
        <v>6</v>
      </c>
      <c r="X91" s="4" t="str">
        <f t="shared" ca="1" si="11"/>
        <v>F</v>
      </c>
    </row>
    <row r="92" spans="2:24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12"/>
        <v>0.3296847816667573</v>
      </c>
      <c r="W92" s="4" cm="1">
        <f t="array" aca="1" ref="W92" ca="1">MIN(SUM((P92:U92&lt;V92)+0)+1,6)</f>
        <v>5</v>
      </c>
      <c r="X92" s="4" t="str">
        <f t="shared" ca="1" si="11"/>
        <v>E</v>
      </c>
    </row>
    <row r="93" spans="2:24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12"/>
        <v>0.58207920119071055</v>
      </c>
      <c r="W93" s="4" cm="1">
        <f t="array" aca="1" ref="W93" ca="1">MIN(SUM((P93:U93&lt;V93)+0)+1,6)</f>
        <v>2</v>
      </c>
      <c r="X93" s="4" t="str">
        <f t="shared" ca="1" si="11"/>
        <v>B</v>
      </c>
    </row>
    <row r="94" spans="2:24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12"/>
        <v>0.26669760247238938</v>
      </c>
      <c r="W94" s="4" cm="1">
        <f t="array" aca="1" ref="W94" ca="1">MIN(SUM((P94:U94&lt;V94)+0)+1,6)</f>
        <v>6</v>
      </c>
      <c r="X94" s="4" t="str">
        <f t="shared" ca="1" si="11"/>
        <v>F</v>
      </c>
    </row>
    <row r="95" spans="2:24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12"/>
        <v>0.87621826185654372</v>
      </c>
      <c r="W95" s="4" cm="1">
        <f t="array" aca="1" ref="W95" ca="1">MIN(SUM((P95:U95&lt;V95)+0)+1,6)</f>
        <v>6</v>
      </c>
      <c r="X95" s="4" t="str">
        <f t="shared" ca="1" si="11"/>
        <v>F</v>
      </c>
    </row>
    <row r="96" spans="2:24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12"/>
        <v>0.47756294757040529</v>
      </c>
      <c r="W96" s="4" cm="1">
        <f t="array" aca="1" ref="W96" ca="1">MIN(SUM((P96:U96&lt;V96)+0)+1,6)</f>
        <v>1</v>
      </c>
      <c r="X96" s="4" t="str">
        <f t="shared" ca="1" si="11"/>
        <v>A</v>
      </c>
    </row>
    <row r="97" spans="2:24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12"/>
        <v>0.28524652534692607</v>
      </c>
      <c r="W97" s="4" cm="1">
        <f t="array" aca="1" ref="W97" ca="1">MIN(SUM((P97:U97&lt;V97)+0)+1,6)</f>
        <v>2</v>
      </c>
      <c r="X97" s="4" t="str">
        <f t="shared" ca="1" si="11"/>
        <v>B</v>
      </c>
    </row>
    <row r="98" spans="2:24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12"/>
        <v>0.96521826002567346</v>
      </c>
      <c r="W98" s="4" cm="1">
        <f t="array" aca="1" ref="W98" ca="1">MIN(SUM((P98:U98&lt;V98)+0)+1,6)</f>
        <v>5</v>
      </c>
      <c r="X98" s="4" t="str">
        <f t="shared" ca="1" si="11"/>
        <v>E</v>
      </c>
    </row>
    <row r="99" spans="2:24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12"/>
        <v>0.49096847285641976</v>
      </c>
      <c r="W99" s="4" cm="1">
        <f t="array" aca="1" ref="W99" ca="1">MIN(SUM((P99:U99&lt;V99)+0)+1,6)</f>
        <v>4</v>
      </c>
      <c r="X99" s="4" t="str">
        <f t="shared" ca="1" si="11"/>
        <v>D</v>
      </c>
    </row>
    <row r="100" spans="2:24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12"/>
        <v>0.11721091678357698</v>
      </c>
      <c r="W100" s="4" cm="1">
        <f t="array" aca="1" ref="W100" ca="1">MIN(SUM((P100:U100&lt;V100)+0)+1,6)</f>
        <v>4</v>
      </c>
      <c r="X100" s="4" t="str">
        <f t="shared" ca="1" si="11"/>
        <v>D</v>
      </c>
    </row>
    <row r="101" spans="2:24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12"/>
        <v>0.91201694519698806</v>
      </c>
      <c r="W101" s="4" cm="1">
        <f t="array" aca="1" ref="W101" ca="1">MIN(SUM((P101:U101&lt;V101)+0)+1,6)</f>
        <v>6</v>
      </c>
      <c r="X101" s="4" t="str">
        <f t="shared" ca="1" si="11"/>
        <v>F</v>
      </c>
    </row>
    <row r="102" spans="2:24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12"/>
        <v>0.24517495655864807</v>
      </c>
      <c r="W102" s="4" cm="1">
        <f t="array" aca="1" ref="W102" ca="1">MIN(SUM((P102:U102&lt;V102)+0)+1,6)</f>
        <v>5</v>
      </c>
      <c r="X102" s="4" t="str">
        <f t="shared" ca="1" si="11"/>
        <v>E</v>
      </c>
    </row>
    <row r="103" spans="2:24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12"/>
        <v>0.61394798693955566</v>
      </c>
      <c r="W103" s="4" cm="1">
        <f t="array" aca="1" ref="W103" ca="1">MIN(SUM((P103:U103&lt;V103)+0)+1,6)</f>
        <v>5</v>
      </c>
      <c r="X103" s="4" t="str">
        <f t="shared" ca="1" si="11"/>
        <v>E</v>
      </c>
    </row>
    <row r="104" spans="2:24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12"/>
        <v>0.30404482694560664</v>
      </c>
      <c r="W104" s="4" cm="1">
        <f t="array" aca="1" ref="W104" ca="1">MIN(SUM((P104:U104&lt;V104)+0)+1,6)</f>
        <v>6</v>
      </c>
      <c r="X104" s="4" t="str">
        <f t="shared" ca="1" si="11"/>
        <v>F</v>
      </c>
    </row>
    <row r="105" spans="2:24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12"/>
        <v>4.4888092972121485E-2</v>
      </c>
      <c r="W105" s="4" cm="1">
        <f t="array" aca="1" ref="W105" ca="1">MIN(SUM((P105:U105&lt;V105)+0)+1,6)</f>
        <v>6</v>
      </c>
      <c r="X105" s="4" t="str">
        <f t="shared" ca="1" si="11"/>
        <v>F</v>
      </c>
    </row>
    <row r="106" spans="2:24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12"/>
        <v>0.75673309719924242</v>
      </c>
      <c r="W106" s="4" cm="1">
        <f t="array" aca="1" ref="W106" ca="1">MIN(SUM((P106:U106&lt;V106)+0)+1,6)</f>
        <v>5</v>
      </c>
      <c r="X106" s="4" t="str">
        <f t="shared" ca="1" si="11"/>
        <v>E</v>
      </c>
    </row>
    <row r="107" spans="2:24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12"/>
        <v>0.63562441985581053</v>
      </c>
      <c r="W107" s="4" cm="1">
        <f t="array" aca="1" ref="W107" ca="1">MIN(SUM((P107:U107&lt;V107)+0)+1,6)</f>
        <v>5</v>
      </c>
      <c r="X107" s="4" t="str">
        <f t="shared" ca="1" si="11"/>
        <v>E</v>
      </c>
    </row>
    <row r="108" spans="2:24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12"/>
        <v>0.3592701379660127</v>
      </c>
      <c r="W108" s="4" cm="1">
        <f t="array" aca="1" ref="W108" ca="1">MIN(SUM((P108:U108&lt;V108)+0)+1,6)</f>
        <v>1</v>
      </c>
      <c r="X108" s="4" t="str">
        <f t="shared" ca="1" si="11"/>
        <v>A</v>
      </c>
    </row>
    <row r="109" spans="2:24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12"/>
        <v>0.35272656139817138</v>
      </c>
      <c r="W109" s="4" cm="1">
        <f t="array" aca="1" ref="W109" ca="1">MIN(SUM((P109:U109&lt;V109)+0)+1,6)</f>
        <v>4</v>
      </c>
      <c r="X109" s="4" t="str">
        <f t="shared" ca="1" si="11"/>
        <v>D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7994F-5E21-9C4F-9DE0-7FAE427C35A7}">
  <sheetPr codeName="Sheet9">
    <tabColor rgb="FFFF0000"/>
  </sheetPr>
  <dimension ref="B1:AE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16384" width="8.83203125" style="4"/>
  </cols>
  <sheetData>
    <row r="1" spans="2:31" x14ac:dyDescent="0.2">
      <c r="P1" s="4"/>
      <c r="Q1" s="4"/>
      <c r="R1" s="4"/>
      <c r="S1" s="4"/>
      <c r="T1" s="4"/>
      <c r="U1" s="4"/>
    </row>
    <row r="2" spans="2:31" x14ac:dyDescent="0.2">
      <c r="P2" s="4"/>
      <c r="Q2" s="4"/>
      <c r="R2" s="4"/>
      <c r="S2" s="4"/>
      <c r="T2" s="4"/>
      <c r="U2" s="4"/>
    </row>
    <row r="3" spans="2:31" ht="29" x14ac:dyDescent="0.35">
      <c r="B3" s="29" t="s">
        <v>134</v>
      </c>
      <c r="P3" s="4"/>
      <c r="Q3" s="4"/>
      <c r="R3" s="4"/>
      <c r="S3" s="4"/>
      <c r="T3" s="4"/>
      <c r="U3" s="4"/>
    </row>
    <row r="4" spans="2:31" x14ac:dyDescent="0.2">
      <c r="P4" s="4"/>
      <c r="Q4" s="4"/>
      <c r="R4" s="4"/>
      <c r="S4" s="4"/>
      <c r="T4" s="4"/>
      <c r="U4" s="4"/>
    </row>
    <row r="5" spans="2:31" x14ac:dyDescent="0.2">
      <c r="P5" s="4"/>
      <c r="Q5" s="4"/>
      <c r="R5" s="4"/>
      <c r="S5" s="4"/>
      <c r="T5" s="4"/>
      <c r="U5" s="4"/>
    </row>
    <row r="6" spans="2:31" x14ac:dyDescent="0.2">
      <c r="P6" s="4"/>
      <c r="Q6" s="4"/>
      <c r="R6" s="4"/>
      <c r="S6" s="4"/>
      <c r="T6" s="4"/>
      <c r="U6" s="4"/>
    </row>
    <row r="7" spans="2:31" x14ac:dyDescent="0.2">
      <c r="P7" s="4"/>
      <c r="Q7" s="4"/>
      <c r="R7" s="4"/>
      <c r="S7" s="4"/>
      <c r="T7" s="4"/>
      <c r="U7" s="4"/>
    </row>
    <row r="8" spans="2:31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31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  <c r="Z9" s="4" t="s">
        <v>198</v>
      </c>
      <c r="AA9" s="4" t="s">
        <v>199</v>
      </c>
      <c r="AB9" s="4" t="s">
        <v>246</v>
      </c>
      <c r="AE9" s="30" t="s">
        <v>143</v>
      </c>
    </row>
    <row r="10" spans="2:31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0.83573979355391548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3">
        <v>8.2116889611948682</v>
      </c>
      <c r="AA10" s="94">
        <v>1.39787817085794</v>
      </c>
      <c r="AB10" s="95" cm="1">
        <f t="array" ref="AB10:AB109">Price_*Duration_</f>
        <v>11.478940744729419</v>
      </c>
      <c r="AD10" s="22" t="s">
        <v>23</v>
      </c>
      <c r="AE10" s="96">
        <v>5.0000000000000001E-3</v>
      </c>
    </row>
    <row r="11" spans="2:31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2">COUNTIFS(RatingLast,$G11,RatingNow,H$9)</f>
        <v>2</v>
      </c>
      <c r="I11" s="22">
        <f t="shared" si="2"/>
        <v>11</v>
      </c>
      <c r="J11" s="22">
        <f t="shared" si="2"/>
        <v>6</v>
      </c>
      <c r="K11" s="22">
        <f t="shared" si="2"/>
        <v>2</v>
      </c>
      <c r="L11" s="22">
        <f t="shared" si="2"/>
        <v>0</v>
      </c>
      <c r="M11" s="23">
        <f t="shared" si="2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0.94117671876376152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  <c r="Z11" s="93">
        <v>2.0821978323688706</v>
      </c>
      <c r="AA11" s="94">
        <v>1.6252926650112602</v>
      </c>
      <c r="AB11" s="95">
        <v>3.384180864051471</v>
      </c>
      <c r="AD11" s="22" t="s">
        <v>36</v>
      </c>
      <c r="AE11" s="97">
        <v>0.01</v>
      </c>
    </row>
    <row r="12" spans="2:31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4">COUNTIFS(RatingLast,$G12,RatingNow,H$9)</f>
        <v>0</v>
      </c>
      <c r="I12" s="22">
        <f t="shared" si="4"/>
        <v>2</v>
      </c>
      <c r="J12" s="22">
        <f t="shared" si="4"/>
        <v>4</v>
      </c>
      <c r="K12" s="22">
        <f t="shared" si="4"/>
        <v>9</v>
      </c>
      <c r="L12" s="22">
        <f t="shared" si="4"/>
        <v>6</v>
      </c>
      <c r="M12" s="23">
        <f t="shared" si="4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0.34893519007909024</v>
      </c>
      <c r="W12" s="4" cm="1">
        <f t="array" aca="1" ref="W12" ca="1">MIN(SUM((P12:U12&lt;V12)+0)+1,6)</f>
        <v>4</v>
      </c>
      <c r="X12" s="4" t="str">
        <f t="shared" ca="1" si="3"/>
        <v>D</v>
      </c>
      <c r="Z12" s="93">
        <v>67.129219523606139</v>
      </c>
      <c r="AA12" s="94">
        <v>7.4590248775114931</v>
      </c>
      <c r="AB12" s="95">
        <v>500.71851843450844</v>
      </c>
      <c r="AD12" s="22" t="s">
        <v>247</v>
      </c>
      <c r="AE12" s="97">
        <v>0.02</v>
      </c>
    </row>
    <row r="13" spans="2:31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5">COUNTIFS(RatingLast,$G13,RatingNow,H$9)</f>
        <v>0</v>
      </c>
      <c r="I13" s="22">
        <f t="shared" si="5"/>
        <v>0</v>
      </c>
      <c r="J13" s="22">
        <f t="shared" si="5"/>
        <v>2</v>
      </c>
      <c r="K13" s="22">
        <f t="shared" si="5"/>
        <v>8</v>
      </c>
      <c r="L13" s="22">
        <f t="shared" si="5"/>
        <v>7</v>
      </c>
      <c r="M13" s="23">
        <f t="shared" si="5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0.92057283635126641</v>
      </c>
      <c r="W13" s="4" cm="1">
        <f t="array" aca="1" ref="W13" ca="1">MIN(SUM((P13:U13&lt;V13)+0)+1,6)</f>
        <v>6</v>
      </c>
      <c r="X13" s="4" t="str">
        <f t="shared" ca="1" si="3"/>
        <v>F</v>
      </c>
      <c r="Z13" s="93">
        <v>23.919401965204763</v>
      </c>
      <c r="AA13" s="94">
        <v>1.0138721046124297</v>
      </c>
      <c r="AB13" s="95">
        <v>24.251214411532839</v>
      </c>
      <c r="AD13" s="22" t="s">
        <v>20</v>
      </c>
      <c r="AE13" s="97">
        <v>0.04</v>
      </c>
    </row>
    <row r="14" spans="2:31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6">COUNTIFS(RatingLast,$G14,RatingNow,H$9)</f>
        <v>0</v>
      </c>
      <c r="I14" s="22">
        <f t="shared" si="6"/>
        <v>0</v>
      </c>
      <c r="J14" s="22">
        <f t="shared" si="6"/>
        <v>0</v>
      </c>
      <c r="K14" s="22">
        <f t="shared" si="6"/>
        <v>3</v>
      </c>
      <c r="L14" s="22">
        <f t="shared" si="6"/>
        <v>6</v>
      </c>
      <c r="M14" s="23">
        <f t="shared" si="6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6.0444232959355637E-2</v>
      </c>
      <c r="W14" s="4" cm="1">
        <f t="array" aca="1" ref="W14" ca="1">MIN(SUM((P14:U14&lt;V14)+0)+1,6)</f>
        <v>3</v>
      </c>
      <c r="X14" s="4" t="str">
        <f t="shared" ca="1" si="3"/>
        <v>C_</v>
      </c>
      <c r="Z14" s="93">
        <v>67.226538868279505</v>
      </c>
      <c r="AA14" s="94">
        <v>7.0882993287412512</v>
      </c>
      <c r="AB14" s="95">
        <v>476.52183033362326</v>
      </c>
      <c r="AD14" s="22" t="s">
        <v>31</v>
      </c>
      <c r="AE14" s="97">
        <v>0.08</v>
      </c>
    </row>
    <row r="15" spans="2:31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7">COUNTIFS(RatingLast,$G15,RatingNow,H$9)</f>
        <v>0</v>
      </c>
      <c r="I15" s="20">
        <f t="shared" si="7"/>
        <v>0</v>
      </c>
      <c r="J15" s="20">
        <f t="shared" si="7"/>
        <v>0</v>
      </c>
      <c r="K15" s="20">
        <f t="shared" si="7"/>
        <v>0</v>
      </c>
      <c r="L15" s="20">
        <f t="shared" si="7"/>
        <v>0</v>
      </c>
      <c r="M15" s="19">
        <f t="shared" si="7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0.65630819835116105</v>
      </c>
      <c r="W15" s="4" cm="1">
        <f t="array" aca="1" ref="W15" ca="1">MIN(SUM((P15:U15&lt;V15)+0)+1,6)</f>
        <v>6</v>
      </c>
      <c r="X15" s="4" t="str">
        <f t="shared" ca="1" si="3"/>
        <v>F</v>
      </c>
      <c r="Z15" s="93">
        <v>40.365796255204877</v>
      </c>
      <c r="AA15" s="94">
        <v>3.0220181451316055</v>
      </c>
      <c r="AB15" s="95">
        <v>121.98616872591455</v>
      </c>
      <c r="AD15" s="22" t="s">
        <v>27</v>
      </c>
      <c r="AE15" s="98" t="s">
        <v>200</v>
      </c>
    </row>
    <row r="16" spans="2:31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0.22589957372568581</v>
      </c>
      <c r="W16" s="4" cm="1">
        <f t="array" aca="1" ref="W16" ca="1">MIN(SUM((P16:U16&lt;V16)+0)+1,6)</f>
        <v>1</v>
      </c>
      <c r="X16" s="4" t="str">
        <f t="shared" ca="1" si="3"/>
        <v>A</v>
      </c>
      <c r="Z16" s="93">
        <v>80.467834923351319</v>
      </c>
      <c r="AA16" s="94">
        <v>9.5506402260277916</v>
      </c>
      <c r="AB16" s="95">
        <v>768.51934112032302</v>
      </c>
      <c r="AD16" s="4" t="s">
        <v>21</v>
      </c>
      <c r="AE16" s="97">
        <v>0.02</v>
      </c>
    </row>
    <row r="17" spans="2:28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2.7275752389905206E-2</v>
      </c>
      <c r="W17" s="4" cm="1">
        <f t="array" aca="1" ref="W17" ca="1">MIN(SUM((P17:U17&lt;V17)+0)+1,6)</f>
        <v>2</v>
      </c>
      <c r="X17" s="4" t="str">
        <f t="shared" ca="1" si="3"/>
        <v>B</v>
      </c>
      <c r="Z17" s="93">
        <v>74.294695771915386</v>
      </c>
      <c r="AA17" s="94">
        <v>9.8434192564738119</v>
      </c>
      <c r="AB17" s="95">
        <v>731.31383901513539</v>
      </c>
    </row>
    <row r="18" spans="2:28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3"/>
        <v>C_</v>
      </c>
      <c r="Z18" s="93">
        <v>37.636930947623661</v>
      </c>
      <c r="AA18" s="94">
        <v>8.344474777321544</v>
      </c>
      <c r="AB18" s="95">
        <v>314.06042098823826</v>
      </c>
    </row>
    <row r="19" spans="2:28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9.7142441411859792E-2</v>
      </c>
      <c r="W19" s="4" cm="1">
        <f t="array" aca="1" ref="W19" ca="1">MIN(SUM((P19:U19&lt;V19)+0)+1,6)</f>
        <v>3</v>
      </c>
      <c r="X19" s="4" t="str">
        <f t="shared" ca="1" si="3"/>
        <v>C_</v>
      </c>
      <c r="Z19" s="93">
        <v>76.753161003324905</v>
      </c>
      <c r="AA19" s="94">
        <v>7.9150148005442347</v>
      </c>
      <c r="AB19" s="95">
        <v>607.50240532987118</v>
      </c>
    </row>
    <row r="20" spans="2:28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8">RAND()</f>
        <v>0.61051453812821344</v>
      </c>
      <c r="W20" s="4" cm="1">
        <f t="array" aca="1" ref="W20" ca="1">MIN(SUM((P20:U20&lt;V20)+0)+1,6)</f>
        <v>4</v>
      </c>
      <c r="X20" s="4" t="str">
        <f t="shared" ca="1" si="3"/>
        <v>D</v>
      </c>
      <c r="Z20" s="93">
        <v>21.187561451253998</v>
      </c>
      <c r="AA20" s="94">
        <v>7.1277270027175987</v>
      </c>
      <c r="AB20" s="95">
        <v>151.0191538778416</v>
      </c>
    </row>
    <row r="21" spans="2:28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8"/>
        <v>0.30318613096401092</v>
      </c>
      <c r="W21" s="4" cm="1">
        <f t="array" aca="1" ref="W21" ca="1">MIN(SUM((P21:U21&lt;V21)+0)+1,6)</f>
        <v>5</v>
      </c>
      <c r="X21" s="4" t="str">
        <f t="shared" ca="1" si="3"/>
        <v>E</v>
      </c>
      <c r="Z21" s="93">
        <v>99.017852588544912</v>
      </c>
      <c r="AA21" s="94">
        <v>1.4969246243228673</v>
      </c>
      <c r="AB21" s="95">
        <v>148.22226178736466</v>
      </c>
    </row>
    <row r="22" spans="2:28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8"/>
        <v>0.22474444761927326</v>
      </c>
      <c r="W22" s="4" cm="1">
        <f t="array" aca="1" ref="W22" ca="1">MIN(SUM((P22:U22&lt;V22)+0)+1,6)</f>
        <v>3</v>
      </c>
      <c r="X22" s="4" t="str">
        <f t="shared" ca="1" si="3"/>
        <v>C_</v>
      </c>
      <c r="Z22" s="93">
        <v>89.428696095140779</v>
      </c>
      <c r="AA22" s="94">
        <v>7.6093974701891414</v>
      </c>
      <c r="AB22" s="95">
        <v>680.49849382867774</v>
      </c>
    </row>
    <row r="23" spans="2:28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8"/>
        <v>0.61904572073413788</v>
      </c>
      <c r="W23" s="4" cm="1">
        <f t="array" aca="1" ref="W23" ca="1">MIN(SUM((P23:U23&lt;V23)+0)+1,6)</f>
        <v>5</v>
      </c>
      <c r="X23" s="4" t="str">
        <f t="shared" ca="1" si="3"/>
        <v>E</v>
      </c>
      <c r="Z23" s="93">
        <v>97.490593750922798</v>
      </c>
      <c r="AA23" s="94">
        <v>6.8702237255337684</v>
      </c>
      <c r="AB23" s="95">
        <v>669.78219020396398</v>
      </c>
    </row>
    <row r="24" spans="2:28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8"/>
        <v>3.1778173099126117E-2</v>
      </c>
      <c r="W24" s="4" cm="1">
        <f t="array" aca="1" ref="W24" ca="1">MIN(SUM((P24:U24&lt;V24)+0)+1,6)</f>
        <v>1</v>
      </c>
      <c r="X24" s="4" t="str">
        <f t="shared" ca="1" si="3"/>
        <v>A</v>
      </c>
      <c r="Z24" s="93">
        <v>11.835634126517435</v>
      </c>
      <c r="AA24" s="94">
        <v>10.932351871754516</v>
      </c>
      <c r="AB24" s="95">
        <v>129.39131689643452</v>
      </c>
    </row>
    <row r="25" spans="2:28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8"/>
        <v>0.66739048386943089</v>
      </c>
      <c r="W25" s="4" cm="1">
        <f t="array" aca="1" ref="W25" ca="1">MIN(SUM((P25:U25&lt;V25)+0)+1,6)</f>
        <v>6</v>
      </c>
      <c r="X25" s="4" t="str">
        <f t="shared" ca="1" si="3"/>
        <v>F</v>
      </c>
      <c r="Z25" s="93">
        <v>16.788775597477603</v>
      </c>
      <c r="AA25" s="94">
        <v>1.5244219381878628</v>
      </c>
      <c r="AB25" s="95">
        <v>25.593177836107902</v>
      </c>
    </row>
    <row r="26" spans="2:28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8"/>
        <v>0.63044513638055721</v>
      </c>
      <c r="W26" s="4" cm="1">
        <f t="array" aca="1" ref="W26" ca="1">MIN(SUM((P26:U26&lt;V26)+0)+1,6)</f>
        <v>5</v>
      </c>
      <c r="X26" s="4" t="str">
        <f t="shared" ca="1" si="3"/>
        <v>E</v>
      </c>
      <c r="Z26" s="93">
        <v>25.594671943319081</v>
      </c>
      <c r="AA26" s="94">
        <v>5.1703871658063152</v>
      </c>
      <c r="AB26" s="95">
        <v>132.33436332875996</v>
      </c>
    </row>
    <row r="27" spans="2:28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8"/>
        <v>0.15026913659239938</v>
      </c>
      <c r="W27" s="4" cm="1">
        <f t="array" aca="1" ref="W27" ca="1">MIN(SUM((P27:U27&lt;V27)+0)+1,6)</f>
        <v>2</v>
      </c>
      <c r="X27" s="4" t="str">
        <f t="shared" ca="1" si="3"/>
        <v>B</v>
      </c>
      <c r="Z27" s="93">
        <v>46.397183218041768</v>
      </c>
      <c r="AA27" s="94">
        <v>8.0711338068908027</v>
      </c>
      <c r="AB27" s="95">
        <v>374.47787401564352</v>
      </c>
    </row>
    <row r="28" spans="2:28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8"/>
        <v>0.984685632704007</v>
      </c>
      <c r="W28" s="4" cm="1">
        <f t="array" aca="1" ref="W28" ca="1">MIN(SUM((P28:U28&lt;V28)+0)+1,6)</f>
        <v>6</v>
      </c>
      <c r="X28" s="4" t="str">
        <f t="shared" ca="1" si="3"/>
        <v>F</v>
      </c>
      <c r="Z28" s="93">
        <v>22.422308321723992</v>
      </c>
      <c r="AA28" s="94">
        <v>5.0711388322277493</v>
      </c>
      <c r="AB28" s="95">
        <v>113.70663843847795</v>
      </c>
    </row>
    <row r="29" spans="2:28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8"/>
        <v>0.11869137288596365</v>
      </c>
      <c r="W29" s="4" cm="1">
        <f t="array" aca="1" ref="W29" ca="1">MIN(SUM((P29:U29&lt;V29)+0)+1,6)</f>
        <v>4</v>
      </c>
      <c r="X29" s="4" t="str">
        <f t="shared" ca="1" si="3"/>
        <v>D</v>
      </c>
      <c r="Z29" s="93">
        <v>49.900240230025631</v>
      </c>
      <c r="AA29" s="94">
        <v>3.5278072841494366</v>
      </c>
      <c r="AB29" s="95">
        <v>176.03843096429117</v>
      </c>
    </row>
    <row r="30" spans="2:28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8"/>
        <v>0.91336015380043734</v>
      </c>
      <c r="W30" s="4" cm="1">
        <f t="array" aca="1" ref="W30" ca="1">MIN(SUM((P30:U30&lt;V30)+0)+1,6)</f>
        <v>6</v>
      </c>
      <c r="X30" s="4" t="str">
        <f t="shared" ca="1" si="3"/>
        <v>F</v>
      </c>
      <c r="Z30" s="93">
        <v>88.634516281821547</v>
      </c>
      <c r="AA30" s="94">
        <v>5.3101370653186271</v>
      </c>
      <c r="AB30" s="95">
        <v>470.66143017468795</v>
      </c>
    </row>
    <row r="31" spans="2:28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9">I20+H31</f>
        <v>0.84615384615384615</v>
      </c>
      <c r="J31" s="85">
        <f t="shared" si="9"/>
        <v>1</v>
      </c>
      <c r="K31" s="85">
        <f t="shared" si="9"/>
        <v>1</v>
      </c>
      <c r="L31" s="85">
        <f t="shared" si="9"/>
        <v>1</v>
      </c>
      <c r="M31" s="86">
        <f t="shared" si="9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8"/>
        <v>0.90065840691145882</v>
      </c>
      <c r="W31" s="4" cm="1">
        <f t="array" aca="1" ref="W31" ca="1">MIN(SUM((P31:U31&lt;V31)+0)+1,6)</f>
        <v>6</v>
      </c>
      <c r="X31" s="4" t="str">
        <f t="shared" ca="1" si="3"/>
        <v>F</v>
      </c>
      <c r="Z31" s="93">
        <v>28.880299552292112</v>
      </c>
      <c r="AA31" s="94">
        <v>0.80637700826324499</v>
      </c>
      <c r="AB31" s="95">
        <v>23.288409550723646</v>
      </c>
    </row>
    <row r="32" spans="2:28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0">H21</f>
        <v>9.5238095238095233E-2</v>
      </c>
      <c r="I32" s="88">
        <f t="shared" si="9"/>
        <v>0.61904761904761907</v>
      </c>
      <c r="J32" s="88">
        <f t="shared" si="9"/>
        <v>0.90476190476190477</v>
      </c>
      <c r="K32" s="88">
        <f t="shared" si="9"/>
        <v>1</v>
      </c>
      <c r="L32" s="88">
        <f t="shared" si="9"/>
        <v>1</v>
      </c>
      <c r="M32" s="89">
        <f t="shared" si="9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8"/>
        <v>0.6110059763142377</v>
      </c>
      <c r="W32" s="4" cm="1">
        <f t="array" aca="1" ref="W32" ca="1">MIN(SUM((P32:U32&lt;V32)+0)+1,6)</f>
        <v>5</v>
      </c>
      <c r="X32" s="4" t="str">
        <f t="shared" ca="1" si="3"/>
        <v>E</v>
      </c>
      <c r="Z32" s="93">
        <v>21.610227046155149</v>
      </c>
      <c r="AA32" s="94">
        <v>6.9531340803672181</v>
      </c>
      <c r="AB32" s="95">
        <v>150.25880615909477</v>
      </c>
    </row>
    <row r="33" spans="2:28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0"/>
        <v>0</v>
      </c>
      <c r="I33" s="88">
        <f t="shared" si="9"/>
        <v>9.5238095238095233E-2</v>
      </c>
      <c r="J33" s="88">
        <f t="shared" si="9"/>
        <v>0.2857142857142857</v>
      </c>
      <c r="K33" s="88">
        <f t="shared" si="9"/>
        <v>0.71428571428571419</v>
      </c>
      <c r="L33" s="88">
        <f t="shared" si="9"/>
        <v>0.99999999999999989</v>
      </c>
      <c r="M33" s="89">
        <f t="shared" si="9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8"/>
        <v>0.92442170876476826</v>
      </c>
      <c r="W33" s="4" cm="1">
        <f t="array" aca="1" ref="W33" ca="1">MIN(SUM((P33:U33&lt;V33)+0)+1,6)</f>
        <v>3</v>
      </c>
      <c r="X33" s="4" t="str">
        <f t="shared" ca="1" si="3"/>
        <v>C_</v>
      </c>
      <c r="Z33" s="93">
        <v>85.021688878712865</v>
      </c>
      <c r="AA33" s="94">
        <v>10.399959882403085</v>
      </c>
      <c r="AB33" s="95">
        <v>884.22215347277029</v>
      </c>
    </row>
    <row r="34" spans="2:28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0"/>
        <v>0</v>
      </c>
      <c r="I34" s="88">
        <f t="shared" si="9"/>
        <v>0</v>
      </c>
      <c r="J34" s="88">
        <f t="shared" si="9"/>
        <v>0.1</v>
      </c>
      <c r="K34" s="88">
        <f t="shared" si="9"/>
        <v>0.5</v>
      </c>
      <c r="L34" s="88">
        <f t="shared" si="9"/>
        <v>0.85</v>
      </c>
      <c r="M34" s="89">
        <f t="shared" si="9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8"/>
        <v>0.8971608329939833</v>
      </c>
      <c r="W34" s="4" cm="1">
        <f t="array" aca="1" ref="W34" ca="1">MIN(SUM((P34:U34&lt;V34)+0)+1,6)</f>
        <v>3</v>
      </c>
      <c r="X34" s="4" t="str">
        <f t="shared" ca="1" si="3"/>
        <v>C_</v>
      </c>
      <c r="Z34" s="93">
        <v>21.473754008323841</v>
      </c>
      <c r="AA34" s="94">
        <v>8.2059291658347995</v>
      </c>
      <c r="AB34" s="95">
        <v>176.21210431686654</v>
      </c>
    </row>
    <row r="35" spans="2:28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0"/>
        <v>0</v>
      </c>
      <c r="I35" s="88">
        <f t="shared" si="9"/>
        <v>0</v>
      </c>
      <c r="J35" s="88">
        <f t="shared" si="9"/>
        <v>0</v>
      </c>
      <c r="K35" s="88">
        <f t="shared" si="9"/>
        <v>0.12</v>
      </c>
      <c r="L35" s="88">
        <f t="shared" si="9"/>
        <v>0.36</v>
      </c>
      <c r="M35" s="89">
        <f t="shared" si="9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8"/>
        <v>6.2610800635989783E-2</v>
      </c>
      <c r="W35" s="4" cm="1">
        <f t="array" aca="1" ref="W35" ca="1">MIN(SUM((P35:U35&lt;V35)+0)+1,6)</f>
        <v>4</v>
      </c>
      <c r="X35" s="4" t="str">
        <f t="shared" ca="1" si="3"/>
        <v>D</v>
      </c>
      <c r="Z35" s="93">
        <v>61.912255756391033</v>
      </c>
      <c r="AA35" s="94">
        <v>1.8594266660912036</v>
      </c>
      <c r="AB35" s="95">
        <v>115.12129931129211</v>
      </c>
    </row>
    <row r="36" spans="2:28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0"/>
        <v>0</v>
      </c>
      <c r="I36" s="91">
        <f t="shared" si="9"/>
        <v>0</v>
      </c>
      <c r="J36" s="91">
        <f t="shared" si="9"/>
        <v>0</v>
      </c>
      <c r="K36" s="91">
        <f t="shared" si="9"/>
        <v>0</v>
      </c>
      <c r="L36" s="91">
        <f t="shared" si="9"/>
        <v>0</v>
      </c>
      <c r="M36" s="92">
        <f t="shared" si="9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8"/>
        <v>0.40964048524949304</v>
      </c>
      <c r="W36" s="4" cm="1">
        <f t="array" aca="1" ref="W36" ca="1">MIN(SUM((P36:U36&lt;V36)+0)+1,6)</f>
        <v>4</v>
      </c>
      <c r="X36" s="4" t="str">
        <f t="shared" ca="1" si="3"/>
        <v>D</v>
      </c>
      <c r="Z36" s="93">
        <v>53.322073630811737</v>
      </c>
      <c r="AA36" s="94">
        <v>6.4046647552474081</v>
      </c>
      <c r="AB36" s="95">
        <v>341.51000565996713</v>
      </c>
    </row>
    <row r="37" spans="2:28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8"/>
        <v>0.63595794972650144</v>
      </c>
      <c r="W37" s="4" cm="1">
        <f t="array" aca="1" ref="W37" ca="1">MIN(SUM((P37:U37&lt;V37)+0)+1,6)</f>
        <v>6</v>
      </c>
      <c r="X37" s="4" t="str">
        <f t="shared" ca="1" si="3"/>
        <v>F</v>
      </c>
      <c r="Z37" s="93">
        <v>36.39863146840986</v>
      </c>
      <c r="AA37" s="94">
        <v>0.49332315522988845</v>
      </c>
      <c r="AB37" s="95">
        <v>17.956287722045861</v>
      </c>
    </row>
    <row r="38" spans="2:28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8"/>
        <v>0.36145613953269973</v>
      </c>
      <c r="W38" s="4" cm="1">
        <f t="array" aca="1" ref="W38" ca="1">MIN(SUM((P38:U38&lt;V38)+0)+1,6)</f>
        <v>2</v>
      </c>
      <c r="X38" s="4" t="str">
        <f t="shared" ca="1" si="3"/>
        <v>B</v>
      </c>
      <c r="Z38" s="93">
        <v>66.337934995536642</v>
      </c>
      <c r="AA38" s="94">
        <v>8.4695858142277398</v>
      </c>
      <c r="AB38" s="95">
        <v>561.85483318335912</v>
      </c>
    </row>
    <row r="39" spans="2:28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8"/>
        <v>0.18316711505086281</v>
      </c>
      <c r="W39" s="4" cm="1">
        <f t="array" aca="1" ref="W39" ca="1">MIN(SUM((P39:U39&lt;V39)+0)+1,6)</f>
        <v>2</v>
      </c>
      <c r="X39" s="4" t="str">
        <f t="shared" ca="1" si="3"/>
        <v>B</v>
      </c>
      <c r="Z39" s="93">
        <v>79.531764776477075</v>
      </c>
      <c r="AA39" s="94">
        <v>9.1851074752231554</v>
      </c>
      <c r="AB39" s="95">
        <v>730.50780716610927</v>
      </c>
    </row>
    <row r="40" spans="2:28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8"/>
        <v>0.3412582430959914</v>
      </c>
      <c r="W40" s="4" cm="1">
        <f t="array" aca="1" ref="W40" ca="1">MIN(SUM((P40:U40&lt;V40)+0)+1,6)</f>
        <v>6</v>
      </c>
      <c r="X40" s="4" t="str">
        <f t="shared" ca="1" si="3"/>
        <v>F</v>
      </c>
      <c r="Z40" s="93">
        <v>48.107876050329644</v>
      </c>
      <c r="AA40" s="94">
        <v>0.84851868925850327</v>
      </c>
      <c r="AB40" s="95">
        <v>40.82043192923625</v>
      </c>
    </row>
    <row r="41" spans="2:28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8"/>
        <v>0.98025895078284386</v>
      </c>
      <c r="W41" s="4" cm="1">
        <f t="array" aca="1" ref="W41" ca="1">MIN(SUM((P41:U41&lt;V41)+0)+1,6)</f>
        <v>4</v>
      </c>
      <c r="X41" s="4" t="str">
        <f t="shared" ca="1" si="3"/>
        <v>D</v>
      </c>
      <c r="Z41" s="93">
        <v>2.2467468190886297</v>
      </c>
      <c r="AA41" s="94">
        <v>8.9158168755440457</v>
      </c>
      <c r="AB41" s="95">
        <v>20.03158320470531</v>
      </c>
    </row>
    <row r="42" spans="2:28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8"/>
        <v>0.65495213616575332</v>
      </c>
      <c r="W42" s="4" cm="1">
        <f t="array" aca="1" ref="W42" ca="1">MIN(SUM((P42:U42&lt;V42)+0)+1,6)</f>
        <v>6</v>
      </c>
      <c r="X42" s="4" t="str">
        <f t="shared" ca="1" si="3"/>
        <v>F</v>
      </c>
      <c r="Z42" s="93">
        <v>31.342457566370989</v>
      </c>
      <c r="AA42" s="94">
        <v>1.0770348505322942</v>
      </c>
      <c r="AB42" s="95">
        <v>33.756919100311151</v>
      </c>
    </row>
    <row r="43" spans="2:28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8"/>
        <v>0.64043854813410828</v>
      </c>
      <c r="W43" s="4" cm="1">
        <f t="array" aca="1" ref="W43" ca="1">MIN(SUM((P43:U43&lt;V43)+0)+1,6)</f>
        <v>3</v>
      </c>
      <c r="X43" s="4" t="str">
        <f t="shared" ca="1" si="3"/>
        <v>C_</v>
      </c>
      <c r="Z43" s="93">
        <v>7.9718097117669533</v>
      </c>
      <c r="AA43" s="94">
        <v>8.2397599453990953</v>
      </c>
      <c r="AB43" s="95">
        <v>65.685798355360845</v>
      </c>
    </row>
    <row r="44" spans="2:28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8"/>
        <v>0.76988726474034519</v>
      </c>
      <c r="W44" s="4" cm="1">
        <f t="array" aca="1" ref="W44" ca="1">MIN(SUM((P44:U44&lt;V44)+0)+1,6)</f>
        <v>6</v>
      </c>
      <c r="X44" s="4" t="str">
        <f t="shared" ca="1" si="3"/>
        <v>F</v>
      </c>
      <c r="Z44" s="93">
        <v>26.135955656809497</v>
      </c>
      <c r="AA44" s="94">
        <v>3.2675530419423335</v>
      </c>
      <c r="AB44" s="95">
        <v>85.400621410477811</v>
      </c>
    </row>
    <row r="45" spans="2:28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8"/>
        <v>0.30116665075413651</v>
      </c>
      <c r="W45" s="4" cm="1">
        <f t="array" aca="1" ref="W45" ca="1">MIN(SUM((P45:U45&lt;V45)+0)+1,6)</f>
        <v>2</v>
      </c>
      <c r="X45" s="4" t="str">
        <f t="shared" ca="1" si="3"/>
        <v>B</v>
      </c>
      <c r="Z45" s="93">
        <v>9.6442588257074746</v>
      </c>
      <c r="AA45" s="94">
        <v>9.5628427305637889</v>
      </c>
      <c r="AB45" s="95">
        <v>92.226530403092383</v>
      </c>
    </row>
    <row r="46" spans="2:28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8"/>
        <v>0.8595473892147617</v>
      </c>
      <c r="W46" s="4" cm="1">
        <f t="array" aca="1" ref="W46" ca="1">MIN(SUM((P46:U46&lt;V46)+0)+1,6)</f>
        <v>6</v>
      </c>
      <c r="X46" s="4" t="str">
        <f t="shared" ca="1" si="3"/>
        <v>F</v>
      </c>
      <c r="Z46" s="93">
        <v>14.543691075171283</v>
      </c>
      <c r="AA46" s="94">
        <v>3.5512028209207998</v>
      </c>
      <c r="AB46" s="95">
        <v>51.647596772748919</v>
      </c>
    </row>
    <row r="47" spans="2:28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8"/>
        <v>0.12997695799633879</v>
      </c>
      <c r="W47" s="4" cm="1">
        <f t="array" aca="1" ref="W47" ca="1">MIN(SUM((P47:U47&lt;V47)+0)+1,6)</f>
        <v>6</v>
      </c>
      <c r="X47" s="4" t="str">
        <f t="shared" ca="1" si="3"/>
        <v>F</v>
      </c>
      <c r="Z47" s="93">
        <v>23.899388938944831</v>
      </c>
      <c r="AA47" s="94">
        <v>2.9720115944967027</v>
      </c>
      <c r="AB47" s="95">
        <v>71.029261027930289</v>
      </c>
    </row>
    <row r="48" spans="2:28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8"/>
        <v>0.77438188931849095</v>
      </c>
      <c r="W48" s="4" cm="1">
        <f t="array" aca="1" ref="W48" ca="1">MIN(SUM((P48:U48&lt;V48)+0)+1,6)</f>
        <v>3</v>
      </c>
      <c r="X48" s="4" t="str">
        <f t="shared" ca="1" si="3"/>
        <v>C_</v>
      </c>
      <c r="Z48" s="93">
        <v>71.394255931414179</v>
      </c>
      <c r="AA48" s="94">
        <v>8.8153401585859292</v>
      </c>
      <c r="AB48" s="95">
        <v>629.36465140455709</v>
      </c>
    </row>
    <row r="49" spans="2:28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8"/>
        <v>0.18332495869903664</v>
      </c>
      <c r="W49" s="4" cm="1">
        <f t="array" aca="1" ref="W49" ca="1">MIN(SUM((P49:U49&lt;V49)+0)+1,6)</f>
        <v>5</v>
      </c>
      <c r="X49" s="4" t="str">
        <f t="shared" ca="1" si="3"/>
        <v>E</v>
      </c>
      <c r="Z49" s="93">
        <v>61.495453505551026</v>
      </c>
      <c r="AA49" s="94">
        <v>3.8049899036922326</v>
      </c>
      <c r="AB49" s="95">
        <v>233.98957971159678</v>
      </c>
    </row>
    <row r="50" spans="2:28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8"/>
        <v>0.71444011298848342</v>
      </c>
      <c r="W50" s="4" cm="1">
        <f t="array" aca="1" ref="W50" ca="1">MIN(SUM((P50:U50&lt;V50)+0)+1,6)</f>
        <v>3</v>
      </c>
      <c r="X50" s="4" t="str">
        <f t="shared" ca="1" si="3"/>
        <v>C_</v>
      </c>
      <c r="Z50" s="93">
        <v>44.889833123723179</v>
      </c>
      <c r="AA50" s="94">
        <v>9.5582436040277514</v>
      </c>
      <c r="AB50" s="95">
        <v>429.06796034070015</v>
      </c>
    </row>
    <row r="51" spans="2:28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8"/>
        <v>0.30873237159504652</v>
      </c>
      <c r="W51" s="4" cm="1">
        <f t="array" aca="1" ref="W51" ca="1">MIN(SUM((P51:U51&lt;V51)+0)+1,6)</f>
        <v>4</v>
      </c>
      <c r="X51" s="4" t="str">
        <f t="shared" ca="1" si="3"/>
        <v>D</v>
      </c>
      <c r="Z51" s="93">
        <v>50.470138481801882</v>
      </c>
      <c r="AA51" s="94">
        <v>6.0564739366749079</v>
      </c>
      <c r="AB51" s="95">
        <v>305.6710782954064</v>
      </c>
    </row>
    <row r="52" spans="2:28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8"/>
        <v>0.71758667478373683</v>
      </c>
      <c r="W52" s="4" cm="1">
        <f t="array" aca="1" ref="W52" ca="1">MIN(SUM((P52:U52&lt;V52)+0)+1,6)</f>
        <v>3</v>
      </c>
      <c r="X52" s="4" t="str">
        <f t="shared" ca="1" si="3"/>
        <v>C_</v>
      </c>
      <c r="Z52" s="93">
        <v>93.672740630001144</v>
      </c>
      <c r="AA52" s="94">
        <v>8.6096086213825274</v>
      </c>
      <c r="AB52" s="95">
        <v>806.48563531658715</v>
      </c>
    </row>
    <row r="53" spans="2:28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8"/>
        <v>0.84131054772853564</v>
      </c>
      <c r="W53" s="4" cm="1">
        <f t="array" aca="1" ref="W53" ca="1">MIN(SUM((P53:U53&lt;V53)+0)+1,6)</f>
        <v>2</v>
      </c>
      <c r="X53" s="4" t="str">
        <f t="shared" ca="1" si="3"/>
        <v>B</v>
      </c>
      <c r="Z53" s="93">
        <v>36.368657808978199</v>
      </c>
      <c r="AA53" s="94">
        <v>12.3989274863437</v>
      </c>
      <c r="AB53" s="95">
        <v>450.93235094916821</v>
      </c>
    </row>
    <row r="54" spans="2:28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8"/>
        <v>0.91900621059478826</v>
      </c>
      <c r="W54" s="4" cm="1">
        <f t="array" aca="1" ref="W54" ca="1">MIN(SUM((P54:U54&lt;V54)+0)+1,6)</f>
        <v>6</v>
      </c>
      <c r="X54" s="4" t="str">
        <f t="shared" ca="1" si="3"/>
        <v>F</v>
      </c>
      <c r="Z54" s="93">
        <v>9.9536617596477246</v>
      </c>
      <c r="AA54" s="94">
        <v>1.9161232820866372</v>
      </c>
      <c r="AB54" s="95">
        <v>19.07244303967645</v>
      </c>
    </row>
    <row r="55" spans="2:28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8"/>
        <v>3.8378511118842829E-3</v>
      </c>
      <c r="W55" s="4" cm="1">
        <f t="array" aca="1" ref="W55" ca="1">MIN(SUM((P55:U55&lt;V55)+0)+1,6)</f>
        <v>4</v>
      </c>
      <c r="X55" s="4" t="str">
        <f t="shared" ca="1" si="3"/>
        <v>D</v>
      </c>
      <c r="Z55" s="93">
        <v>43.509889242414786</v>
      </c>
      <c r="AA55" s="94">
        <v>2.0485582183711153</v>
      </c>
      <c r="AB55" s="95">
        <v>89.132541187965785</v>
      </c>
    </row>
    <row r="56" spans="2:28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8"/>
        <v>0.47353752084898382</v>
      </c>
      <c r="W56" s="4" cm="1">
        <f t="array" aca="1" ref="W56" ca="1">MIN(SUM((P56:U56&lt;V56)+0)+1,6)</f>
        <v>4</v>
      </c>
      <c r="X56" s="4" t="str">
        <f t="shared" ca="1" si="3"/>
        <v>D</v>
      </c>
      <c r="Z56" s="93">
        <v>36.493712381663144</v>
      </c>
      <c r="AA56" s="94">
        <v>7.7824519823070579</v>
      </c>
      <c r="AB56" s="95">
        <v>284.01056426641799</v>
      </c>
    </row>
    <row r="57" spans="2:28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8"/>
        <v>0.18425760572364402</v>
      </c>
      <c r="W57" s="4" cm="1">
        <f t="array" aca="1" ref="W57" ca="1">MIN(SUM((P57:U57&lt;V57)+0)+1,6)</f>
        <v>6</v>
      </c>
      <c r="X57" s="4" t="str">
        <f t="shared" ca="1" si="3"/>
        <v>F</v>
      </c>
      <c r="Z57" s="93">
        <v>39.272391384318439</v>
      </c>
      <c r="AA57" s="94">
        <v>0.39515078209381382</v>
      </c>
      <c r="AB57" s="95">
        <v>15.518516170207787</v>
      </c>
    </row>
    <row r="58" spans="2:28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8"/>
        <v>0.49711528483280243</v>
      </c>
      <c r="W58" s="4" cm="1">
        <f t="array" aca="1" ref="W58" ca="1">MIN(SUM((P58:U58&lt;V58)+0)+1,6)</f>
        <v>6</v>
      </c>
      <c r="X58" s="4" t="str">
        <f t="shared" ca="1" si="3"/>
        <v>F</v>
      </c>
      <c r="Z58" s="93">
        <v>81.916094566727949</v>
      </c>
      <c r="AA58" s="94">
        <v>1.8901120390004595</v>
      </c>
      <c r="AB58" s="95">
        <v>154.83059652847263</v>
      </c>
    </row>
    <row r="59" spans="2:28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8"/>
        <v>0.51621891716624735</v>
      </c>
      <c r="W59" s="4" cm="1">
        <f t="array" aca="1" ref="W59" ca="1">MIN(SUM((P59:U59&lt;V59)+0)+1,6)</f>
        <v>5</v>
      </c>
      <c r="X59" s="4" t="str">
        <f t="shared" ca="1" si="3"/>
        <v>E</v>
      </c>
      <c r="Z59" s="93">
        <v>17.547757976448196</v>
      </c>
      <c r="AA59" s="94">
        <v>5.3362822973589097</v>
      </c>
      <c r="AB59" s="95">
        <v>93.639790248059114</v>
      </c>
    </row>
    <row r="60" spans="2:28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8"/>
        <v>0.7587589951415934</v>
      </c>
      <c r="W60" s="4" cm="1">
        <f t="array" aca="1" ref="W60" ca="1">MIN(SUM((P60:U60&lt;V60)+0)+1,6)</f>
        <v>6</v>
      </c>
      <c r="X60" s="4" t="str">
        <f t="shared" ca="1" si="3"/>
        <v>F</v>
      </c>
      <c r="Z60" s="93">
        <v>27.00156976124531</v>
      </c>
      <c r="AA60" s="94">
        <v>2.0118084551317819</v>
      </c>
      <c r="AB60" s="95">
        <v>54.321986347503966</v>
      </c>
    </row>
    <row r="61" spans="2:28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8"/>
        <v>0.32384966687553274</v>
      </c>
      <c r="W61" s="4" cm="1">
        <f t="array" aca="1" ref="W61" ca="1">MIN(SUM((P61:U61&lt;V61)+0)+1,6)</f>
        <v>4</v>
      </c>
      <c r="X61" s="4" t="str">
        <f t="shared" ca="1" si="3"/>
        <v>D</v>
      </c>
      <c r="Z61" s="93">
        <v>86.088366895490026</v>
      </c>
      <c r="AA61" s="94">
        <v>6.9113168477631826</v>
      </c>
      <c r="AB61" s="95">
        <v>594.98398052121843</v>
      </c>
    </row>
    <row r="62" spans="2:28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8"/>
        <v>0.81712686900523923</v>
      </c>
      <c r="W62" s="4" cm="1">
        <f t="array" aca="1" ref="W62" ca="1">MIN(SUM((P62:U62&lt;V62)+0)+1,6)</f>
        <v>6</v>
      </c>
      <c r="X62" s="4" t="str">
        <f t="shared" ca="1" si="3"/>
        <v>F</v>
      </c>
      <c r="Z62" s="93">
        <v>2.3364521983521791</v>
      </c>
      <c r="AA62" s="94">
        <v>1.707253877523514</v>
      </c>
      <c r="AB62" s="95">
        <v>3.9889170752850962</v>
      </c>
    </row>
    <row r="63" spans="2:28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8"/>
        <v>0.63482385856466628</v>
      </c>
      <c r="W63" s="4" cm="1">
        <f t="array" aca="1" ref="W63" ca="1">MIN(SUM((P63:U63&lt;V63)+0)+1,6)</f>
        <v>6</v>
      </c>
      <c r="X63" s="4" t="str">
        <f t="shared" ca="1" si="3"/>
        <v>F</v>
      </c>
      <c r="Z63" s="93">
        <v>36.894824773996859</v>
      </c>
      <c r="AA63" s="94">
        <v>3.1701762274239376</v>
      </c>
      <c r="AB63" s="95">
        <v>116.96309641349659</v>
      </c>
    </row>
    <row r="64" spans="2:28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8"/>
        <v>0.56405527370363151</v>
      </c>
      <c r="W64" s="4" cm="1">
        <f t="array" aca="1" ref="W64" ca="1">MIN(SUM((P64:U64&lt;V64)+0)+1,6)</f>
        <v>4</v>
      </c>
      <c r="X64" s="4" t="str">
        <f t="shared" ca="1" si="3"/>
        <v>D</v>
      </c>
      <c r="Z64" s="93">
        <v>18.505649799476064</v>
      </c>
      <c r="AA64" s="94">
        <v>8.240817803401864</v>
      </c>
      <c r="AB64" s="95">
        <v>152.50168833104249</v>
      </c>
    </row>
    <row r="65" spans="2:28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8"/>
        <v>0.73823305095449754</v>
      </c>
      <c r="W65" s="4" cm="1">
        <f t="array" aca="1" ref="W65" ca="1">MIN(SUM((P65:U65&lt;V65)+0)+1,6)</f>
        <v>5</v>
      </c>
      <c r="X65" s="4" t="str">
        <f t="shared" ca="1" si="3"/>
        <v>E</v>
      </c>
      <c r="Z65" s="93">
        <v>14.172183158684494</v>
      </c>
      <c r="AA65" s="94">
        <v>7.1352513619731521</v>
      </c>
      <c r="AB65" s="95">
        <v>101.1220891851365</v>
      </c>
    </row>
    <row r="66" spans="2:28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8"/>
        <v>0.13018743934151866</v>
      </c>
      <c r="W66" s="4" cm="1">
        <f t="array" aca="1" ref="W66" ca="1">MIN(SUM((P66:U66&lt;V66)+0)+1,6)</f>
        <v>3</v>
      </c>
      <c r="X66" s="4" t="str">
        <f t="shared" ca="1" si="3"/>
        <v>C_</v>
      </c>
      <c r="Z66" s="93">
        <v>50.532425086567159</v>
      </c>
      <c r="AA66" s="94">
        <v>8.7924706736250382</v>
      </c>
      <c r="AB66" s="95">
        <v>444.30486564079592</v>
      </c>
    </row>
    <row r="67" spans="2:28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8"/>
        <v>0.4280152737400309</v>
      </c>
      <c r="W67" s="4" cm="1">
        <f t="array" aca="1" ref="W67" ca="1">MIN(SUM((P67:U67&lt;V67)+0)+1,6)</f>
        <v>6</v>
      </c>
      <c r="X67" s="4" t="str">
        <f t="shared" ca="1" si="3"/>
        <v>F</v>
      </c>
      <c r="Z67" s="93">
        <v>28.982449633517319</v>
      </c>
      <c r="AA67" s="94">
        <v>1.2393435701789142</v>
      </c>
      <c r="AB67" s="95">
        <v>35.919212601333918</v>
      </c>
    </row>
    <row r="68" spans="2:28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8"/>
        <v>8.0205423134299014E-2</v>
      </c>
      <c r="W68" s="4" cm="1">
        <f t="array" aca="1" ref="W68" ca="1">MIN(SUM((P68:U68&lt;V68)+0)+1,6)</f>
        <v>3</v>
      </c>
      <c r="X68" s="4" t="str">
        <f t="shared" ca="1" si="3"/>
        <v>C_</v>
      </c>
      <c r="Z68" s="93">
        <v>84.415957534522121</v>
      </c>
      <c r="AA68" s="94">
        <v>6.1952629474234886</v>
      </c>
      <c r="AB68" s="95">
        <v>522.9790538848996</v>
      </c>
    </row>
    <row r="69" spans="2:28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8"/>
        <v>0.77935537218787276</v>
      </c>
      <c r="W69" s="4" cm="1">
        <f t="array" aca="1" ref="W69" ca="1">MIN(SUM((P69:U69&lt;V69)+0)+1,6)</f>
        <v>3</v>
      </c>
      <c r="X69" s="4" t="str">
        <f t="shared" ca="1" si="3"/>
        <v>C_</v>
      </c>
      <c r="Z69" s="93">
        <v>48.550727106120881</v>
      </c>
      <c r="AA69" s="94">
        <v>8.838558619220283</v>
      </c>
      <c r="AB69" s="95">
        <v>429.11844753321657</v>
      </c>
    </row>
    <row r="70" spans="2:28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8"/>
        <v>0.60427763423421865</v>
      </c>
      <c r="W70" s="4" cm="1">
        <f t="array" aca="1" ref="W70" ca="1">MIN(SUM((P70:U70&lt;V70)+0)+1,6)</f>
        <v>6</v>
      </c>
      <c r="X70" s="4" t="str">
        <f t="shared" ca="1" si="3"/>
        <v>F</v>
      </c>
      <c r="Z70" s="93">
        <v>0.19262168374306055</v>
      </c>
      <c r="AA70" s="94">
        <v>1.4452769504095961</v>
      </c>
      <c r="AB70" s="95">
        <v>0.27839167966293221</v>
      </c>
    </row>
    <row r="71" spans="2:28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8"/>
        <v>0.81111228323997997</v>
      </c>
      <c r="W71" s="4" cm="1">
        <f t="array" aca="1" ref="W71" ca="1">MIN(SUM((P71:U71&lt;V71)+0)+1,6)</f>
        <v>5</v>
      </c>
      <c r="X71" s="4" t="str">
        <f t="shared" ca="1" si="3"/>
        <v>E</v>
      </c>
      <c r="Z71" s="93">
        <v>94.790243600197627</v>
      </c>
      <c r="AA71" s="94">
        <v>7.1622244148841983</v>
      </c>
      <c r="AB71" s="95">
        <v>678.90899700615603</v>
      </c>
    </row>
    <row r="72" spans="2:28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8"/>
        <v>0.12125011184920431</v>
      </c>
      <c r="W72" s="4" cm="1">
        <f t="array" aca="1" ref="W72" ca="1">MIN(SUM((P72:U72&lt;V72)+0)+1,6)</f>
        <v>3</v>
      </c>
      <c r="X72" s="4" t="str">
        <f t="shared" ca="1" si="3"/>
        <v>C_</v>
      </c>
      <c r="Z72" s="93">
        <v>16.584570714019019</v>
      </c>
      <c r="AA72" s="94">
        <v>8.6023854462746083</v>
      </c>
      <c r="AB72" s="95">
        <v>142.66686974298929</v>
      </c>
    </row>
    <row r="73" spans="2:28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8"/>
        <v>0.57796345655791603</v>
      </c>
      <c r="W73" s="4" cm="1">
        <f t="array" aca="1" ref="W73" ca="1">MIN(SUM((P73:U73&lt;V73)+0)+1,6)</f>
        <v>2</v>
      </c>
      <c r="X73" s="4" t="str">
        <f t="shared" ca="1" si="3"/>
        <v>B</v>
      </c>
      <c r="Z73" s="93">
        <v>17.065403004306113</v>
      </c>
      <c r="AA73" s="94">
        <v>10.513662490475356</v>
      </c>
      <c r="AB73" s="95">
        <v>179.41988745121864</v>
      </c>
    </row>
    <row r="74" spans="2:28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8"/>
        <v>0.49544855583057024</v>
      </c>
      <c r="W74" s="4" cm="1">
        <f t="array" aca="1" ref="W74" ca="1">MIN(SUM((P74:U74&lt;V74)+0)+1,6)</f>
        <v>2</v>
      </c>
      <c r="X74" s="4" t="str">
        <f t="shared" ca="1" si="3"/>
        <v>B</v>
      </c>
      <c r="Z74" s="93">
        <v>97.996324402972434</v>
      </c>
      <c r="AA74" s="94">
        <v>10.499013271951931</v>
      </c>
      <c r="AB74" s="95">
        <v>1028.8647105093144</v>
      </c>
    </row>
    <row r="75" spans="2:28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8"/>
        <v>0.15159351434817847</v>
      </c>
      <c r="W75" s="4" cm="1">
        <f t="array" aca="1" ref="W75" ca="1">MIN(SUM((P75:U75&lt;V75)+0)+1,6)</f>
        <v>3</v>
      </c>
      <c r="X75" s="4" t="str">
        <f t="shared" ref="X75:X109" ca="1" si="11">OFFSET($G$9,0,W75)</f>
        <v>C_</v>
      </c>
      <c r="Z75" s="93">
        <v>99.416309784681957</v>
      </c>
      <c r="AA75" s="94">
        <v>7.197808013391974</v>
      </c>
      <c r="AB75" s="95">
        <v>715.57951123004273</v>
      </c>
    </row>
    <row r="76" spans="2:28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8"/>
        <v>0.30810028284921709</v>
      </c>
      <c r="W76" s="4" cm="1">
        <f t="array" aca="1" ref="W76" ca="1">MIN(SUM((P76:U76&lt;V76)+0)+1,6)</f>
        <v>4</v>
      </c>
      <c r="X76" s="4" t="str">
        <f t="shared" ca="1" si="11"/>
        <v>D</v>
      </c>
      <c r="Z76" s="93">
        <v>14.969320801855568</v>
      </c>
      <c r="AA76" s="94">
        <v>7.8538548430685129</v>
      </c>
      <c r="AB76" s="95">
        <v>117.5668726770996</v>
      </c>
    </row>
    <row r="77" spans="2:28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8"/>
        <v>0.10157549972606683</v>
      </c>
      <c r="W77" s="4" cm="1">
        <f t="array" aca="1" ref="W77" ca="1">MIN(SUM((P77:U77&lt;V77)+0)+1,6)</f>
        <v>4</v>
      </c>
      <c r="X77" s="4" t="str">
        <f t="shared" ca="1" si="11"/>
        <v>D</v>
      </c>
      <c r="Z77" s="93">
        <v>14.792749254190618</v>
      </c>
      <c r="AA77" s="94">
        <v>7.3677925752447608</v>
      </c>
      <c r="AB77" s="95">
        <v>108.9899081224831</v>
      </c>
    </row>
    <row r="78" spans="2:28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8"/>
        <v>0.91277112818377881</v>
      </c>
      <c r="W78" s="4" cm="1">
        <f t="array" aca="1" ref="W78" ca="1">MIN(SUM((P78:U78&lt;V78)+0)+1,6)</f>
        <v>3</v>
      </c>
      <c r="X78" s="4" t="str">
        <f t="shared" ca="1" si="11"/>
        <v>C_</v>
      </c>
      <c r="Z78" s="93">
        <v>19.110465115345264</v>
      </c>
      <c r="AA78" s="94">
        <v>9.7965619907102646</v>
      </c>
      <c r="AB78" s="95">
        <v>187.21685617378586</v>
      </c>
    </row>
    <row r="79" spans="2:28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8"/>
        <v>0.89825803044090757</v>
      </c>
      <c r="W79" s="4" cm="1">
        <f t="array" aca="1" ref="W79" ca="1">MIN(SUM((P79:U79&lt;V79)+0)+1,6)</f>
        <v>5</v>
      </c>
      <c r="X79" s="4" t="str">
        <f t="shared" ca="1" si="11"/>
        <v>E</v>
      </c>
      <c r="Z79" s="93">
        <v>85.908216451236967</v>
      </c>
      <c r="AA79" s="94">
        <v>9.8371193831294672</v>
      </c>
      <c r="AB79" s="95">
        <v>845.08938122254494</v>
      </c>
    </row>
    <row r="80" spans="2:28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8"/>
        <v>0.78081719951320272</v>
      </c>
      <c r="W80" s="4" cm="1">
        <f t="array" aca="1" ref="W80" ca="1">MIN(SUM((P80:U80&lt;V80)+0)+1,6)</f>
        <v>5</v>
      </c>
      <c r="X80" s="4" t="str">
        <f t="shared" ca="1" si="11"/>
        <v>E</v>
      </c>
      <c r="Z80" s="93">
        <v>68.68157858891864</v>
      </c>
      <c r="AA80" s="94">
        <v>6.4155090821084286</v>
      </c>
      <c r="AB80" s="95">
        <v>440.62729121075131</v>
      </c>
    </row>
    <row r="81" spans="2:28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8"/>
        <v>0.6641209016466687</v>
      </c>
      <c r="W81" s="4" cm="1">
        <f t="array" aca="1" ref="W81" ca="1">MIN(SUM((P81:U81&lt;V81)+0)+1,6)</f>
        <v>6</v>
      </c>
      <c r="X81" s="4" t="str">
        <f t="shared" ca="1" si="11"/>
        <v>F</v>
      </c>
      <c r="Z81" s="93">
        <v>42.387915278252429</v>
      </c>
      <c r="AA81" s="94">
        <v>2.1207756298389895</v>
      </c>
      <c r="AB81" s="95">
        <v>89.89525772179752</v>
      </c>
    </row>
    <row r="82" spans="2:28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8"/>
        <v>0.84224334164236114</v>
      </c>
      <c r="W82" s="4" cm="1">
        <f t="array" aca="1" ref="W82" ca="1">MIN(SUM((P82:U82&lt;V82)+0)+1,6)</f>
        <v>3</v>
      </c>
      <c r="X82" s="4" t="str">
        <f t="shared" ca="1" si="11"/>
        <v>C_</v>
      </c>
      <c r="Z82" s="93">
        <v>51.804975968572073</v>
      </c>
      <c r="AA82" s="94">
        <v>10.738439564341935</v>
      </c>
      <c r="AB82" s="95">
        <v>556.30460357069751</v>
      </c>
    </row>
    <row r="83" spans="2:28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8"/>
        <v>0.96112948182272628</v>
      </c>
      <c r="W83" s="4" cm="1">
        <f t="array" aca="1" ref="W83" ca="1">MIN(SUM((P83:U83&lt;V83)+0)+1,6)</f>
        <v>3</v>
      </c>
      <c r="X83" s="4" t="str">
        <f t="shared" ca="1" si="11"/>
        <v>C_</v>
      </c>
      <c r="Z83" s="93">
        <v>8.2783903108533679</v>
      </c>
      <c r="AA83" s="94">
        <v>8.7050140143292065</v>
      </c>
      <c r="AB83" s="95">
        <v>72.063503672065679</v>
      </c>
    </row>
    <row r="84" spans="2:28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12">RAND()</f>
        <v>0.54201738168860203</v>
      </c>
      <c r="W84" s="4" cm="1">
        <f t="array" aca="1" ref="W84" ca="1">MIN(SUM((P84:U84&lt;V84)+0)+1,6)</f>
        <v>5</v>
      </c>
      <c r="X84" s="4" t="str">
        <f t="shared" ca="1" si="11"/>
        <v>E</v>
      </c>
      <c r="Z84" s="93">
        <v>90.243705402323087</v>
      </c>
      <c r="AA84" s="94">
        <v>5.7083338289998258</v>
      </c>
      <c r="AB84" s="95">
        <v>515.14119640237516</v>
      </c>
    </row>
    <row r="85" spans="2:28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12"/>
        <v>0.69586699106357175</v>
      </c>
      <c r="W85" s="4" cm="1">
        <f t="array" aca="1" ref="W85" ca="1">MIN(SUM((P85:U85&lt;V85)+0)+1,6)</f>
        <v>3</v>
      </c>
      <c r="X85" s="4" t="str">
        <f t="shared" ca="1" si="11"/>
        <v>C_</v>
      </c>
      <c r="Z85" s="93">
        <v>78.506579465083945</v>
      </c>
      <c r="AA85" s="94">
        <v>9.2567581635757588</v>
      </c>
      <c r="AB85" s="95">
        <v>726.71642035782486</v>
      </c>
    </row>
    <row r="86" spans="2:28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12"/>
        <v>0.72318394570376698</v>
      </c>
      <c r="W86" s="4" cm="1">
        <f t="array" aca="1" ref="W86" ca="1">MIN(SUM((P86:U86&lt;V86)+0)+1,6)</f>
        <v>6</v>
      </c>
      <c r="X86" s="4" t="str">
        <f t="shared" ca="1" si="11"/>
        <v>F</v>
      </c>
      <c r="Z86" s="93">
        <v>19.031860118986621</v>
      </c>
      <c r="AA86" s="94">
        <v>2.8787209093899961</v>
      </c>
      <c r="AB86" s="95">
        <v>54.787413669112368</v>
      </c>
    </row>
    <row r="87" spans="2:28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12"/>
        <v>0.3225989862996802</v>
      </c>
      <c r="W87" s="4" cm="1">
        <f t="array" aca="1" ref="W87" ca="1">MIN(SUM((P87:U87&lt;V87)+0)+1,6)</f>
        <v>5</v>
      </c>
      <c r="X87" s="4" t="str">
        <f t="shared" ca="1" si="11"/>
        <v>E</v>
      </c>
      <c r="Z87" s="93">
        <v>16.766483343881809</v>
      </c>
      <c r="AA87" s="94">
        <v>2.3133062556866202</v>
      </c>
      <c r="AB87" s="95">
        <v>38.78601080526731</v>
      </c>
    </row>
    <row r="88" spans="2:28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12"/>
        <v>0.62587919034020667</v>
      </c>
      <c r="W88" s="4" cm="1">
        <f t="array" aca="1" ref="W88" ca="1">MIN(SUM((P88:U88&lt;V88)+0)+1,6)</f>
        <v>6</v>
      </c>
      <c r="X88" s="4" t="str">
        <f t="shared" ca="1" si="11"/>
        <v>F</v>
      </c>
      <c r="Z88" s="93">
        <v>42.295637722709913</v>
      </c>
      <c r="AA88" s="94">
        <v>3.5445228141367422</v>
      </c>
      <c r="AB88" s="95">
        <v>149.9178528466079</v>
      </c>
    </row>
    <row r="89" spans="2:28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12"/>
        <v>0.25439312104476142</v>
      </c>
      <c r="W89" s="4" cm="1">
        <f t="array" aca="1" ref="W89" ca="1">MIN(SUM((P89:U89&lt;V89)+0)+1,6)</f>
        <v>2</v>
      </c>
      <c r="X89" s="4" t="str">
        <f t="shared" ca="1" si="11"/>
        <v>B</v>
      </c>
      <c r="Z89" s="93">
        <v>0.47752840883801273</v>
      </c>
      <c r="AA89" s="94">
        <v>9.3846887639024654</v>
      </c>
      <c r="AB89" s="95">
        <v>4.4814554928663206</v>
      </c>
    </row>
    <row r="90" spans="2:28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12"/>
        <v>0.10268272131999523</v>
      </c>
      <c r="W90" s="4" cm="1">
        <f t="array" aca="1" ref="W90" ca="1">MIN(SUM((P90:U90&lt;V90)+0)+1,6)</f>
        <v>4</v>
      </c>
      <c r="X90" s="4" t="str">
        <f t="shared" ca="1" si="11"/>
        <v>D</v>
      </c>
      <c r="Z90" s="93">
        <v>63.85261731434678</v>
      </c>
      <c r="AA90" s="94">
        <v>2.6562703793921041</v>
      </c>
      <c r="AB90" s="95">
        <v>169.60981601875875</v>
      </c>
    </row>
    <row r="91" spans="2:28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12"/>
        <v>0.10470103899143934</v>
      </c>
      <c r="W91" s="4" cm="1">
        <f t="array" aca="1" ref="W91" ca="1">MIN(SUM((P91:U91&lt;V91)+0)+1,6)</f>
        <v>4</v>
      </c>
      <c r="X91" s="4" t="str">
        <f t="shared" ca="1" si="11"/>
        <v>D</v>
      </c>
      <c r="Z91" s="93">
        <v>74.484454613584461</v>
      </c>
      <c r="AA91" s="94">
        <v>3.5853906193890581</v>
      </c>
      <c r="AB91" s="95">
        <v>267.05586486185575</v>
      </c>
    </row>
    <row r="92" spans="2:28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12"/>
        <v>0.56335146746969333</v>
      </c>
      <c r="W92" s="4" cm="1">
        <f t="array" aca="1" ref="W92" ca="1">MIN(SUM((P92:U92&lt;V92)+0)+1,6)</f>
        <v>6</v>
      </c>
      <c r="X92" s="4" t="str">
        <f t="shared" ca="1" si="11"/>
        <v>F</v>
      </c>
      <c r="Z92" s="93">
        <v>96.724609382262159</v>
      </c>
      <c r="AA92" s="94">
        <v>2.6262341414169561</v>
      </c>
      <c r="AB92" s="95">
        <v>254.02147147491573</v>
      </c>
    </row>
    <row r="93" spans="2:28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12"/>
        <v>0.18218126735051099</v>
      </c>
      <c r="W93" s="4" cm="1">
        <f t="array" aca="1" ref="W93" ca="1">MIN(SUM((P93:U93&lt;V93)+0)+1,6)</f>
        <v>2</v>
      </c>
      <c r="X93" s="4" t="str">
        <f t="shared" ca="1" si="11"/>
        <v>B</v>
      </c>
      <c r="Z93" s="93">
        <v>80.864704132654879</v>
      </c>
      <c r="AA93" s="94">
        <v>8.1598692452692294</v>
      </c>
      <c r="AB93" s="95">
        <v>659.84541227984607</v>
      </c>
    </row>
    <row r="94" spans="2:28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12"/>
        <v>9.9001029564247944E-2</v>
      </c>
      <c r="W94" s="4" cm="1">
        <f t="array" aca="1" ref="W94" ca="1">MIN(SUM((P94:U94&lt;V94)+0)+1,6)</f>
        <v>6</v>
      </c>
      <c r="X94" s="4" t="str">
        <f t="shared" ca="1" si="11"/>
        <v>F</v>
      </c>
      <c r="Z94" s="93">
        <v>47.641729430050354</v>
      </c>
      <c r="AA94" s="94">
        <v>1.2026504189420528E-2</v>
      </c>
      <c r="AB94" s="95">
        <v>0.57296345858173992</v>
      </c>
    </row>
    <row r="95" spans="2:28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12"/>
        <v>8.8244115914399512E-2</v>
      </c>
      <c r="W95" s="4" cm="1">
        <f t="array" aca="1" ref="W95" ca="1">MIN(SUM((P95:U95&lt;V95)+0)+1,6)</f>
        <v>4</v>
      </c>
      <c r="X95" s="4" t="str">
        <f t="shared" ca="1" si="11"/>
        <v>D</v>
      </c>
      <c r="Z95" s="93">
        <v>27.892599466123869</v>
      </c>
      <c r="AA95" s="94">
        <v>2.5937053053895949</v>
      </c>
      <c r="AB95" s="95">
        <v>72.345183216392456</v>
      </c>
    </row>
    <row r="96" spans="2:28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12"/>
        <v>0.43251853492740167</v>
      </c>
      <c r="W96" s="4" cm="1">
        <f t="array" aca="1" ref="W96" ca="1">MIN(SUM((P96:U96&lt;V96)+0)+1,6)</f>
        <v>1</v>
      </c>
      <c r="X96" s="4" t="str">
        <f t="shared" ca="1" si="11"/>
        <v>A</v>
      </c>
      <c r="Z96" s="93">
        <v>67.106419204318897</v>
      </c>
      <c r="AA96" s="94">
        <v>9.6544124807289879</v>
      </c>
      <c r="AB96" s="95">
        <v>647.87305110320779</v>
      </c>
    </row>
    <row r="97" spans="2:28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12"/>
        <v>0.90343899081833978</v>
      </c>
      <c r="W97" s="4" cm="1">
        <f t="array" aca="1" ref="W97" ca="1">MIN(SUM((P97:U97&lt;V97)+0)+1,6)</f>
        <v>3</v>
      </c>
      <c r="X97" s="4" t="str">
        <f t="shared" ca="1" si="11"/>
        <v>C_</v>
      </c>
      <c r="Z97" s="93">
        <v>88.907176996272412</v>
      </c>
      <c r="AA97" s="94">
        <v>8.5336396769490115</v>
      </c>
      <c r="AB97" s="95">
        <v>758.70181318091863</v>
      </c>
    </row>
    <row r="98" spans="2:28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12"/>
        <v>0.47118160082414062</v>
      </c>
      <c r="W98" s="4" cm="1">
        <f t="array" aca="1" ref="W98" ca="1">MIN(SUM((P98:U98&lt;V98)+0)+1,6)</f>
        <v>4</v>
      </c>
      <c r="X98" s="4" t="str">
        <f t="shared" ca="1" si="11"/>
        <v>D</v>
      </c>
      <c r="Z98" s="93">
        <v>47.654324325615626</v>
      </c>
      <c r="AA98" s="94">
        <v>8.4951872297418731</v>
      </c>
      <c r="AB98" s="95">
        <v>404.83240745294739</v>
      </c>
    </row>
    <row r="99" spans="2:28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12"/>
        <v>0.84075068747263848</v>
      </c>
      <c r="W99" s="4" cm="1">
        <f t="array" aca="1" ref="W99" ca="1">MIN(SUM((P99:U99&lt;V99)+0)+1,6)</f>
        <v>5</v>
      </c>
      <c r="X99" s="4" t="str">
        <f t="shared" ca="1" si="11"/>
        <v>E</v>
      </c>
      <c r="Z99" s="93">
        <v>47.441377081877768</v>
      </c>
      <c r="AA99" s="94">
        <v>7.4091104969574344</v>
      </c>
      <c r="AB99" s="95">
        <v>351.49840492745642</v>
      </c>
    </row>
    <row r="100" spans="2:28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12"/>
        <v>0.11296894890964493</v>
      </c>
      <c r="W100" s="4" cm="1">
        <f t="array" aca="1" ref="W100" ca="1">MIN(SUM((P100:U100&lt;V100)+0)+1,6)</f>
        <v>4</v>
      </c>
      <c r="X100" s="4" t="str">
        <f t="shared" ca="1" si="11"/>
        <v>D</v>
      </c>
      <c r="Z100" s="93">
        <v>58.929210125533857</v>
      </c>
      <c r="AA100" s="94">
        <v>5.3269695800033627</v>
      </c>
      <c r="AB100" s="95">
        <v>313.91410971234501</v>
      </c>
    </row>
    <row r="101" spans="2:28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12"/>
        <v>0.45375795271805786</v>
      </c>
      <c r="W101" s="4" cm="1">
        <f t="array" aca="1" ref="W101" ca="1">MIN(SUM((P101:U101&lt;V101)+0)+1,6)</f>
        <v>6</v>
      </c>
      <c r="X101" s="4" t="str">
        <f t="shared" ca="1" si="11"/>
        <v>F</v>
      </c>
      <c r="Z101" s="93">
        <v>11.092231390635309</v>
      </c>
      <c r="AA101" s="94">
        <v>2.0084027892347884</v>
      </c>
      <c r="AB101" s="95">
        <v>22.277668463789631</v>
      </c>
    </row>
    <row r="102" spans="2:28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12"/>
        <v>0.13872128343106171</v>
      </c>
      <c r="W102" s="4" cm="1">
        <f t="array" aca="1" ref="W102" ca="1">MIN(SUM((P102:U102&lt;V102)+0)+1,6)</f>
        <v>5</v>
      </c>
      <c r="X102" s="4" t="str">
        <f t="shared" ca="1" si="11"/>
        <v>E</v>
      </c>
      <c r="Z102" s="93">
        <v>76.097769585438584</v>
      </c>
      <c r="AA102" s="94">
        <v>3.3711337325898234</v>
      </c>
      <c r="AB102" s="95">
        <v>256.53575802431993</v>
      </c>
    </row>
    <row r="103" spans="2:28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12"/>
        <v>0.98556708573294871</v>
      </c>
      <c r="W103" s="4" cm="1">
        <f t="array" aca="1" ref="W103" ca="1">MIN(SUM((P103:U103&lt;V103)+0)+1,6)</f>
        <v>6</v>
      </c>
      <c r="X103" s="4" t="str">
        <f t="shared" ca="1" si="11"/>
        <v>F</v>
      </c>
      <c r="Z103" s="93">
        <v>81.022779930552375</v>
      </c>
      <c r="AA103" s="94">
        <v>5.1587719180004612</v>
      </c>
      <c r="AB103" s="95">
        <v>417.97804182406497</v>
      </c>
    </row>
    <row r="104" spans="2:28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12"/>
        <v>0.44721932463271163</v>
      </c>
      <c r="W104" s="4" cm="1">
        <f t="array" aca="1" ref="W104" ca="1">MIN(SUM((P104:U104&lt;V104)+0)+1,6)</f>
        <v>6</v>
      </c>
      <c r="X104" s="4" t="str">
        <f t="shared" ca="1" si="11"/>
        <v>F</v>
      </c>
      <c r="Z104" s="93">
        <v>42.636145159749503</v>
      </c>
      <c r="AA104" s="94">
        <v>1.1133427327017777</v>
      </c>
      <c r="AB104" s="95">
        <v>47.468642364025186</v>
      </c>
    </row>
    <row r="105" spans="2:28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12"/>
        <v>0.27057794153814207</v>
      </c>
      <c r="W105" s="4" cm="1">
        <f t="array" aca="1" ref="W105" ca="1">MIN(SUM((P105:U105&lt;V105)+0)+1,6)</f>
        <v>6</v>
      </c>
      <c r="X105" s="4" t="str">
        <f t="shared" ca="1" si="11"/>
        <v>F</v>
      </c>
      <c r="Z105" s="93">
        <v>17.533405807868935</v>
      </c>
      <c r="AA105" s="94">
        <v>2.5759835494768506</v>
      </c>
      <c r="AB105" s="95">
        <v>45.165764927372244</v>
      </c>
    </row>
    <row r="106" spans="2:28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12"/>
        <v>0.62963499104189713</v>
      </c>
      <c r="W106" s="4" cm="1">
        <f t="array" aca="1" ref="W106" ca="1">MIN(SUM((P106:U106&lt;V106)+0)+1,6)</f>
        <v>4</v>
      </c>
      <c r="X106" s="4" t="str">
        <f t="shared" ca="1" si="11"/>
        <v>D</v>
      </c>
      <c r="Z106" s="93">
        <v>41.515905431460766</v>
      </c>
      <c r="AA106" s="94">
        <v>7.8158847513967515</v>
      </c>
      <c r="AB106" s="95">
        <v>324.48353220218377</v>
      </c>
    </row>
    <row r="107" spans="2:28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12"/>
        <v>0.42063530255510539</v>
      </c>
      <c r="W107" s="4" cm="1">
        <f t="array" aca="1" ref="W107" ca="1">MIN(SUM((P107:U107&lt;V107)+0)+1,6)</f>
        <v>4</v>
      </c>
      <c r="X107" s="4" t="str">
        <f t="shared" ca="1" si="11"/>
        <v>D</v>
      </c>
      <c r="Z107" s="93">
        <v>83.136272627126687</v>
      </c>
      <c r="AA107" s="94">
        <v>6.6269269721391648</v>
      </c>
      <c r="AB107" s="95">
        <v>550.93800743582074</v>
      </c>
    </row>
    <row r="108" spans="2:28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12"/>
        <v>0.37961367512871325</v>
      </c>
      <c r="W108" s="4" cm="1">
        <f t="array" aca="1" ref="W108" ca="1">MIN(SUM((P108:U108&lt;V108)+0)+1,6)</f>
        <v>1</v>
      </c>
      <c r="X108" s="4" t="str">
        <f t="shared" ca="1" si="11"/>
        <v>A</v>
      </c>
      <c r="Z108" s="93">
        <v>10.212803353244038</v>
      </c>
      <c r="AA108" s="94">
        <v>10.648524912587206</v>
      </c>
      <c r="AB108" s="95">
        <v>108.75129093437329</v>
      </c>
    </row>
    <row r="109" spans="2:28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12"/>
        <v>0.44506851268613956</v>
      </c>
      <c r="W109" s="4" cm="1">
        <f t="array" aca="1" ref="W109" ca="1">MIN(SUM((P109:U109&lt;V109)+0)+1,6)</f>
        <v>4</v>
      </c>
      <c r="X109" s="4" t="str">
        <f t="shared" ca="1" si="11"/>
        <v>D</v>
      </c>
      <c r="Z109" s="93">
        <v>41.373074335162165</v>
      </c>
      <c r="AA109" s="94">
        <v>7.3745421523699548</v>
      </c>
      <c r="AB109" s="95">
        <v>305.10748065778893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EE1FA-5024-C445-9DA4-1F5B2DD08503}">
  <sheetPr codeName="Sheet10">
    <tabColor rgb="FFFF0000"/>
  </sheetPr>
  <dimension ref="B1:AL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33" width="8.83203125" style="4"/>
    <col min="34" max="34" width="8.83203125" style="7"/>
    <col min="35" max="16384" width="8.83203125" style="4"/>
  </cols>
  <sheetData>
    <row r="1" spans="2:38" x14ac:dyDescent="0.2">
      <c r="P1" s="4"/>
      <c r="Q1" s="4"/>
      <c r="R1" s="4"/>
      <c r="S1" s="4"/>
      <c r="T1" s="4"/>
      <c r="U1" s="4"/>
    </row>
    <row r="2" spans="2:38" x14ac:dyDescent="0.2">
      <c r="P2" s="4"/>
      <c r="Q2" s="4"/>
      <c r="R2" s="4"/>
      <c r="S2" s="4"/>
      <c r="T2" s="4"/>
      <c r="U2" s="4"/>
    </row>
    <row r="3" spans="2:38" ht="29" x14ac:dyDescent="0.35">
      <c r="B3" s="29" t="s">
        <v>134</v>
      </c>
      <c r="P3" s="4"/>
      <c r="Q3" s="4"/>
      <c r="R3" s="4"/>
      <c r="S3" s="4"/>
      <c r="T3" s="4"/>
      <c r="U3" s="4"/>
    </row>
    <row r="4" spans="2:38" x14ac:dyDescent="0.2">
      <c r="P4" s="4"/>
      <c r="Q4" s="4"/>
      <c r="R4" s="4"/>
      <c r="S4" s="4"/>
      <c r="T4" s="4"/>
      <c r="U4" s="4"/>
    </row>
    <row r="5" spans="2:38" x14ac:dyDescent="0.2">
      <c r="P5" s="4"/>
      <c r="Q5" s="4"/>
      <c r="R5" s="4"/>
      <c r="S5" s="4"/>
      <c r="T5" s="4"/>
      <c r="U5" s="4"/>
    </row>
    <row r="6" spans="2:38" x14ac:dyDescent="0.2">
      <c r="P6" s="4"/>
      <c r="Q6" s="4"/>
      <c r="R6" s="4"/>
      <c r="S6" s="4"/>
      <c r="T6" s="4"/>
      <c r="U6" s="4"/>
    </row>
    <row r="7" spans="2:38" x14ac:dyDescent="0.2">
      <c r="P7" s="4"/>
      <c r="Q7" s="4"/>
      <c r="R7" s="4"/>
      <c r="S7" s="4"/>
      <c r="T7" s="4"/>
      <c r="U7" s="4"/>
    </row>
    <row r="8" spans="2:38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38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  <c r="Z9" s="4" t="s">
        <v>198</v>
      </c>
      <c r="AA9" s="4" t="s">
        <v>199</v>
      </c>
      <c r="AB9" s="4" t="s">
        <v>246</v>
      </c>
      <c r="AE9" s="30" t="s">
        <v>143</v>
      </c>
      <c r="AG9" s="4" t="s">
        <v>251</v>
      </c>
      <c r="AH9" s="7" t="s">
        <v>252</v>
      </c>
      <c r="AI9" s="4" t="s">
        <v>253</v>
      </c>
      <c r="AJ9" s="4" t="s">
        <v>254</v>
      </c>
      <c r="AL9" s="4" t="s">
        <v>255</v>
      </c>
    </row>
    <row r="10" spans="2:38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0.17419750041983961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3">
        <v>8.2116889611948682</v>
      </c>
      <c r="AA10" s="94">
        <v>1.39787817085794</v>
      </c>
      <c r="AB10" s="95" cm="1">
        <f t="array" ref="AB10:AB109">Price_*Duration_</f>
        <v>11.478940744729419</v>
      </c>
      <c r="AD10" s="22" t="s">
        <v>23</v>
      </c>
      <c r="AE10" s="96">
        <v>5.0000000000000001E-3</v>
      </c>
      <c r="AF10" s="77"/>
      <c r="AG10" s="4">
        <f t="shared" ref="AG10:AG41" si="2">VLOOKUP(RatingLast,$AD$10:$AE$16,2,0)</f>
        <v>0.08</v>
      </c>
      <c r="AH10" s="7" t="str">
        <f t="shared" ref="AH10:AH41" ca="1" si="3">VLOOKUP(RatingSim,$AD$10:$AE$16,2,0)</f>
        <v>N/A</v>
      </c>
      <c r="AI10" s="4">
        <f ca="1">IF(AH10&lt;&gt;"N/A",AH10-AG10,0)</f>
        <v>0</v>
      </c>
      <c r="AJ10" s="4">
        <f t="shared" ref="AJ10:AJ41" ca="1" si="4">SpreadCh*-p_d</f>
        <v>0</v>
      </c>
      <c r="AL10" s="4">
        <f ca="1">SUM(ValueCh)</f>
        <v>-425.3145146279881</v>
      </c>
    </row>
    <row r="11" spans="2:38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5">COUNTIFS(RatingLast,$G11,RatingNow,H$9)</f>
        <v>2</v>
      </c>
      <c r="I11" s="22">
        <f t="shared" si="5"/>
        <v>11</v>
      </c>
      <c r="J11" s="22">
        <f t="shared" si="5"/>
        <v>6</v>
      </c>
      <c r="K11" s="22">
        <f t="shared" si="5"/>
        <v>2</v>
      </c>
      <c r="L11" s="22">
        <f t="shared" si="5"/>
        <v>0</v>
      </c>
      <c r="M11" s="23">
        <f t="shared" si="5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0.46102793928465835</v>
      </c>
      <c r="W11" s="4" cm="1">
        <f t="array" aca="1" ref="W11" ca="1">MIN(SUM((P11:U11&lt;V11)+0)+1,6)</f>
        <v>6</v>
      </c>
      <c r="X11" s="4" t="str">
        <f t="shared" ref="X11:X74" ca="1" si="6">OFFSET($G$9,0,W11)</f>
        <v>F</v>
      </c>
      <c r="Z11" s="93">
        <v>2.0821978323688706</v>
      </c>
      <c r="AA11" s="94">
        <v>1.6252926650112602</v>
      </c>
      <c r="AB11" s="95">
        <v>3.384180864051471</v>
      </c>
      <c r="AD11" s="22" t="s">
        <v>36</v>
      </c>
      <c r="AE11" s="97">
        <v>0.01</v>
      </c>
      <c r="AF11" s="77"/>
      <c r="AG11" s="4">
        <f t="shared" si="2"/>
        <v>0.08</v>
      </c>
      <c r="AH11" s="7" t="str">
        <f t="shared" ca="1" si="3"/>
        <v>N/A</v>
      </c>
      <c r="AI11" s="4">
        <f t="shared" ref="AI11:AI74" ca="1" si="7">IF(AH11&lt;&gt;"N/A",AH11-AG11,0)</f>
        <v>0</v>
      </c>
      <c r="AJ11" s="4">
        <f t="shared" ca="1" si="4"/>
        <v>0</v>
      </c>
    </row>
    <row r="12" spans="2:38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8">COUNTIFS(RatingLast,$G12,RatingNow,H$9)</f>
        <v>0</v>
      </c>
      <c r="I12" s="22">
        <f t="shared" si="8"/>
        <v>2</v>
      </c>
      <c r="J12" s="22">
        <f t="shared" si="8"/>
        <v>4</v>
      </c>
      <c r="K12" s="22">
        <f t="shared" si="8"/>
        <v>9</v>
      </c>
      <c r="L12" s="22">
        <f t="shared" si="8"/>
        <v>6</v>
      </c>
      <c r="M12" s="23">
        <f t="shared" si="8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0.72644242776099921</v>
      </c>
      <c r="W12" s="4" cm="1">
        <f t="array" aca="1" ref="W12" ca="1">MIN(SUM((P12:U12&lt;V12)+0)+1,6)</f>
        <v>5</v>
      </c>
      <c r="X12" s="4" t="str">
        <f t="shared" ca="1" si="6"/>
        <v>E</v>
      </c>
      <c r="Z12" s="93">
        <v>67.129219523606139</v>
      </c>
      <c r="AA12" s="94">
        <v>7.4590248775114931</v>
      </c>
      <c r="AB12" s="95">
        <v>500.71851843450844</v>
      </c>
      <c r="AD12" s="22" t="s">
        <v>247</v>
      </c>
      <c r="AE12" s="97">
        <v>0.02</v>
      </c>
      <c r="AF12" s="77"/>
      <c r="AG12" s="4">
        <f t="shared" si="2"/>
        <v>0.02</v>
      </c>
      <c r="AH12" s="7">
        <f t="shared" ca="1" si="3"/>
        <v>0.08</v>
      </c>
      <c r="AI12" s="4">
        <f t="shared" ca="1" si="7"/>
        <v>0.06</v>
      </c>
      <c r="AJ12" s="4">
        <f t="shared" ca="1" si="4"/>
        <v>-30.043111106070505</v>
      </c>
    </row>
    <row r="13" spans="2:38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9">COUNTIFS(RatingLast,$G13,RatingNow,H$9)</f>
        <v>0</v>
      </c>
      <c r="I13" s="22">
        <f t="shared" si="9"/>
        <v>0</v>
      </c>
      <c r="J13" s="22">
        <f t="shared" si="9"/>
        <v>2</v>
      </c>
      <c r="K13" s="22">
        <f t="shared" si="9"/>
        <v>8</v>
      </c>
      <c r="L13" s="22">
        <f t="shared" si="9"/>
        <v>7</v>
      </c>
      <c r="M13" s="23">
        <f t="shared" si="9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0.90979798045929383</v>
      </c>
      <c r="W13" s="4" cm="1">
        <f t="array" aca="1" ref="W13" ca="1">MIN(SUM((P13:U13&lt;V13)+0)+1,6)</f>
        <v>6</v>
      </c>
      <c r="X13" s="4" t="str">
        <f t="shared" ca="1" si="6"/>
        <v>F</v>
      </c>
      <c r="Z13" s="93">
        <v>23.919401965204763</v>
      </c>
      <c r="AA13" s="94">
        <v>1.0138721046124297</v>
      </c>
      <c r="AB13" s="95">
        <v>24.251214411532839</v>
      </c>
      <c r="AD13" s="22" t="s">
        <v>20</v>
      </c>
      <c r="AE13" s="97">
        <v>0.04</v>
      </c>
      <c r="AF13" s="77"/>
      <c r="AG13" s="4">
        <f t="shared" si="2"/>
        <v>0.08</v>
      </c>
      <c r="AH13" s="7" t="str">
        <f t="shared" ca="1" si="3"/>
        <v>N/A</v>
      </c>
      <c r="AI13" s="4">
        <f t="shared" ca="1" si="7"/>
        <v>0</v>
      </c>
      <c r="AJ13" s="4">
        <f t="shared" ca="1" si="4"/>
        <v>0</v>
      </c>
    </row>
    <row r="14" spans="2:38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10">COUNTIFS(RatingLast,$G14,RatingNow,H$9)</f>
        <v>0</v>
      </c>
      <c r="I14" s="22">
        <f t="shared" si="10"/>
        <v>0</v>
      </c>
      <c r="J14" s="22">
        <f t="shared" si="10"/>
        <v>0</v>
      </c>
      <c r="K14" s="22">
        <f t="shared" si="10"/>
        <v>3</v>
      </c>
      <c r="L14" s="22">
        <f t="shared" si="10"/>
        <v>6</v>
      </c>
      <c r="M14" s="23">
        <f t="shared" si="10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0.49068787686681381</v>
      </c>
      <c r="W14" s="4" cm="1">
        <f t="array" aca="1" ref="W14" ca="1">MIN(SUM((P14:U14&lt;V14)+0)+1,6)</f>
        <v>4</v>
      </c>
      <c r="X14" s="4" t="str">
        <f t="shared" ca="1" si="6"/>
        <v>D</v>
      </c>
      <c r="Z14" s="93">
        <v>67.226538868279505</v>
      </c>
      <c r="AA14" s="94">
        <v>7.0882993287412512</v>
      </c>
      <c r="AB14" s="95">
        <v>476.52183033362326</v>
      </c>
      <c r="AD14" s="22" t="s">
        <v>31</v>
      </c>
      <c r="AE14" s="97">
        <v>0.08</v>
      </c>
      <c r="AF14" s="77"/>
      <c r="AG14" s="4">
        <f t="shared" si="2"/>
        <v>0.04</v>
      </c>
      <c r="AH14" s="7">
        <f t="shared" ca="1" si="3"/>
        <v>0.04</v>
      </c>
      <c r="AI14" s="4">
        <f t="shared" ca="1" si="7"/>
        <v>0</v>
      </c>
      <c r="AJ14" s="4">
        <f t="shared" ca="1" si="4"/>
        <v>0</v>
      </c>
    </row>
    <row r="15" spans="2:38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11">COUNTIFS(RatingLast,$G15,RatingNow,H$9)</f>
        <v>0</v>
      </c>
      <c r="I15" s="20">
        <f t="shared" si="11"/>
        <v>0</v>
      </c>
      <c r="J15" s="20">
        <f t="shared" si="11"/>
        <v>0</v>
      </c>
      <c r="K15" s="20">
        <f t="shared" si="11"/>
        <v>0</v>
      </c>
      <c r="L15" s="20">
        <f t="shared" si="11"/>
        <v>0</v>
      </c>
      <c r="M15" s="19">
        <f t="shared" si="11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0.69208892621493612</v>
      </c>
      <c r="W15" s="4" cm="1">
        <f t="array" aca="1" ref="W15" ca="1">MIN(SUM((P15:U15&lt;V15)+0)+1,6)</f>
        <v>6</v>
      </c>
      <c r="X15" s="4" t="str">
        <f t="shared" ca="1" si="6"/>
        <v>F</v>
      </c>
      <c r="Z15" s="93">
        <v>40.365796255204877</v>
      </c>
      <c r="AA15" s="94">
        <v>3.0220181451316055</v>
      </c>
      <c r="AB15" s="95">
        <v>121.98616872591455</v>
      </c>
      <c r="AD15" s="22" t="s">
        <v>27</v>
      </c>
      <c r="AE15" s="98" t="s">
        <v>200</v>
      </c>
      <c r="AF15" s="77"/>
      <c r="AG15" s="4">
        <f t="shared" si="2"/>
        <v>0.08</v>
      </c>
      <c r="AH15" s="7" t="str">
        <f t="shared" ca="1" si="3"/>
        <v>N/A</v>
      </c>
      <c r="AI15" s="4">
        <f t="shared" ca="1" si="7"/>
        <v>0</v>
      </c>
      <c r="AJ15" s="4">
        <f t="shared" ca="1" si="4"/>
        <v>0</v>
      </c>
    </row>
    <row r="16" spans="2:38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0.69926115470555472</v>
      </c>
      <c r="W16" s="4" cm="1">
        <f t="array" aca="1" ref="W16" ca="1">MIN(SUM((P16:U16&lt;V16)+0)+1,6)</f>
        <v>2</v>
      </c>
      <c r="X16" s="4" t="str">
        <f t="shared" ca="1" si="6"/>
        <v>B</v>
      </c>
      <c r="Z16" s="93">
        <v>80.467834923351319</v>
      </c>
      <c r="AA16" s="94">
        <v>9.5506402260277916</v>
      </c>
      <c r="AB16" s="95">
        <v>768.51934112032302</v>
      </c>
      <c r="AD16" s="4" t="s">
        <v>21</v>
      </c>
      <c r="AE16" s="97">
        <v>0.02</v>
      </c>
      <c r="AF16" s="77"/>
      <c r="AG16" s="4">
        <f t="shared" si="2"/>
        <v>5.0000000000000001E-3</v>
      </c>
      <c r="AH16" s="7">
        <f t="shared" ca="1" si="3"/>
        <v>0.01</v>
      </c>
      <c r="AI16" s="4">
        <f t="shared" ca="1" si="7"/>
        <v>5.0000000000000001E-3</v>
      </c>
      <c r="AJ16" s="4">
        <f t="shared" ca="1" si="4"/>
        <v>-3.8425967056016153</v>
      </c>
    </row>
    <row r="17" spans="2:36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0.53302320748753906</v>
      </c>
      <c r="W17" s="4" cm="1">
        <f t="array" aca="1" ref="W17" ca="1">MIN(SUM((P17:U17&lt;V17)+0)+1,6)</f>
        <v>4</v>
      </c>
      <c r="X17" s="4" t="str">
        <f t="shared" ca="1" si="6"/>
        <v>D</v>
      </c>
      <c r="Z17" s="93">
        <v>74.294695771915386</v>
      </c>
      <c r="AA17" s="94">
        <v>9.8434192564738119</v>
      </c>
      <c r="AB17" s="95">
        <v>731.31383901513539</v>
      </c>
      <c r="AF17" s="77"/>
      <c r="AG17" s="4">
        <f t="shared" si="2"/>
        <v>5.0000000000000001E-3</v>
      </c>
      <c r="AH17" s="7">
        <f t="shared" ca="1" si="3"/>
        <v>0.04</v>
      </c>
      <c r="AI17" s="4">
        <f t="shared" ca="1" si="7"/>
        <v>3.5000000000000003E-2</v>
      </c>
      <c r="AJ17" s="4">
        <f t="shared" ca="1" si="4"/>
        <v>-25.595984365529741</v>
      </c>
    </row>
    <row r="18" spans="2:36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6"/>
        <v>C_</v>
      </c>
      <c r="Z18" s="93">
        <v>37.636930947623661</v>
      </c>
      <c r="AA18" s="94">
        <v>8.344474777321544</v>
      </c>
      <c r="AB18" s="95">
        <v>314.06042098823826</v>
      </c>
      <c r="AF18" s="77"/>
      <c r="AG18" s="4">
        <f t="shared" si="2"/>
        <v>0.01</v>
      </c>
      <c r="AH18" s="7">
        <f t="shared" ca="1" si="3"/>
        <v>0.02</v>
      </c>
      <c r="AI18" s="4">
        <f t="shared" ca="1" si="7"/>
        <v>0.01</v>
      </c>
      <c r="AJ18" s="4">
        <f t="shared" ca="1" si="4"/>
        <v>-3.1406042098823828</v>
      </c>
    </row>
    <row r="19" spans="2:36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0.59966607413534589</v>
      </c>
      <c r="W19" s="4" cm="1">
        <f t="array" aca="1" ref="W19" ca="1">MIN(SUM((P19:U19&lt;V19)+0)+1,6)</f>
        <v>4</v>
      </c>
      <c r="X19" s="4" t="str">
        <f t="shared" ca="1" si="6"/>
        <v>D</v>
      </c>
      <c r="Z19" s="93">
        <v>76.753161003324905</v>
      </c>
      <c r="AA19" s="94">
        <v>7.9150148005442347</v>
      </c>
      <c r="AB19" s="95">
        <v>607.50240532987118</v>
      </c>
      <c r="AF19" s="77"/>
      <c r="AG19" s="4">
        <f t="shared" si="2"/>
        <v>0.04</v>
      </c>
      <c r="AH19" s="7">
        <f t="shared" ca="1" si="3"/>
        <v>0.04</v>
      </c>
      <c r="AI19" s="4">
        <f t="shared" ca="1" si="7"/>
        <v>0</v>
      </c>
      <c r="AJ19" s="4">
        <f t="shared" ca="1" si="4"/>
        <v>0</v>
      </c>
    </row>
    <row r="20" spans="2:36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12">RAND()</f>
        <v>0.19013100388830273</v>
      </c>
      <c r="W20" s="4" cm="1">
        <f t="array" aca="1" ref="W20" ca="1">MIN(SUM((P20:U20&lt;V20)+0)+1,6)</f>
        <v>3</v>
      </c>
      <c r="X20" s="4" t="str">
        <f t="shared" ca="1" si="6"/>
        <v>C_</v>
      </c>
      <c r="Z20" s="93">
        <v>21.187561451253998</v>
      </c>
      <c r="AA20" s="94">
        <v>7.1277270027175987</v>
      </c>
      <c r="AB20" s="95">
        <v>151.0191538778416</v>
      </c>
      <c r="AF20" s="77"/>
      <c r="AG20" s="4">
        <f t="shared" si="2"/>
        <v>0.01</v>
      </c>
      <c r="AH20" s="7">
        <f t="shared" ca="1" si="3"/>
        <v>0.02</v>
      </c>
      <c r="AI20" s="4">
        <f t="shared" ca="1" si="7"/>
        <v>0.01</v>
      </c>
      <c r="AJ20" s="4">
        <f t="shared" ca="1" si="4"/>
        <v>-1.5101915387784162</v>
      </c>
    </row>
    <row r="21" spans="2:36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12"/>
        <v>0.31833469585286389</v>
      </c>
      <c r="W21" s="4" cm="1">
        <f t="array" aca="1" ref="W21" ca="1">MIN(SUM((P21:U21&lt;V21)+0)+1,6)</f>
        <v>5</v>
      </c>
      <c r="X21" s="4" t="str">
        <f t="shared" ca="1" si="6"/>
        <v>E</v>
      </c>
      <c r="Z21" s="93">
        <v>99.017852588544912</v>
      </c>
      <c r="AA21" s="94">
        <v>1.4969246243228673</v>
      </c>
      <c r="AB21" s="95">
        <v>148.22226178736466</v>
      </c>
      <c r="AF21" s="77"/>
      <c r="AG21" s="4">
        <f t="shared" si="2"/>
        <v>0.02</v>
      </c>
      <c r="AH21" s="7">
        <f t="shared" ca="1" si="3"/>
        <v>0.08</v>
      </c>
      <c r="AI21" s="4">
        <f t="shared" ca="1" si="7"/>
        <v>0.06</v>
      </c>
      <c r="AJ21" s="4">
        <f t="shared" ca="1" si="4"/>
        <v>-8.8933357072418797</v>
      </c>
    </row>
    <row r="22" spans="2:36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12"/>
        <v>0.78215325479360698</v>
      </c>
      <c r="W22" s="4" cm="1">
        <f t="array" aca="1" ref="W22" ca="1">MIN(SUM((P22:U22&lt;V22)+0)+1,6)</f>
        <v>5</v>
      </c>
      <c r="X22" s="4" t="str">
        <f t="shared" ca="1" si="6"/>
        <v>E</v>
      </c>
      <c r="Z22" s="93">
        <v>89.428696095140779</v>
      </c>
      <c r="AA22" s="94">
        <v>7.6093974701891414</v>
      </c>
      <c r="AB22" s="95">
        <v>680.49849382867774</v>
      </c>
      <c r="AF22" s="77"/>
      <c r="AG22" s="4">
        <f t="shared" si="2"/>
        <v>0.02</v>
      </c>
      <c r="AH22" s="7">
        <f t="shared" ca="1" si="3"/>
        <v>0.08</v>
      </c>
      <c r="AI22" s="4">
        <f t="shared" ca="1" si="7"/>
        <v>0.06</v>
      </c>
      <c r="AJ22" s="4">
        <f t="shared" ca="1" si="4"/>
        <v>-40.82990962972066</v>
      </c>
    </row>
    <row r="23" spans="2:36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12"/>
        <v>0.2890766622234836</v>
      </c>
      <c r="W23" s="4" cm="1">
        <f t="array" aca="1" ref="W23" ca="1">MIN(SUM((P23:U23&lt;V23)+0)+1,6)</f>
        <v>4</v>
      </c>
      <c r="X23" s="4" t="str">
        <f t="shared" ca="1" si="6"/>
        <v>D</v>
      </c>
      <c r="Z23" s="93">
        <v>97.490593750922798</v>
      </c>
      <c r="AA23" s="94">
        <v>6.8702237255337684</v>
      </c>
      <c r="AB23" s="95">
        <v>669.78219020396398</v>
      </c>
      <c r="AF23" s="77"/>
      <c r="AG23" s="4">
        <f t="shared" si="2"/>
        <v>0.02</v>
      </c>
      <c r="AH23" s="7">
        <f t="shared" ca="1" si="3"/>
        <v>0.04</v>
      </c>
      <c r="AI23" s="4">
        <f t="shared" ca="1" si="7"/>
        <v>0.02</v>
      </c>
      <c r="AJ23" s="4">
        <f t="shared" ca="1" si="4"/>
        <v>-13.395643804079279</v>
      </c>
    </row>
    <row r="24" spans="2:36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12"/>
        <v>0.65190365478523671</v>
      </c>
      <c r="W24" s="4" cm="1">
        <f t="array" aca="1" ref="W24" ca="1">MIN(SUM((P24:U24&lt;V24)+0)+1,6)</f>
        <v>2</v>
      </c>
      <c r="X24" s="4" t="str">
        <f t="shared" ca="1" si="6"/>
        <v>B</v>
      </c>
      <c r="Z24" s="93">
        <v>11.835634126517435</v>
      </c>
      <c r="AA24" s="94">
        <v>10.932351871754516</v>
      </c>
      <c r="AB24" s="95">
        <v>129.39131689643452</v>
      </c>
      <c r="AF24" s="77"/>
      <c r="AG24" s="4">
        <f t="shared" si="2"/>
        <v>0.01</v>
      </c>
      <c r="AH24" s="7">
        <f t="shared" ca="1" si="3"/>
        <v>0.01</v>
      </c>
      <c r="AI24" s="4">
        <f t="shared" ca="1" si="7"/>
        <v>0</v>
      </c>
      <c r="AJ24" s="4">
        <f t="shared" ca="1" si="4"/>
        <v>0</v>
      </c>
    </row>
    <row r="25" spans="2:36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12"/>
        <v>0.7220423525382581</v>
      </c>
      <c r="W25" s="4" cm="1">
        <f t="array" aca="1" ref="W25" ca="1">MIN(SUM((P25:U25&lt;V25)+0)+1,6)</f>
        <v>6</v>
      </c>
      <c r="X25" s="4" t="str">
        <f t="shared" ca="1" si="6"/>
        <v>F</v>
      </c>
      <c r="Z25" s="93">
        <v>16.788775597477603</v>
      </c>
      <c r="AA25" s="94">
        <v>1.5244219381878628</v>
      </c>
      <c r="AB25" s="95">
        <v>25.593177836107902</v>
      </c>
      <c r="AF25" s="77"/>
      <c r="AG25" s="4">
        <f t="shared" si="2"/>
        <v>0.08</v>
      </c>
      <c r="AH25" s="7" t="str">
        <f t="shared" ca="1" si="3"/>
        <v>N/A</v>
      </c>
      <c r="AI25" s="4">
        <f t="shared" ca="1" si="7"/>
        <v>0</v>
      </c>
      <c r="AJ25" s="4">
        <f t="shared" ca="1" si="4"/>
        <v>0</v>
      </c>
    </row>
    <row r="26" spans="2:36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12"/>
        <v>9.4784838612537059E-2</v>
      </c>
      <c r="W26" s="4" cm="1">
        <f t="array" aca="1" ref="W26" ca="1">MIN(SUM((P26:U26&lt;V26)+0)+1,6)</f>
        <v>3</v>
      </c>
      <c r="X26" s="4" t="str">
        <f t="shared" ca="1" si="6"/>
        <v>C_</v>
      </c>
      <c r="Z26" s="93">
        <v>25.594671943319081</v>
      </c>
      <c r="AA26" s="94">
        <v>5.1703871658063152</v>
      </c>
      <c r="AB26" s="95">
        <v>132.33436332875996</v>
      </c>
      <c r="AF26" s="77"/>
      <c r="AG26" s="4">
        <f t="shared" si="2"/>
        <v>0.04</v>
      </c>
      <c r="AH26" s="7">
        <f t="shared" ca="1" si="3"/>
        <v>0.02</v>
      </c>
      <c r="AI26" s="4">
        <f t="shared" ca="1" si="7"/>
        <v>-0.02</v>
      </c>
      <c r="AJ26" s="4">
        <f t="shared" ca="1" si="4"/>
        <v>2.6466872665751993</v>
      </c>
    </row>
    <row r="27" spans="2:36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12"/>
        <v>0.56711676963853874</v>
      </c>
      <c r="W27" s="4" cm="1">
        <f t="array" aca="1" ref="W27" ca="1">MIN(SUM((P27:U27&lt;V27)+0)+1,6)</f>
        <v>2</v>
      </c>
      <c r="X27" s="4" t="str">
        <f t="shared" ca="1" si="6"/>
        <v>B</v>
      </c>
      <c r="Z27" s="93">
        <v>46.397183218041768</v>
      </c>
      <c r="AA27" s="94">
        <v>8.0711338068908027</v>
      </c>
      <c r="AB27" s="95">
        <v>374.47787401564352</v>
      </c>
      <c r="AF27" s="77"/>
      <c r="AG27" s="4">
        <f t="shared" si="2"/>
        <v>0.01</v>
      </c>
      <c r="AH27" s="7">
        <f t="shared" ca="1" si="3"/>
        <v>0.01</v>
      </c>
      <c r="AI27" s="4">
        <f t="shared" ca="1" si="7"/>
        <v>0</v>
      </c>
      <c r="AJ27" s="4">
        <f t="shared" ca="1" si="4"/>
        <v>0</v>
      </c>
    </row>
    <row r="28" spans="2:36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12"/>
        <v>0.7347339123248936</v>
      </c>
      <c r="W28" s="4" cm="1">
        <f t="array" aca="1" ref="W28" ca="1">MIN(SUM((P28:U28&lt;V28)+0)+1,6)</f>
        <v>5</v>
      </c>
      <c r="X28" s="4" t="str">
        <f t="shared" ca="1" si="6"/>
        <v>E</v>
      </c>
      <c r="Z28" s="93">
        <v>22.422308321723992</v>
      </c>
      <c r="AA28" s="94">
        <v>5.0711388322277493</v>
      </c>
      <c r="AB28" s="95">
        <v>113.70663843847795</v>
      </c>
      <c r="AF28" s="77"/>
      <c r="AG28" s="4">
        <f t="shared" si="2"/>
        <v>0.04</v>
      </c>
      <c r="AH28" s="7">
        <f t="shared" ca="1" si="3"/>
        <v>0.08</v>
      </c>
      <c r="AI28" s="4">
        <f t="shared" ca="1" si="7"/>
        <v>0.04</v>
      </c>
      <c r="AJ28" s="4">
        <f t="shared" ca="1" si="4"/>
        <v>-4.5482655375391179</v>
      </c>
    </row>
    <row r="29" spans="2:36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12"/>
        <v>0.42128005099038035</v>
      </c>
      <c r="W29" s="4" cm="1">
        <f t="array" aca="1" ref="W29" ca="1">MIN(SUM((P29:U29&lt;V29)+0)+1,6)</f>
        <v>6</v>
      </c>
      <c r="X29" s="4" t="str">
        <f t="shared" ca="1" si="6"/>
        <v>F</v>
      </c>
      <c r="Z29" s="93">
        <v>49.900240230025631</v>
      </c>
      <c r="AA29" s="94">
        <v>3.5278072841494366</v>
      </c>
      <c r="AB29" s="95">
        <v>176.03843096429117</v>
      </c>
      <c r="AF29" s="77"/>
      <c r="AG29" s="4">
        <f t="shared" si="2"/>
        <v>0.02</v>
      </c>
      <c r="AH29" s="7" t="str">
        <f t="shared" ca="1" si="3"/>
        <v>N/A</v>
      </c>
      <c r="AI29" s="4">
        <f t="shared" ca="1" si="7"/>
        <v>0</v>
      </c>
      <c r="AJ29" s="4">
        <f t="shared" ca="1" si="4"/>
        <v>0</v>
      </c>
    </row>
    <row r="30" spans="2:36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12"/>
        <v>0.6278137843488325</v>
      </c>
      <c r="W30" s="4" cm="1">
        <f t="array" aca="1" ref="W30" ca="1">MIN(SUM((P30:U30&lt;V30)+0)+1,6)</f>
        <v>5</v>
      </c>
      <c r="X30" s="4" t="str">
        <f t="shared" ca="1" si="6"/>
        <v>E</v>
      </c>
      <c r="Z30" s="93">
        <v>88.634516281821547</v>
      </c>
      <c r="AA30" s="94">
        <v>5.3101370653186271</v>
      </c>
      <c r="AB30" s="95">
        <v>470.66143017468795</v>
      </c>
      <c r="AF30" s="77"/>
      <c r="AG30" s="4">
        <f t="shared" si="2"/>
        <v>0.08</v>
      </c>
      <c r="AH30" s="7">
        <f t="shared" ca="1" si="3"/>
        <v>0.08</v>
      </c>
      <c r="AI30" s="4">
        <f t="shared" ca="1" si="7"/>
        <v>0</v>
      </c>
      <c r="AJ30" s="4">
        <f t="shared" ca="1" si="4"/>
        <v>0</v>
      </c>
    </row>
    <row r="31" spans="2:36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13">I20+H31</f>
        <v>0.84615384615384615</v>
      </c>
      <c r="J31" s="85">
        <f t="shared" si="13"/>
        <v>1</v>
      </c>
      <c r="K31" s="85">
        <f t="shared" si="13"/>
        <v>1</v>
      </c>
      <c r="L31" s="85">
        <f t="shared" si="13"/>
        <v>1</v>
      </c>
      <c r="M31" s="86">
        <f t="shared" si="13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12"/>
        <v>0.76603803804947446</v>
      </c>
      <c r="W31" s="4" cm="1">
        <f t="array" aca="1" ref="W31" ca="1">MIN(SUM((P31:U31&lt;V31)+0)+1,6)</f>
        <v>6</v>
      </c>
      <c r="X31" s="4" t="str">
        <f t="shared" ca="1" si="6"/>
        <v>F</v>
      </c>
      <c r="Z31" s="93">
        <v>28.880299552292112</v>
      </c>
      <c r="AA31" s="94">
        <v>0.80637700826324499</v>
      </c>
      <c r="AB31" s="95">
        <v>23.288409550723646</v>
      </c>
      <c r="AF31" s="77"/>
      <c r="AG31" s="4">
        <f t="shared" si="2"/>
        <v>0.08</v>
      </c>
      <c r="AH31" s="7" t="str">
        <f t="shared" ca="1" si="3"/>
        <v>N/A</v>
      </c>
      <c r="AI31" s="4">
        <f t="shared" ca="1" si="7"/>
        <v>0</v>
      </c>
      <c r="AJ31" s="4">
        <f t="shared" ca="1" si="4"/>
        <v>0</v>
      </c>
    </row>
    <row r="32" spans="2:36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4">H21</f>
        <v>9.5238095238095233E-2</v>
      </c>
      <c r="I32" s="88">
        <f t="shared" si="13"/>
        <v>0.61904761904761907</v>
      </c>
      <c r="J32" s="88">
        <f t="shared" si="13"/>
        <v>0.90476190476190477</v>
      </c>
      <c r="K32" s="88">
        <f t="shared" si="13"/>
        <v>1</v>
      </c>
      <c r="L32" s="88">
        <f t="shared" si="13"/>
        <v>1</v>
      </c>
      <c r="M32" s="89">
        <f t="shared" si="13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12"/>
        <v>0.85513064449524978</v>
      </c>
      <c r="W32" s="4" cm="1">
        <f t="array" aca="1" ref="W32" ca="1">MIN(SUM((P32:U32&lt;V32)+0)+1,6)</f>
        <v>6</v>
      </c>
      <c r="X32" s="4" t="str">
        <f t="shared" ca="1" si="6"/>
        <v>F</v>
      </c>
      <c r="Z32" s="93">
        <v>21.610227046155149</v>
      </c>
      <c r="AA32" s="94">
        <v>6.9531340803672181</v>
      </c>
      <c r="AB32" s="95">
        <v>150.25880615909477</v>
      </c>
      <c r="AF32" s="77"/>
      <c r="AG32" s="4">
        <f t="shared" si="2"/>
        <v>0.08</v>
      </c>
      <c r="AH32" s="7" t="str">
        <f t="shared" ca="1" si="3"/>
        <v>N/A</v>
      </c>
      <c r="AI32" s="4">
        <f t="shared" ca="1" si="7"/>
        <v>0</v>
      </c>
      <c r="AJ32" s="4">
        <f t="shared" ca="1" si="4"/>
        <v>0</v>
      </c>
    </row>
    <row r="33" spans="2:36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4"/>
        <v>0</v>
      </c>
      <c r="I33" s="88">
        <f t="shared" si="13"/>
        <v>9.5238095238095233E-2</v>
      </c>
      <c r="J33" s="88">
        <f t="shared" si="13"/>
        <v>0.2857142857142857</v>
      </c>
      <c r="K33" s="88">
        <f t="shared" si="13"/>
        <v>0.71428571428571419</v>
      </c>
      <c r="L33" s="88">
        <f t="shared" si="13"/>
        <v>0.99999999999999989</v>
      </c>
      <c r="M33" s="89">
        <f t="shared" si="13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12"/>
        <v>0.18793792705887358</v>
      </c>
      <c r="W33" s="4" cm="1">
        <f t="array" aca="1" ref="W33" ca="1">MIN(SUM((P33:U33&lt;V33)+0)+1,6)</f>
        <v>1</v>
      </c>
      <c r="X33" s="4" t="str">
        <f t="shared" ca="1" si="6"/>
        <v>A</v>
      </c>
      <c r="Z33" s="93">
        <v>85.021688878712865</v>
      </c>
      <c r="AA33" s="94">
        <v>10.399959882403085</v>
      </c>
      <c r="AB33" s="95">
        <v>884.22215347277029</v>
      </c>
      <c r="AF33" s="77"/>
      <c r="AG33" s="4">
        <f t="shared" si="2"/>
        <v>5.0000000000000001E-3</v>
      </c>
      <c r="AH33" s="7">
        <f t="shared" ca="1" si="3"/>
        <v>5.0000000000000001E-3</v>
      </c>
      <c r="AI33" s="4">
        <f t="shared" ca="1" si="7"/>
        <v>0</v>
      </c>
      <c r="AJ33" s="4">
        <f t="shared" ca="1" si="4"/>
        <v>0</v>
      </c>
    </row>
    <row r="34" spans="2:36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4"/>
        <v>0</v>
      </c>
      <c r="I34" s="88">
        <f t="shared" si="13"/>
        <v>0</v>
      </c>
      <c r="J34" s="88">
        <f t="shared" si="13"/>
        <v>0.1</v>
      </c>
      <c r="K34" s="88">
        <f t="shared" si="13"/>
        <v>0.5</v>
      </c>
      <c r="L34" s="88">
        <f t="shared" si="13"/>
        <v>0.85</v>
      </c>
      <c r="M34" s="89">
        <f t="shared" si="13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12"/>
        <v>0.36419690919016645</v>
      </c>
      <c r="W34" s="4" cm="1">
        <f t="array" aca="1" ref="W34" ca="1">MIN(SUM((P34:U34&lt;V34)+0)+1,6)</f>
        <v>1</v>
      </c>
      <c r="X34" s="4" t="str">
        <f t="shared" ca="1" si="6"/>
        <v>A</v>
      </c>
      <c r="Z34" s="93">
        <v>21.473754008323841</v>
      </c>
      <c r="AA34" s="94">
        <v>8.2059291658347995</v>
      </c>
      <c r="AB34" s="95">
        <v>176.21210431686654</v>
      </c>
      <c r="AF34" s="77"/>
      <c r="AG34" s="4">
        <f t="shared" si="2"/>
        <v>5.0000000000000001E-3</v>
      </c>
      <c r="AH34" s="7">
        <f t="shared" ca="1" si="3"/>
        <v>5.0000000000000001E-3</v>
      </c>
      <c r="AI34" s="4">
        <f t="shared" ca="1" si="7"/>
        <v>0</v>
      </c>
      <c r="AJ34" s="4">
        <f t="shared" ca="1" si="4"/>
        <v>0</v>
      </c>
    </row>
    <row r="35" spans="2:36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4"/>
        <v>0</v>
      </c>
      <c r="I35" s="88">
        <f t="shared" si="13"/>
        <v>0</v>
      </c>
      <c r="J35" s="88">
        <f t="shared" si="13"/>
        <v>0</v>
      </c>
      <c r="K35" s="88">
        <f t="shared" si="13"/>
        <v>0.12</v>
      </c>
      <c r="L35" s="88">
        <f t="shared" si="13"/>
        <v>0.36</v>
      </c>
      <c r="M35" s="89">
        <f t="shared" si="13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12"/>
        <v>0.70065417444026257</v>
      </c>
      <c r="W35" s="4" cm="1">
        <f t="array" aca="1" ref="W35" ca="1">MIN(SUM((P35:U35&lt;V35)+0)+1,6)</f>
        <v>6</v>
      </c>
      <c r="X35" s="4" t="str">
        <f t="shared" ca="1" si="6"/>
        <v>F</v>
      </c>
      <c r="Z35" s="93">
        <v>61.912255756391033</v>
      </c>
      <c r="AA35" s="94">
        <v>1.8594266660912036</v>
      </c>
      <c r="AB35" s="95">
        <v>115.12129931129211</v>
      </c>
      <c r="AF35" s="77"/>
      <c r="AG35" s="4">
        <f t="shared" si="2"/>
        <v>0.04</v>
      </c>
      <c r="AH35" s="7" t="str">
        <f t="shared" ca="1" si="3"/>
        <v>N/A</v>
      </c>
      <c r="AI35" s="4">
        <f t="shared" ca="1" si="7"/>
        <v>0</v>
      </c>
      <c r="AJ35" s="4">
        <f t="shared" ca="1" si="4"/>
        <v>0</v>
      </c>
    </row>
    <row r="36" spans="2:36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4"/>
        <v>0</v>
      </c>
      <c r="I36" s="91">
        <f t="shared" si="13"/>
        <v>0</v>
      </c>
      <c r="J36" s="91">
        <f t="shared" si="13"/>
        <v>0</v>
      </c>
      <c r="K36" s="91">
        <f t="shared" si="13"/>
        <v>0</v>
      </c>
      <c r="L36" s="91">
        <f t="shared" si="13"/>
        <v>0</v>
      </c>
      <c r="M36" s="92">
        <f t="shared" si="13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12"/>
        <v>0.11687870368310671</v>
      </c>
      <c r="W36" s="4" cm="1">
        <f t="array" aca="1" ref="W36" ca="1">MIN(SUM((P36:U36&lt;V36)+0)+1,6)</f>
        <v>4</v>
      </c>
      <c r="X36" s="4" t="str">
        <f t="shared" ca="1" si="6"/>
        <v>D</v>
      </c>
      <c r="Z36" s="93">
        <v>53.322073630811737</v>
      </c>
      <c r="AA36" s="94">
        <v>6.4046647552474081</v>
      </c>
      <c r="AB36" s="95">
        <v>341.51000565996713</v>
      </c>
      <c r="AF36" s="77"/>
      <c r="AG36" s="4">
        <f t="shared" si="2"/>
        <v>0.02</v>
      </c>
      <c r="AH36" s="7">
        <f t="shared" ca="1" si="3"/>
        <v>0.04</v>
      </c>
      <c r="AI36" s="4">
        <f t="shared" ca="1" si="7"/>
        <v>0.02</v>
      </c>
      <c r="AJ36" s="4">
        <f t="shared" ca="1" si="4"/>
        <v>-6.8302001131993428</v>
      </c>
    </row>
    <row r="37" spans="2:36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12"/>
        <v>0.22481801270109969</v>
      </c>
      <c r="W37" s="4" cm="1">
        <f t="array" aca="1" ref="W37" ca="1">MIN(SUM((P37:U37&lt;V37)+0)+1,6)</f>
        <v>6</v>
      </c>
      <c r="X37" s="4" t="str">
        <f t="shared" ca="1" si="6"/>
        <v>F</v>
      </c>
      <c r="Z37" s="93">
        <v>36.39863146840986</v>
      </c>
      <c r="AA37" s="94">
        <v>0.49332315522988845</v>
      </c>
      <c r="AB37" s="95">
        <v>17.956287722045861</v>
      </c>
      <c r="AF37" s="77"/>
      <c r="AG37" s="4">
        <f t="shared" si="2"/>
        <v>0.08</v>
      </c>
      <c r="AH37" s="7" t="str">
        <f t="shared" ca="1" si="3"/>
        <v>N/A</v>
      </c>
      <c r="AI37" s="4">
        <f t="shared" ca="1" si="7"/>
        <v>0</v>
      </c>
      <c r="AJ37" s="4">
        <f t="shared" ca="1" si="4"/>
        <v>0</v>
      </c>
    </row>
    <row r="38" spans="2:36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12"/>
        <v>1.7853324391895353E-2</v>
      </c>
      <c r="W38" s="4" cm="1">
        <f t="array" aca="1" ref="W38" ca="1">MIN(SUM((P38:U38&lt;V38)+0)+1,6)</f>
        <v>1</v>
      </c>
      <c r="X38" s="4" t="str">
        <f t="shared" ca="1" si="6"/>
        <v>A</v>
      </c>
      <c r="Z38" s="93">
        <v>66.337934995536642</v>
      </c>
      <c r="AA38" s="94">
        <v>8.4695858142277398</v>
      </c>
      <c r="AB38" s="95">
        <v>561.85483318335912</v>
      </c>
      <c r="AF38" s="77"/>
      <c r="AG38" s="4">
        <f t="shared" si="2"/>
        <v>0.01</v>
      </c>
      <c r="AH38" s="7">
        <f t="shared" ca="1" si="3"/>
        <v>5.0000000000000001E-3</v>
      </c>
      <c r="AI38" s="4">
        <f t="shared" ca="1" si="7"/>
        <v>-5.0000000000000001E-3</v>
      </c>
      <c r="AJ38" s="4">
        <f t="shared" ca="1" si="4"/>
        <v>2.8092741659167957</v>
      </c>
    </row>
    <row r="39" spans="2:36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12"/>
        <v>0.86739886710020708</v>
      </c>
      <c r="W39" s="4" cm="1">
        <f t="array" aca="1" ref="W39" ca="1">MIN(SUM((P39:U39&lt;V39)+0)+1,6)</f>
        <v>3</v>
      </c>
      <c r="X39" s="4" t="str">
        <f t="shared" ca="1" si="6"/>
        <v>C_</v>
      </c>
      <c r="Z39" s="93">
        <v>79.531764776477075</v>
      </c>
      <c r="AA39" s="94">
        <v>9.1851074752231554</v>
      </c>
      <c r="AB39" s="95">
        <v>730.50780716610927</v>
      </c>
      <c r="AF39" s="77"/>
      <c r="AG39" s="4">
        <f t="shared" si="2"/>
        <v>5.0000000000000001E-3</v>
      </c>
      <c r="AH39" s="7">
        <f t="shared" ca="1" si="3"/>
        <v>0.02</v>
      </c>
      <c r="AI39" s="4">
        <f t="shared" ca="1" si="7"/>
        <v>1.4999999999999999E-2</v>
      </c>
      <c r="AJ39" s="4">
        <f t="shared" ca="1" si="4"/>
        <v>-10.95761710749164</v>
      </c>
    </row>
    <row r="40" spans="2:36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12"/>
        <v>0.43358336450798207</v>
      </c>
      <c r="W40" s="4" cm="1">
        <f t="array" aca="1" ref="W40" ca="1">MIN(SUM((P40:U40&lt;V40)+0)+1,6)</f>
        <v>6</v>
      </c>
      <c r="X40" s="4" t="str">
        <f t="shared" ca="1" si="6"/>
        <v>F</v>
      </c>
      <c r="Z40" s="93">
        <v>48.107876050329644</v>
      </c>
      <c r="AA40" s="94">
        <v>0.84851868925850327</v>
      </c>
      <c r="AB40" s="95">
        <v>40.82043192923625</v>
      </c>
      <c r="AF40" s="77"/>
      <c r="AG40" s="4">
        <f t="shared" si="2"/>
        <v>0.08</v>
      </c>
      <c r="AH40" s="7" t="str">
        <f t="shared" ca="1" si="3"/>
        <v>N/A</v>
      </c>
      <c r="AI40" s="4">
        <f t="shared" ca="1" si="7"/>
        <v>0</v>
      </c>
      <c r="AJ40" s="4">
        <f t="shared" ca="1" si="4"/>
        <v>0</v>
      </c>
    </row>
    <row r="41" spans="2:36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12"/>
        <v>0.19860035811864996</v>
      </c>
      <c r="W41" s="4" cm="1">
        <f t="array" aca="1" ref="W41" ca="1">MIN(SUM((P41:U41&lt;V41)+0)+1,6)</f>
        <v>2</v>
      </c>
      <c r="X41" s="4" t="str">
        <f t="shared" ca="1" si="6"/>
        <v>B</v>
      </c>
      <c r="Z41" s="93">
        <v>2.2467468190886297</v>
      </c>
      <c r="AA41" s="94">
        <v>8.9158168755440457</v>
      </c>
      <c r="AB41" s="95">
        <v>20.03158320470531</v>
      </c>
      <c r="AF41" s="77"/>
      <c r="AG41" s="4">
        <f t="shared" si="2"/>
        <v>5.0000000000000001E-3</v>
      </c>
      <c r="AH41" s="7">
        <f t="shared" ca="1" si="3"/>
        <v>0.01</v>
      </c>
      <c r="AI41" s="4">
        <f t="shared" ca="1" si="7"/>
        <v>5.0000000000000001E-3</v>
      </c>
      <c r="AJ41" s="4">
        <f t="shared" ca="1" si="4"/>
        <v>-0.10015791602352656</v>
      </c>
    </row>
    <row r="42" spans="2:36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12"/>
        <v>0.28564334897323285</v>
      </c>
      <c r="W42" s="4" cm="1">
        <f t="array" aca="1" ref="W42" ca="1">MIN(SUM((P42:U42&lt;V42)+0)+1,6)</f>
        <v>6</v>
      </c>
      <c r="X42" s="4" t="str">
        <f t="shared" ca="1" si="6"/>
        <v>F</v>
      </c>
      <c r="Z42" s="93">
        <v>31.342457566370989</v>
      </c>
      <c r="AA42" s="94">
        <v>1.0770348505322942</v>
      </c>
      <c r="AB42" s="95">
        <v>33.756919100311151</v>
      </c>
      <c r="AF42" s="77"/>
      <c r="AG42" s="4">
        <f t="shared" ref="AG42:AG73" si="15">VLOOKUP(RatingLast,$AD$10:$AE$16,2,0)</f>
        <v>0.04</v>
      </c>
      <c r="AH42" s="7" t="str">
        <f t="shared" ref="AH42:AH73" ca="1" si="16">VLOOKUP(RatingSim,$AD$10:$AE$16,2,0)</f>
        <v>N/A</v>
      </c>
      <c r="AI42" s="4">
        <f t="shared" ca="1" si="7"/>
        <v>0</v>
      </c>
      <c r="AJ42" s="4">
        <f t="shared" ref="AJ42:AJ73" ca="1" si="17">SpreadCh*-p_d</f>
        <v>0</v>
      </c>
    </row>
    <row r="43" spans="2:36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12"/>
        <v>0.67122725493543189</v>
      </c>
      <c r="W43" s="4" cm="1">
        <f t="array" aca="1" ref="W43" ca="1">MIN(SUM((P43:U43&lt;V43)+0)+1,6)</f>
        <v>3</v>
      </c>
      <c r="X43" s="4" t="str">
        <f t="shared" ca="1" si="6"/>
        <v>C_</v>
      </c>
      <c r="Z43" s="93">
        <v>7.9718097117669533</v>
      </c>
      <c r="AA43" s="94">
        <v>8.2397599453990953</v>
      </c>
      <c r="AB43" s="95">
        <v>65.685798355360845</v>
      </c>
      <c r="AF43" s="77"/>
      <c r="AG43" s="4">
        <f t="shared" si="15"/>
        <v>0.01</v>
      </c>
      <c r="AH43" s="7">
        <f t="shared" ca="1" si="16"/>
        <v>0.02</v>
      </c>
      <c r="AI43" s="4">
        <f t="shared" ca="1" si="7"/>
        <v>0.01</v>
      </c>
      <c r="AJ43" s="4">
        <f t="shared" ca="1" si="17"/>
        <v>-0.65685798355360847</v>
      </c>
    </row>
    <row r="44" spans="2:36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12"/>
        <v>0.83372629503951357</v>
      </c>
      <c r="W44" s="4" cm="1">
        <f t="array" aca="1" ref="W44" ca="1">MIN(SUM((P44:U44&lt;V44)+0)+1,6)</f>
        <v>6</v>
      </c>
      <c r="X44" s="4" t="str">
        <f t="shared" ca="1" si="6"/>
        <v>F</v>
      </c>
      <c r="Z44" s="93">
        <v>26.135955656809497</v>
      </c>
      <c r="AA44" s="94">
        <v>3.2675530419423335</v>
      </c>
      <c r="AB44" s="95">
        <v>85.400621410477811</v>
      </c>
      <c r="AF44" s="77"/>
      <c r="AG44" s="4">
        <f t="shared" si="15"/>
        <v>0.04</v>
      </c>
      <c r="AH44" s="7" t="str">
        <f t="shared" ca="1" si="16"/>
        <v>N/A</v>
      </c>
      <c r="AI44" s="4">
        <f t="shared" ca="1" si="7"/>
        <v>0</v>
      </c>
      <c r="AJ44" s="4">
        <f t="shared" ca="1" si="17"/>
        <v>0</v>
      </c>
    </row>
    <row r="45" spans="2:36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12"/>
        <v>0.490944073890762</v>
      </c>
      <c r="W45" s="4" cm="1">
        <f t="array" aca="1" ref="W45" ca="1">MIN(SUM((P45:U45&lt;V45)+0)+1,6)</f>
        <v>2</v>
      </c>
      <c r="X45" s="4" t="str">
        <f t="shared" ca="1" si="6"/>
        <v>B</v>
      </c>
      <c r="Z45" s="93">
        <v>9.6442588257074746</v>
      </c>
      <c r="AA45" s="94">
        <v>9.5628427305637889</v>
      </c>
      <c r="AB45" s="95">
        <v>92.226530403092383</v>
      </c>
      <c r="AF45" s="77"/>
      <c r="AG45" s="4">
        <f t="shared" si="15"/>
        <v>0.02</v>
      </c>
      <c r="AH45" s="7">
        <f t="shared" ca="1" si="16"/>
        <v>0.01</v>
      </c>
      <c r="AI45" s="4">
        <f t="shared" ca="1" si="7"/>
        <v>-0.01</v>
      </c>
      <c r="AJ45" s="4">
        <f t="shared" ca="1" si="17"/>
        <v>0.92226530403092388</v>
      </c>
    </row>
    <row r="46" spans="2:36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12"/>
        <v>0.86690847460798093</v>
      </c>
      <c r="W46" s="4" cm="1">
        <f t="array" aca="1" ref="W46" ca="1">MIN(SUM((P46:U46&lt;V46)+0)+1,6)</f>
        <v>6</v>
      </c>
      <c r="X46" s="4" t="str">
        <f t="shared" ca="1" si="6"/>
        <v>F</v>
      </c>
      <c r="Z46" s="93">
        <v>14.543691075171283</v>
      </c>
      <c r="AA46" s="94">
        <v>3.5512028209207998</v>
      </c>
      <c r="AB46" s="95">
        <v>51.647596772748919</v>
      </c>
      <c r="AF46" s="77"/>
      <c r="AG46" s="4">
        <f t="shared" si="15"/>
        <v>0.08</v>
      </c>
      <c r="AH46" s="7" t="str">
        <f t="shared" ca="1" si="16"/>
        <v>N/A</v>
      </c>
      <c r="AI46" s="4">
        <f t="shared" ca="1" si="7"/>
        <v>0</v>
      </c>
      <c r="AJ46" s="4">
        <f t="shared" ca="1" si="17"/>
        <v>0</v>
      </c>
    </row>
    <row r="47" spans="2:36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12"/>
        <v>0.3753273394760952</v>
      </c>
      <c r="W47" s="4" cm="1">
        <f t="array" aca="1" ref="W47" ca="1">MIN(SUM((P47:U47&lt;V47)+0)+1,6)</f>
        <v>6</v>
      </c>
      <c r="X47" s="4" t="str">
        <f t="shared" ca="1" si="6"/>
        <v>F</v>
      </c>
      <c r="Z47" s="93">
        <v>23.899388938944831</v>
      </c>
      <c r="AA47" s="94">
        <v>2.9720115944967027</v>
      </c>
      <c r="AB47" s="95">
        <v>71.029261027930289</v>
      </c>
      <c r="AF47" s="77"/>
      <c r="AG47" s="4">
        <f t="shared" si="15"/>
        <v>0.08</v>
      </c>
      <c r="AH47" s="7" t="str">
        <f t="shared" ca="1" si="16"/>
        <v>N/A</v>
      </c>
      <c r="AI47" s="4">
        <f t="shared" ca="1" si="7"/>
        <v>0</v>
      </c>
      <c r="AJ47" s="4">
        <f t="shared" ca="1" si="17"/>
        <v>0</v>
      </c>
    </row>
    <row r="48" spans="2:36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12"/>
        <v>0.20293965741664699</v>
      </c>
      <c r="W48" s="4" cm="1">
        <f t="array" aca="1" ref="W48" ca="1">MIN(SUM((P48:U48&lt;V48)+0)+1,6)</f>
        <v>2</v>
      </c>
      <c r="X48" s="4" t="str">
        <f t="shared" ca="1" si="6"/>
        <v>B</v>
      </c>
      <c r="Z48" s="93">
        <v>71.394255931414179</v>
      </c>
      <c r="AA48" s="94">
        <v>8.8153401585859292</v>
      </c>
      <c r="AB48" s="95">
        <v>629.36465140455709</v>
      </c>
      <c r="AF48" s="77"/>
      <c r="AG48" s="4">
        <f t="shared" si="15"/>
        <v>0.01</v>
      </c>
      <c r="AH48" s="7">
        <f t="shared" ca="1" si="16"/>
        <v>0.01</v>
      </c>
      <c r="AI48" s="4">
        <f t="shared" ca="1" si="7"/>
        <v>0</v>
      </c>
      <c r="AJ48" s="4">
        <f t="shared" ca="1" si="17"/>
        <v>0</v>
      </c>
    </row>
    <row r="49" spans="2:36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12"/>
        <v>0.15516761811440172</v>
      </c>
      <c r="W49" s="4" cm="1">
        <f t="array" aca="1" ref="W49" ca="1">MIN(SUM((P49:U49&lt;V49)+0)+1,6)</f>
        <v>5</v>
      </c>
      <c r="X49" s="4" t="str">
        <f t="shared" ca="1" si="6"/>
        <v>E</v>
      </c>
      <c r="Z49" s="93">
        <v>61.495453505551026</v>
      </c>
      <c r="AA49" s="94">
        <v>3.8049899036922326</v>
      </c>
      <c r="AB49" s="95">
        <v>233.98957971159678</v>
      </c>
      <c r="AF49" s="77"/>
      <c r="AG49" s="4">
        <f t="shared" si="15"/>
        <v>0.04</v>
      </c>
      <c r="AH49" s="7">
        <f t="shared" ca="1" si="16"/>
        <v>0.08</v>
      </c>
      <c r="AI49" s="4">
        <f t="shared" ca="1" si="7"/>
        <v>0.04</v>
      </c>
      <c r="AJ49" s="4">
        <f t="shared" ca="1" si="17"/>
        <v>-9.3595831884638709</v>
      </c>
    </row>
    <row r="50" spans="2:36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12"/>
        <v>0.6619385147907515</v>
      </c>
      <c r="W50" s="4" cm="1">
        <f t="array" aca="1" ref="W50" ca="1">MIN(SUM((P50:U50&lt;V50)+0)+1,6)</f>
        <v>3</v>
      </c>
      <c r="X50" s="4" t="str">
        <f t="shared" ca="1" si="6"/>
        <v>C_</v>
      </c>
      <c r="Z50" s="93">
        <v>44.889833123723179</v>
      </c>
      <c r="AA50" s="94">
        <v>9.5582436040277514</v>
      </c>
      <c r="AB50" s="95">
        <v>429.06796034070015</v>
      </c>
      <c r="AF50" s="77"/>
      <c r="AG50" s="4">
        <f t="shared" si="15"/>
        <v>0.01</v>
      </c>
      <c r="AH50" s="7">
        <f t="shared" ca="1" si="16"/>
        <v>0.02</v>
      </c>
      <c r="AI50" s="4">
        <f t="shared" ca="1" si="7"/>
        <v>0.01</v>
      </c>
      <c r="AJ50" s="4">
        <f t="shared" ca="1" si="17"/>
        <v>-4.2906796034070016</v>
      </c>
    </row>
    <row r="51" spans="2:36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12"/>
        <v>0.46560517813956637</v>
      </c>
      <c r="W51" s="4" cm="1">
        <f t="array" aca="1" ref="W51" ca="1">MIN(SUM((P51:U51&lt;V51)+0)+1,6)</f>
        <v>4</v>
      </c>
      <c r="X51" s="4" t="str">
        <f t="shared" ca="1" si="6"/>
        <v>D</v>
      </c>
      <c r="Z51" s="93">
        <v>50.470138481801882</v>
      </c>
      <c r="AA51" s="94">
        <v>6.0564739366749079</v>
      </c>
      <c r="AB51" s="95">
        <v>305.6710782954064</v>
      </c>
      <c r="AF51" s="77"/>
      <c r="AG51" s="4">
        <f t="shared" si="15"/>
        <v>0.02</v>
      </c>
      <c r="AH51" s="7">
        <f t="shared" ca="1" si="16"/>
        <v>0.04</v>
      </c>
      <c r="AI51" s="4">
        <f t="shared" ca="1" si="7"/>
        <v>0.02</v>
      </c>
      <c r="AJ51" s="4">
        <f t="shared" ca="1" si="17"/>
        <v>-6.1134215659081281</v>
      </c>
    </row>
    <row r="52" spans="2:36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12"/>
        <v>0.45331149729130471</v>
      </c>
      <c r="W52" s="4" cm="1">
        <f t="array" aca="1" ref="W52" ca="1">MIN(SUM((P52:U52&lt;V52)+0)+1,6)</f>
        <v>2</v>
      </c>
      <c r="X52" s="4" t="str">
        <f t="shared" ca="1" si="6"/>
        <v>B</v>
      </c>
      <c r="Z52" s="93">
        <v>93.672740630001144</v>
      </c>
      <c r="AA52" s="94">
        <v>8.6096086213825274</v>
      </c>
      <c r="AB52" s="95">
        <v>806.48563531658715</v>
      </c>
      <c r="AF52" s="77"/>
      <c r="AG52" s="4">
        <f t="shared" si="15"/>
        <v>0.01</v>
      </c>
      <c r="AH52" s="7">
        <f t="shared" ca="1" si="16"/>
        <v>0.01</v>
      </c>
      <c r="AI52" s="4">
        <f t="shared" ca="1" si="7"/>
        <v>0</v>
      </c>
      <c r="AJ52" s="4">
        <f t="shared" ca="1" si="17"/>
        <v>0</v>
      </c>
    </row>
    <row r="53" spans="2:36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12"/>
        <v>0.62211622635183106</v>
      </c>
      <c r="W53" s="4" cm="1">
        <f t="array" aca="1" ref="W53" ca="1">MIN(SUM((P53:U53&lt;V53)+0)+1,6)</f>
        <v>2</v>
      </c>
      <c r="X53" s="4" t="str">
        <f t="shared" ca="1" si="6"/>
        <v>B</v>
      </c>
      <c r="Z53" s="93">
        <v>36.368657808978199</v>
      </c>
      <c r="AA53" s="94">
        <v>12.3989274863437</v>
      </c>
      <c r="AB53" s="95">
        <v>450.93235094916821</v>
      </c>
      <c r="AF53" s="77"/>
      <c r="AG53" s="4">
        <f t="shared" si="15"/>
        <v>5.0000000000000001E-3</v>
      </c>
      <c r="AH53" s="7">
        <f t="shared" ca="1" si="16"/>
        <v>0.01</v>
      </c>
      <c r="AI53" s="4">
        <f t="shared" ca="1" si="7"/>
        <v>5.0000000000000001E-3</v>
      </c>
      <c r="AJ53" s="4">
        <f t="shared" ca="1" si="17"/>
        <v>-2.254661754745841</v>
      </c>
    </row>
    <row r="54" spans="2:36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12"/>
        <v>0.58354831744546043</v>
      </c>
      <c r="W54" s="4" cm="1">
        <f t="array" aca="1" ref="W54" ca="1">MIN(SUM((P54:U54&lt;V54)+0)+1,6)</f>
        <v>6</v>
      </c>
      <c r="X54" s="4" t="str">
        <f t="shared" ca="1" si="6"/>
        <v>F</v>
      </c>
      <c r="Z54" s="93">
        <v>9.9536617596477246</v>
      </c>
      <c r="AA54" s="94">
        <v>1.9161232820866372</v>
      </c>
      <c r="AB54" s="95">
        <v>19.07244303967645</v>
      </c>
      <c r="AF54" s="77"/>
      <c r="AG54" s="4">
        <f t="shared" si="15"/>
        <v>0.08</v>
      </c>
      <c r="AH54" s="7" t="str">
        <f t="shared" ca="1" si="16"/>
        <v>N/A</v>
      </c>
      <c r="AI54" s="4">
        <f t="shared" ca="1" si="7"/>
        <v>0</v>
      </c>
      <c r="AJ54" s="4">
        <f t="shared" ca="1" si="17"/>
        <v>0</v>
      </c>
    </row>
    <row r="55" spans="2:36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12"/>
        <v>0.37345043653601218</v>
      </c>
      <c r="W55" s="4" cm="1">
        <f t="array" aca="1" ref="W55" ca="1">MIN(SUM((P55:U55&lt;V55)+0)+1,6)</f>
        <v>6</v>
      </c>
      <c r="X55" s="4" t="str">
        <f t="shared" ca="1" si="6"/>
        <v>F</v>
      </c>
      <c r="Z55" s="93">
        <v>43.509889242414786</v>
      </c>
      <c r="AA55" s="94">
        <v>2.0485582183711153</v>
      </c>
      <c r="AB55" s="95">
        <v>89.132541187965785</v>
      </c>
      <c r="AF55" s="77"/>
      <c r="AG55" s="4">
        <f t="shared" si="15"/>
        <v>0.08</v>
      </c>
      <c r="AH55" s="7" t="str">
        <f t="shared" ca="1" si="16"/>
        <v>N/A</v>
      </c>
      <c r="AI55" s="4">
        <f t="shared" ca="1" si="7"/>
        <v>0</v>
      </c>
      <c r="AJ55" s="4">
        <f t="shared" ca="1" si="17"/>
        <v>0</v>
      </c>
    </row>
    <row r="56" spans="2:36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12"/>
        <v>0.51498072252023286</v>
      </c>
      <c r="W56" s="4" cm="1">
        <f t="array" aca="1" ref="W56" ca="1">MIN(SUM((P56:U56&lt;V56)+0)+1,6)</f>
        <v>5</v>
      </c>
      <c r="X56" s="4" t="str">
        <f t="shared" ca="1" si="6"/>
        <v>E</v>
      </c>
      <c r="Z56" s="93">
        <v>36.493712381663144</v>
      </c>
      <c r="AA56" s="94">
        <v>7.7824519823070579</v>
      </c>
      <c r="AB56" s="95">
        <v>284.01056426641799</v>
      </c>
      <c r="AF56" s="77"/>
      <c r="AG56" s="4">
        <f t="shared" si="15"/>
        <v>0.04</v>
      </c>
      <c r="AH56" s="7">
        <f t="shared" ca="1" si="16"/>
        <v>0.08</v>
      </c>
      <c r="AI56" s="4">
        <f t="shared" ca="1" si="7"/>
        <v>0.04</v>
      </c>
      <c r="AJ56" s="4">
        <f t="shared" ca="1" si="17"/>
        <v>-11.36042257065672</v>
      </c>
    </row>
    <row r="57" spans="2:36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12"/>
        <v>0.25740196957772499</v>
      </c>
      <c r="W57" s="4" cm="1">
        <f t="array" aca="1" ref="W57" ca="1">MIN(SUM((P57:U57&lt;V57)+0)+1,6)</f>
        <v>6</v>
      </c>
      <c r="X57" s="4" t="str">
        <f t="shared" ca="1" si="6"/>
        <v>F</v>
      </c>
      <c r="Z57" s="93">
        <v>39.272391384318439</v>
      </c>
      <c r="AA57" s="94">
        <v>0.39515078209381382</v>
      </c>
      <c r="AB57" s="95">
        <v>15.518516170207787</v>
      </c>
      <c r="AF57" s="77"/>
      <c r="AG57" s="4">
        <f t="shared" si="15"/>
        <v>0.08</v>
      </c>
      <c r="AH57" s="7" t="str">
        <f t="shared" ca="1" si="16"/>
        <v>N/A</v>
      </c>
      <c r="AI57" s="4">
        <f t="shared" ca="1" si="7"/>
        <v>0</v>
      </c>
      <c r="AJ57" s="4">
        <f t="shared" ca="1" si="17"/>
        <v>0</v>
      </c>
    </row>
    <row r="58" spans="2:36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12"/>
        <v>0.12179105351577779</v>
      </c>
      <c r="W58" s="4" cm="1">
        <f t="array" aca="1" ref="W58" ca="1">MIN(SUM((P58:U58&lt;V58)+0)+1,6)</f>
        <v>5</v>
      </c>
      <c r="X58" s="4" t="str">
        <f t="shared" ca="1" si="6"/>
        <v>E</v>
      </c>
      <c r="Z58" s="93">
        <v>81.916094566727949</v>
      </c>
      <c r="AA58" s="94">
        <v>1.8901120390004595</v>
      </c>
      <c r="AB58" s="95">
        <v>154.83059652847263</v>
      </c>
      <c r="AF58" s="77"/>
      <c r="AG58" s="4">
        <f t="shared" si="15"/>
        <v>0.02</v>
      </c>
      <c r="AH58" s="7">
        <f t="shared" ca="1" si="16"/>
        <v>0.08</v>
      </c>
      <c r="AI58" s="4">
        <f t="shared" ca="1" si="7"/>
        <v>0.06</v>
      </c>
      <c r="AJ58" s="4">
        <f t="shared" ca="1" si="17"/>
        <v>-9.2898357917083576</v>
      </c>
    </row>
    <row r="59" spans="2:36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12"/>
        <v>0.28671281780367874</v>
      </c>
      <c r="W59" s="4" cm="1">
        <f t="array" aca="1" ref="W59" ca="1">MIN(SUM((P59:U59&lt;V59)+0)+1,6)</f>
        <v>4</v>
      </c>
      <c r="X59" s="4" t="str">
        <f t="shared" ca="1" si="6"/>
        <v>D</v>
      </c>
      <c r="Z59" s="93">
        <v>17.547757976448196</v>
      </c>
      <c r="AA59" s="94">
        <v>5.3362822973589097</v>
      </c>
      <c r="AB59" s="95">
        <v>93.639790248059114</v>
      </c>
      <c r="AF59" s="77"/>
      <c r="AG59" s="4">
        <f t="shared" si="15"/>
        <v>0.04</v>
      </c>
      <c r="AH59" s="7">
        <f t="shared" ca="1" si="16"/>
        <v>0.04</v>
      </c>
      <c r="AI59" s="4">
        <f t="shared" ca="1" si="7"/>
        <v>0</v>
      </c>
      <c r="AJ59" s="4">
        <f t="shared" ca="1" si="17"/>
        <v>0</v>
      </c>
    </row>
    <row r="60" spans="2:36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12"/>
        <v>0.11190197344185682</v>
      </c>
      <c r="W60" s="4" cm="1">
        <f t="array" aca="1" ref="W60" ca="1">MIN(SUM((P60:U60&lt;V60)+0)+1,6)</f>
        <v>6</v>
      </c>
      <c r="X60" s="4" t="str">
        <f t="shared" ca="1" si="6"/>
        <v>F</v>
      </c>
      <c r="Z60" s="93">
        <v>27.00156976124531</v>
      </c>
      <c r="AA60" s="94">
        <v>2.0118084551317819</v>
      </c>
      <c r="AB60" s="95">
        <v>54.321986347503966</v>
      </c>
      <c r="AF60" s="77"/>
      <c r="AG60" s="4">
        <f t="shared" si="15"/>
        <v>0.08</v>
      </c>
      <c r="AH60" s="7" t="str">
        <f t="shared" ca="1" si="16"/>
        <v>N/A</v>
      </c>
      <c r="AI60" s="4">
        <f t="shared" ca="1" si="7"/>
        <v>0</v>
      </c>
      <c r="AJ60" s="4">
        <f t="shared" ca="1" si="17"/>
        <v>0</v>
      </c>
    </row>
    <row r="61" spans="2:36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12"/>
        <v>0.56125493623160005</v>
      </c>
      <c r="W61" s="4" cm="1">
        <f t="array" aca="1" ref="W61" ca="1">MIN(SUM((P61:U61&lt;V61)+0)+1,6)</f>
        <v>5</v>
      </c>
      <c r="X61" s="4" t="str">
        <f t="shared" ca="1" si="6"/>
        <v>E</v>
      </c>
      <c r="Z61" s="93">
        <v>86.088366895490026</v>
      </c>
      <c r="AA61" s="94">
        <v>6.9113168477631826</v>
      </c>
      <c r="AB61" s="95">
        <v>594.98398052121843</v>
      </c>
      <c r="AF61" s="77"/>
      <c r="AG61" s="4">
        <f t="shared" si="15"/>
        <v>0.01</v>
      </c>
      <c r="AH61" s="7">
        <f t="shared" ca="1" si="16"/>
        <v>0.08</v>
      </c>
      <c r="AI61" s="4">
        <f t="shared" ca="1" si="7"/>
        <v>7.0000000000000007E-2</v>
      </c>
      <c r="AJ61" s="4">
        <f t="shared" ca="1" si="17"/>
        <v>-41.648878636485293</v>
      </c>
    </row>
    <row r="62" spans="2:36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12"/>
        <v>0.8115735752640254</v>
      </c>
      <c r="W62" s="4" cm="1">
        <f t="array" aca="1" ref="W62" ca="1">MIN(SUM((P62:U62&lt;V62)+0)+1,6)</f>
        <v>6</v>
      </c>
      <c r="X62" s="4" t="str">
        <f t="shared" ca="1" si="6"/>
        <v>F</v>
      </c>
      <c r="Z62" s="93">
        <v>2.3364521983521791</v>
      </c>
      <c r="AA62" s="94">
        <v>1.707253877523514</v>
      </c>
      <c r="AB62" s="95">
        <v>3.9889170752850962</v>
      </c>
      <c r="AF62" s="77"/>
      <c r="AG62" s="4">
        <f t="shared" si="15"/>
        <v>0.08</v>
      </c>
      <c r="AH62" s="7" t="str">
        <f t="shared" ca="1" si="16"/>
        <v>N/A</v>
      </c>
      <c r="AI62" s="4">
        <f t="shared" ca="1" si="7"/>
        <v>0</v>
      </c>
      <c r="AJ62" s="4">
        <f t="shared" ca="1" si="17"/>
        <v>0</v>
      </c>
    </row>
    <row r="63" spans="2:36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12"/>
        <v>0.16385247008873538</v>
      </c>
      <c r="W63" s="4" cm="1">
        <f t="array" aca="1" ref="W63" ca="1">MIN(SUM((P63:U63&lt;V63)+0)+1,6)</f>
        <v>5</v>
      </c>
      <c r="X63" s="4" t="str">
        <f t="shared" ca="1" si="6"/>
        <v>E</v>
      </c>
      <c r="Z63" s="93">
        <v>36.894824773996859</v>
      </c>
      <c r="AA63" s="94">
        <v>3.1701762274239376</v>
      </c>
      <c r="AB63" s="95">
        <v>116.96309641349659</v>
      </c>
      <c r="AF63" s="77"/>
      <c r="AG63" s="4">
        <f t="shared" si="15"/>
        <v>0.04</v>
      </c>
      <c r="AH63" s="7">
        <f t="shared" ca="1" si="16"/>
        <v>0.08</v>
      </c>
      <c r="AI63" s="4">
        <f t="shared" ca="1" si="7"/>
        <v>0.04</v>
      </c>
      <c r="AJ63" s="4">
        <f t="shared" ca="1" si="17"/>
        <v>-4.6785238565398632</v>
      </c>
    </row>
    <row r="64" spans="2:36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12"/>
        <v>7.5677784461481545E-2</v>
      </c>
      <c r="W64" s="4" cm="1">
        <f t="array" aca="1" ref="W64" ca="1">MIN(SUM((P64:U64&lt;V64)+0)+1,6)</f>
        <v>2</v>
      </c>
      <c r="X64" s="4" t="str">
        <f t="shared" ca="1" si="6"/>
        <v>B</v>
      </c>
      <c r="Z64" s="93">
        <v>18.505649799476064</v>
      </c>
      <c r="AA64" s="94">
        <v>8.240817803401864</v>
      </c>
      <c r="AB64" s="95">
        <v>152.50168833104249</v>
      </c>
      <c r="AF64" s="77"/>
      <c r="AG64" s="4">
        <f t="shared" si="15"/>
        <v>0.01</v>
      </c>
      <c r="AH64" s="7">
        <f t="shared" ca="1" si="16"/>
        <v>0.01</v>
      </c>
      <c r="AI64" s="4">
        <f t="shared" ca="1" si="7"/>
        <v>0</v>
      </c>
      <c r="AJ64" s="4">
        <f t="shared" ca="1" si="17"/>
        <v>0</v>
      </c>
    </row>
    <row r="65" spans="2:36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12"/>
        <v>0.20277923333991688</v>
      </c>
      <c r="W65" s="4" cm="1">
        <f t="array" aca="1" ref="W65" ca="1">MIN(SUM((P65:U65&lt;V65)+0)+1,6)</f>
        <v>4</v>
      </c>
      <c r="X65" s="4" t="str">
        <f t="shared" ca="1" si="6"/>
        <v>D</v>
      </c>
      <c r="Z65" s="93">
        <v>14.172183158684494</v>
      </c>
      <c r="AA65" s="94">
        <v>7.1352513619731521</v>
      </c>
      <c r="AB65" s="95">
        <v>101.1220891851365</v>
      </c>
      <c r="AF65" s="77"/>
      <c r="AG65" s="4">
        <f t="shared" si="15"/>
        <v>0.01</v>
      </c>
      <c r="AH65" s="7">
        <f t="shared" ca="1" si="16"/>
        <v>0.04</v>
      </c>
      <c r="AI65" s="4">
        <f t="shared" ca="1" si="7"/>
        <v>0.03</v>
      </c>
      <c r="AJ65" s="4">
        <f t="shared" ca="1" si="17"/>
        <v>-3.033662675554095</v>
      </c>
    </row>
    <row r="66" spans="2:36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12"/>
        <v>0.59039307453749434</v>
      </c>
      <c r="W66" s="4" cm="1">
        <f t="array" aca="1" ref="W66" ca="1">MIN(SUM((P66:U66&lt;V66)+0)+1,6)</f>
        <v>4</v>
      </c>
      <c r="X66" s="4" t="str">
        <f t="shared" ca="1" si="6"/>
        <v>D</v>
      </c>
      <c r="Z66" s="93">
        <v>50.532425086567159</v>
      </c>
      <c r="AA66" s="94">
        <v>8.7924706736250382</v>
      </c>
      <c r="AB66" s="95">
        <v>444.30486564079592</v>
      </c>
      <c r="AF66" s="77"/>
      <c r="AG66" s="4">
        <f t="shared" si="15"/>
        <v>5.0000000000000001E-3</v>
      </c>
      <c r="AH66" s="7">
        <f t="shared" ca="1" si="16"/>
        <v>0.04</v>
      </c>
      <c r="AI66" s="4">
        <f t="shared" ca="1" si="7"/>
        <v>3.5000000000000003E-2</v>
      </c>
      <c r="AJ66" s="4">
        <f t="shared" ca="1" si="17"/>
        <v>-15.550670297427859</v>
      </c>
    </row>
    <row r="67" spans="2:36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12"/>
        <v>0.25822697167953124</v>
      </c>
      <c r="W67" s="4" cm="1">
        <f t="array" aca="1" ref="W67" ca="1">MIN(SUM((P67:U67&lt;V67)+0)+1,6)</f>
        <v>6</v>
      </c>
      <c r="X67" s="4" t="str">
        <f t="shared" ca="1" si="6"/>
        <v>F</v>
      </c>
      <c r="Z67" s="93">
        <v>28.982449633517319</v>
      </c>
      <c r="AA67" s="94">
        <v>1.2393435701789142</v>
      </c>
      <c r="AB67" s="95">
        <v>35.919212601333918</v>
      </c>
      <c r="AF67" s="77"/>
      <c r="AG67" s="4">
        <f t="shared" si="15"/>
        <v>0.08</v>
      </c>
      <c r="AH67" s="7" t="str">
        <f t="shared" ca="1" si="16"/>
        <v>N/A</v>
      </c>
      <c r="AI67" s="4">
        <f t="shared" ca="1" si="7"/>
        <v>0</v>
      </c>
      <c r="AJ67" s="4">
        <f t="shared" ca="1" si="17"/>
        <v>0</v>
      </c>
    </row>
    <row r="68" spans="2:36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12"/>
        <v>0.28458970352317037</v>
      </c>
      <c r="W68" s="4" cm="1">
        <f t="array" aca="1" ref="W68" ca="1">MIN(SUM((P68:U68&lt;V68)+0)+1,6)</f>
        <v>4</v>
      </c>
      <c r="X68" s="4" t="str">
        <f t="shared" ca="1" si="6"/>
        <v>D</v>
      </c>
      <c r="Z68" s="93">
        <v>84.415957534522121</v>
      </c>
      <c r="AA68" s="94">
        <v>6.1952629474234886</v>
      </c>
      <c r="AB68" s="95">
        <v>522.9790538848996</v>
      </c>
      <c r="AF68" s="77"/>
      <c r="AG68" s="4">
        <f t="shared" si="15"/>
        <v>0.02</v>
      </c>
      <c r="AH68" s="7">
        <f t="shared" ca="1" si="16"/>
        <v>0.04</v>
      </c>
      <c r="AI68" s="4">
        <f t="shared" ca="1" si="7"/>
        <v>0.02</v>
      </c>
      <c r="AJ68" s="4">
        <f t="shared" ca="1" si="17"/>
        <v>-10.459581077697992</v>
      </c>
    </row>
    <row r="69" spans="2:36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12"/>
        <v>0.46658847211056687</v>
      </c>
      <c r="W69" s="4" cm="1">
        <f t="array" aca="1" ref="W69" ca="1">MIN(SUM((P69:U69&lt;V69)+0)+1,6)</f>
        <v>2</v>
      </c>
      <c r="X69" s="4" t="str">
        <f t="shared" ca="1" si="6"/>
        <v>B</v>
      </c>
      <c r="Z69" s="93">
        <v>48.550727106120881</v>
      </c>
      <c r="AA69" s="94">
        <v>8.838558619220283</v>
      </c>
      <c r="AB69" s="95">
        <v>429.11844753321657</v>
      </c>
      <c r="AF69" s="77"/>
      <c r="AG69" s="4">
        <f t="shared" si="15"/>
        <v>0.01</v>
      </c>
      <c r="AH69" s="7">
        <f t="shared" ca="1" si="16"/>
        <v>0.01</v>
      </c>
      <c r="AI69" s="4">
        <f t="shared" ca="1" si="7"/>
        <v>0</v>
      </c>
      <c r="AJ69" s="4">
        <f t="shared" ca="1" si="17"/>
        <v>0</v>
      </c>
    </row>
    <row r="70" spans="2:36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12"/>
        <v>0.13287379653723363</v>
      </c>
      <c r="W70" s="4" cm="1">
        <f t="array" aca="1" ref="W70" ca="1">MIN(SUM((P70:U70&lt;V70)+0)+1,6)</f>
        <v>6</v>
      </c>
      <c r="X70" s="4" t="str">
        <f t="shared" ca="1" si="6"/>
        <v>F</v>
      </c>
      <c r="Z70" s="93">
        <v>0.19262168374306055</v>
      </c>
      <c r="AA70" s="94">
        <v>1.4452769504095961</v>
      </c>
      <c r="AB70" s="95">
        <v>0.27839167966293221</v>
      </c>
      <c r="AF70" s="77"/>
      <c r="AG70" s="4">
        <f t="shared" si="15"/>
        <v>0.08</v>
      </c>
      <c r="AH70" s="7" t="str">
        <f t="shared" ca="1" si="16"/>
        <v>N/A</v>
      </c>
      <c r="AI70" s="4">
        <f t="shared" ca="1" si="7"/>
        <v>0</v>
      </c>
      <c r="AJ70" s="4">
        <f t="shared" ca="1" si="17"/>
        <v>0</v>
      </c>
    </row>
    <row r="71" spans="2:36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12"/>
        <v>0.73065777763727724</v>
      </c>
      <c r="W71" s="4" cm="1">
        <f t="array" aca="1" ref="W71" ca="1">MIN(SUM((P71:U71&lt;V71)+0)+1,6)</f>
        <v>5</v>
      </c>
      <c r="X71" s="4" t="str">
        <f t="shared" ca="1" si="6"/>
        <v>E</v>
      </c>
      <c r="Z71" s="93">
        <v>94.790243600197627</v>
      </c>
      <c r="AA71" s="94">
        <v>7.1622244148841983</v>
      </c>
      <c r="AB71" s="95">
        <v>678.90899700615603</v>
      </c>
      <c r="AF71" s="77"/>
      <c r="AG71" s="4">
        <f t="shared" si="15"/>
        <v>0.01</v>
      </c>
      <c r="AH71" s="7">
        <f t="shared" ca="1" si="16"/>
        <v>0.08</v>
      </c>
      <c r="AI71" s="4">
        <f t="shared" ca="1" si="7"/>
        <v>7.0000000000000007E-2</v>
      </c>
      <c r="AJ71" s="4">
        <f t="shared" ca="1" si="17"/>
        <v>-47.523629790430924</v>
      </c>
    </row>
    <row r="72" spans="2:36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12"/>
        <v>0.78106151680302838</v>
      </c>
      <c r="W72" s="4" cm="1">
        <f t="array" aca="1" ref="W72" ca="1">MIN(SUM((P72:U72&lt;V72)+0)+1,6)</f>
        <v>5</v>
      </c>
      <c r="X72" s="4" t="str">
        <f t="shared" ca="1" si="6"/>
        <v>E</v>
      </c>
      <c r="Z72" s="93">
        <v>16.584570714019019</v>
      </c>
      <c r="AA72" s="94">
        <v>8.6023854462746083</v>
      </c>
      <c r="AB72" s="95">
        <v>142.66686974298929</v>
      </c>
      <c r="AF72" s="77"/>
      <c r="AG72" s="4">
        <f t="shared" si="15"/>
        <v>0.02</v>
      </c>
      <c r="AH72" s="7">
        <f t="shared" ca="1" si="16"/>
        <v>0.08</v>
      </c>
      <c r="AI72" s="4">
        <f t="shared" ca="1" si="7"/>
        <v>0.06</v>
      </c>
      <c r="AJ72" s="4">
        <f t="shared" ca="1" si="17"/>
        <v>-8.5600121845793566</v>
      </c>
    </row>
    <row r="73" spans="2:36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12"/>
        <v>0.15177303558938793</v>
      </c>
      <c r="W73" s="4" cm="1">
        <f t="array" aca="1" ref="W73" ca="1">MIN(SUM((P73:U73&lt;V73)+0)+1,6)</f>
        <v>2</v>
      </c>
      <c r="X73" s="4" t="str">
        <f t="shared" ca="1" si="6"/>
        <v>B</v>
      </c>
      <c r="Z73" s="93">
        <v>17.065403004306113</v>
      </c>
      <c r="AA73" s="94">
        <v>10.513662490475356</v>
      </c>
      <c r="AB73" s="95">
        <v>179.41988745121864</v>
      </c>
      <c r="AF73" s="77"/>
      <c r="AG73" s="4">
        <f t="shared" si="15"/>
        <v>0.01</v>
      </c>
      <c r="AH73" s="7">
        <f t="shared" ca="1" si="16"/>
        <v>0.01</v>
      </c>
      <c r="AI73" s="4">
        <f t="shared" ca="1" si="7"/>
        <v>0</v>
      </c>
      <c r="AJ73" s="4">
        <f t="shared" ca="1" si="17"/>
        <v>0</v>
      </c>
    </row>
    <row r="74" spans="2:36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12"/>
        <v>8.0383973063540948E-2</v>
      </c>
      <c r="W74" s="4" cm="1">
        <f t="array" aca="1" ref="W74" ca="1">MIN(SUM((P74:U74&lt;V74)+0)+1,6)</f>
        <v>1</v>
      </c>
      <c r="X74" s="4" t="str">
        <f t="shared" ca="1" si="6"/>
        <v>A</v>
      </c>
      <c r="Z74" s="93">
        <v>97.996324402972434</v>
      </c>
      <c r="AA74" s="94">
        <v>10.499013271951931</v>
      </c>
      <c r="AB74" s="95">
        <v>1028.8647105093144</v>
      </c>
      <c r="AF74" s="77"/>
      <c r="AG74" s="4">
        <f t="shared" ref="AG74:AG109" si="18">VLOOKUP(RatingLast,$AD$10:$AE$16,2,0)</f>
        <v>5.0000000000000001E-3</v>
      </c>
      <c r="AH74" s="7">
        <f t="shared" ref="AH74:AH109" ca="1" si="19">VLOOKUP(RatingSim,$AD$10:$AE$16,2,0)</f>
        <v>5.0000000000000001E-3</v>
      </c>
      <c r="AI74" s="4">
        <f t="shared" ca="1" si="7"/>
        <v>0</v>
      </c>
      <c r="AJ74" s="4">
        <f t="shared" ref="AJ74:AJ109" ca="1" si="20">SpreadCh*-p_d</f>
        <v>0</v>
      </c>
    </row>
    <row r="75" spans="2:36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12"/>
        <v>0.17193347953769966</v>
      </c>
      <c r="W75" s="4" cm="1">
        <f t="array" aca="1" ref="W75" ca="1">MIN(SUM((P75:U75&lt;V75)+0)+1,6)</f>
        <v>3</v>
      </c>
      <c r="X75" s="4" t="str">
        <f t="shared" ref="X75:X109" ca="1" si="21">OFFSET($G$9,0,W75)</f>
        <v>C_</v>
      </c>
      <c r="Z75" s="93">
        <v>99.416309784681957</v>
      </c>
      <c r="AA75" s="94">
        <v>7.197808013391974</v>
      </c>
      <c r="AB75" s="95">
        <v>715.57951123004273</v>
      </c>
      <c r="AF75" s="77"/>
      <c r="AG75" s="4">
        <f t="shared" si="18"/>
        <v>0.04</v>
      </c>
      <c r="AH75" s="7">
        <f t="shared" ca="1" si="19"/>
        <v>0.02</v>
      </c>
      <c r="AI75" s="4">
        <f t="shared" ref="AI75:AI109" ca="1" si="22">IF(AH75&lt;&gt;"N/A",AH75-AG75,0)</f>
        <v>-0.02</v>
      </c>
      <c r="AJ75" s="4">
        <f t="shared" ca="1" si="20"/>
        <v>14.311590224600854</v>
      </c>
    </row>
    <row r="76" spans="2:36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12"/>
        <v>0.11163361962427032</v>
      </c>
      <c r="W76" s="4" cm="1">
        <f t="array" aca="1" ref="W76" ca="1">MIN(SUM((P76:U76&lt;V76)+0)+1,6)</f>
        <v>4</v>
      </c>
      <c r="X76" s="4" t="str">
        <f t="shared" ca="1" si="21"/>
        <v>D</v>
      </c>
      <c r="Z76" s="93">
        <v>14.969320801855568</v>
      </c>
      <c r="AA76" s="94">
        <v>7.8538548430685129</v>
      </c>
      <c r="AB76" s="95">
        <v>117.5668726770996</v>
      </c>
      <c r="AF76" s="77"/>
      <c r="AG76" s="4">
        <f t="shared" si="18"/>
        <v>0.04</v>
      </c>
      <c r="AH76" s="7">
        <f t="shared" ca="1" si="19"/>
        <v>0.04</v>
      </c>
      <c r="AI76" s="4">
        <f t="shared" ca="1" si="22"/>
        <v>0</v>
      </c>
      <c r="AJ76" s="4">
        <f t="shared" ca="1" si="20"/>
        <v>0</v>
      </c>
    </row>
    <row r="77" spans="2:36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12"/>
        <v>0.13928633029599502</v>
      </c>
      <c r="W77" s="4" cm="1">
        <f t="array" aca="1" ref="W77" ca="1">MIN(SUM((P77:U77&lt;V77)+0)+1,6)</f>
        <v>4</v>
      </c>
      <c r="X77" s="4" t="str">
        <f t="shared" ca="1" si="21"/>
        <v>D</v>
      </c>
      <c r="Z77" s="93">
        <v>14.792749254190618</v>
      </c>
      <c r="AA77" s="94">
        <v>7.3677925752447608</v>
      </c>
      <c r="AB77" s="95">
        <v>108.9899081224831</v>
      </c>
      <c r="AF77" s="77"/>
      <c r="AG77" s="4">
        <f t="shared" si="18"/>
        <v>0.02</v>
      </c>
      <c r="AH77" s="7">
        <f t="shared" ca="1" si="19"/>
        <v>0.04</v>
      </c>
      <c r="AI77" s="4">
        <f t="shared" ca="1" si="22"/>
        <v>0.02</v>
      </c>
      <c r="AJ77" s="4">
        <f t="shared" ca="1" si="20"/>
        <v>-2.1797981624496621</v>
      </c>
    </row>
    <row r="78" spans="2:36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12"/>
        <v>5.0556275525916905E-2</v>
      </c>
      <c r="W78" s="4" cm="1">
        <f t="array" aca="1" ref="W78" ca="1">MIN(SUM((P78:U78&lt;V78)+0)+1,6)</f>
        <v>1</v>
      </c>
      <c r="X78" s="4" t="str">
        <f t="shared" ca="1" si="21"/>
        <v>A</v>
      </c>
      <c r="Z78" s="93">
        <v>19.110465115345264</v>
      </c>
      <c r="AA78" s="94">
        <v>9.7965619907102646</v>
      </c>
      <c r="AB78" s="95">
        <v>187.21685617378586</v>
      </c>
      <c r="AF78" s="77"/>
      <c r="AG78" s="4">
        <f t="shared" si="18"/>
        <v>0.01</v>
      </c>
      <c r="AH78" s="7">
        <f t="shared" ca="1" si="19"/>
        <v>5.0000000000000001E-3</v>
      </c>
      <c r="AI78" s="4">
        <f t="shared" ca="1" si="22"/>
        <v>-5.0000000000000001E-3</v>
      </c>
      <c r="AJ78" s="4">
        <f t="shared" ca="1" si="20"/>
        <v>0.93608428086892925</v>
      </c>
    </row>
    <row r="79" spans="2:36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12"/>
        <v>0.10754455053438716</v>
      </c>
      <c r="W79" s="4" cm="1">
        <f t="array" aca="1" ref="W79" ca="1">MIN(SUM((P79:U79&lt;V79)+0)+1,6)</f>
        <v>3</v>
      </c>
      <c r="X79" s="4" t="str">
        <f t="shared" ca="1" si="21"/>
        <v>C_</v>
      </c>
      <c r="Z79" s="93">
        <v>85.908216451236967</v>
      </c>
      <c r="AA79" s="94">
        <v>9.8371193831294672</v>
      </c>
      <c r="AB79" s="95">
        <v>845.08938122254494</v>
      </c>
      <c r="AF79" s="77"/>
      <c r="AG79" s="4">
        <f t="shared" si="18"/>
        <v>0.01</v>
      </c>
      <c r="AH79" s="7">
        <f t="shared" ca="1" si="19"/>
        <v>0.02</v>
      </c>
      <c r="AI79" s="4">
        <f t="shared" ca="1" si="22"/>
        <v>0.01</v>
      </c>
      <c r="AJ79" s="4">
        <f t="shared" ca="1" si="20"/>
        <v>-8.4508938122254502</v>
      </c>
    </row>
    <row r="80" spans="2:36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12"/>
        <v>0.1173251752258605</v>
      </c>
      <c r="W80" s="4" cm="1">
        <f t="array" aca="1" ref="W80" ca="1">MIN(SUM((P80:U80&lt;V80)+0)+1,6)</f>
        <v>4</v>
      </c>
      <c r="X80" s="4" t="str">
        <f t="shared" ca="1" si="21"/>
        <v>D</v>
      </c>
      <c r="Z80" s="93">
        <v>68.68157858891864</v>
      </c>
      <c r="AA80" s="94">
        <v>6.4155090821084286</v>
      </c>
      <c r="AB80" s="95">
        <v>440.62729121075131</v>
      </c>
      <c r="AF80" s="77"/>
      <c r="AG80" s="4">
        <f t="shared" si="18"/>
        <v>0.02</v>
      </c>
      <c r="AH80" s="7">
        <f t="shared" ca="1" si="19"/>
        <v>0.04</v>
      </c>
      <c r="AI80" s="4">
        <f t="shared" ca="1" si="22"/>
        <v>0.02</v>
      </c>
      <c r="AJ80" s="4">
        <f t="shared" ca="1" si="20"/>
        <v>-8.812545824215027</v>
      </c>
    </row>
    <row r="81" spans="2:36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12"/>
        <v>0.82301839551733369</v>
      </c>
      <c r="W81" s="4" cm="1">
        <f t="array" aca="1" ref="W81" ca="1">MIN(SUM((P81:U81&lt;V81)+0)+1,6)</f>
        <v>6</v>
      </c>
      <c r="X81" s="4" t="str">
        <f t="shared" ca="1" si="21"/>
        <v>F</v>
      </c>
      <c r="Z81" s="93">
        <v>42.387915278252429</v>
      </c>
      <c r="AA81" s="94">
        <v>2.1207756298389895</v>
      </c>
      <c r="AB81" s="95">
        <v>89.89525772179752</v>
      </c>
      <c r="AF81" s="77"/>
      <c r="AG81" s="4">
        <f t="shared" si="18"/>
        <v>0.08</v>
      </c>
      <c r="AH81" s="7" t="str">
        <f t="shared" ca="1" si="19"/>
        <v>N/A</v>
      </c>
      <c r="AI81" s="4">
        <f t="shared" ca="1" si="22"/>
        <v>0</v>
      </c>
      <c r="AJ81" s="4">
        <f t="shared" ca="1" si="20"/>
        <v>0</v>
      </c>
    </row>
    <row r="82" spans="2:36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12"/>
        <v>0.36321418866692912</v>
      </c>
      <c r="W82" s="4" cm="1">
        <f t="array" aca="1" ref="W82" ca="1">MIN(SUM((P82:U82&lt;V82)+0)+1,6)</f>
        <v>2</v>
      </c>
      <c r="X82" s="4" t="str">
        <f t="shared" ca="1" si="21"/>
        <v>B</v>
      </c>
      <c r="Z82" s="93">
        <v>51.804975968572073</v>
      </c>
      <c r="AA82" s="94">
        <v>10.738439564341935</v>
      </c>
      <c r="AB82" s="95">
        <v>556.30460357069751</v>
      </c>
      <c r="AF82" s="77"/>
      <c r="AG82" s="4">
        <f t="shared" si="18"/>
        <v>5.0000000000000001E-3</v>
      </c>
      <c r="AH82" s="7">
        <f t="shared" ca="1" si="19"/>
        <v>0.01</v>
      </c>
      <c r="AI82" s="4">
        <f t="shared" ca="1" si="22"/>
        <v>5.0000000000000001E-3</v>
      </c>
      <c r="AJ82" s="4">
        <f t="shared" ca="1" si="20"/>
        <v>-2.7815230178534875</v>
      </c>
    </row>
    <row r="83" spans="2:36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12"/>
        <v>0.3115257276094926</v>
      </c>
      <c r="W83" s="4" cm="1">
        <f t="array" aca="1" ref="W83" ca="1">MIN(SUM((P83:U83&lt;V83)+0)+1,6)</f>
        <v>1</v>
      </c>
      <c r="X83" s="4" t="str">
        <f t="shared" ca="1" si="21"/>
        <v>A</v>
      </c>
      <c r="Z83" s="93">
        <v>8.2783903108533679</v>
      </c>
      <c r="AA83" s="94">
        <v>8.7050140143292065</v>
      </c>
      <c r="AB83" s="95">
        <v>72.063503672065679</v>
      </c>
      <c r="AF83" s="77"/>
      <c r="AG83" s="4">
        <f t="shared" si="18"/>
        <v>5.0000000000000001E-3</v>
      </c>
      <c r="AH83" s="7">
        <f t="shared" ca="1" si="19"/>
        <v>5.0000000000000001E-3</v>
      </c>
      <c r="AI83" s="4">
        <f t="shared" ca="1" si="22"/>
        <v>0</v>
      </c>
      <c r="AJ83" s="4">
        <f t="shared" ca="1" si="20"/>
        <v>0</v>
      </c>
    </row>
    <row r="84" spans="2:36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23">RAND()</f>
        <v>0.47537336142391129</v>
      </c>
      <c r="W84" s="4" cm="1">
        <f t="array" aca="1" ref="W84" ca="1">MIN(SUM((P84:U84&lt;V84)+0)+1,6)</f>
        <v>4</v>
      </c>
      <c r="X84" s="4" t="str">
        <f t="shared" ca="1" si="21"/>
        <v>D</v>
      </c>
      <c r="Z84" s="93">
        <v>90.243705402323087</v>
      </c>
      <c r="AA84" s="94">
        <v>5.7083338289998258</v>
      </c>
      <c r="AB84" s="95">
        <v>515.14119640237516</v>
      </c>
      <c r="AF84" s="77"/>
      <c r="AG84" s="4">
        <f t="shared" si="18"/>
        <v>0.04</v>
      </c>
      <c r="AH84" s="7">
        <f t="shared" ca="1" si="19"/>
        <v>0.04</v>
      </c>
      <c r="AI84" s="4">
        <f t="shared" ca="1" si="22"/>
        <v>0</v>
      </c>
      <c r="AJ84" s="4">
        <f t="shared" ca="1" si="20"/>
        <v>0</v>
      </c>
    </row>
    <row r="85" spans="2:36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23"/>
        <v>0.96001147978291956</v>
      </c>
      <c r="W85" s="4" cm="1">
        <f t="array" aca="1" ref="W85" ca="1">MIN(SUM((P85:U85&lt;V85)+0)+1,6)</f>
        <v>4</v>
      </c>
      <c r="X85" s="4" t="str">
        <f t="shared" ca="1" si="21"/>
        <v>D</v>
      </c>
      <c r="Z85" s="93">
        <v>78.506579465083945</v>
      </c>
      <c r="AA85" s="94">
        <v>9.2567581635757588</v>
      </c>
      <c r="AB85" s="95">
        <v>726.71642035782486</v>
      </c>
      <c r="AF85" s="77"/>
      <c r="AG85" s="4">
        <f t="shared" si="18"/>
        <v>0.01</v>
      </c>
      <c r="AH85" s="7">
        <f t="shared" ca="1" si="19"/>
        <v>0.04</v>
      </c>
      <c r="AI85" s="4">
        <f t="shared" ca="1" si="22"/>
        <v>0.03</v>
      </c>
      <c r="AJ85" s="4">
        <f t="shared" ca="1" si="20"/>
        <v>-21.801492610734744</v>
      </c>
    </row>
    <row r="86" spans="2:36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23"/>
        <v>0.27996412996368458</v>
      </c>
      <c r="W86" s="4" cm="1">
        <f t="array" aca="1" ref="W86" ca="1">MIN(SUM((P86:U86&lt;V86)+0)+1,6)</f>
        <v>6</v>
      </c>
      <c r="X86" s="4" t="str">
        <f t="shared" ca="1" si="21"/>
        <v>F</v>
      </c>
      <c r="Z86" s="93">
        <v>19.031860118986621</v>
      </c>
      <c r="AA86" s="94">
        <v>2.8787209093899961</v>
      </c>
      <c r="AB86" s="95">
        <v>54.787413669112368</v>
      </c>
      <c r="AF86" s="77"/>
      <c r="AG86" s="4">
        <f t="shared" si="18"/>
        <v>0.08</v>
      </c>
      <c r="AH86" s="7" t="str">
        <f t="shared" ca="1" si="19"/>
        <v>N/A</v>
      </c>
      <c r="AI86" s="4">
        <f t="shared" ca="1" si="22"/>
        <v>0</v>
      </c>
      <c r="AJ86" s="4">
        <f t="shared" ca="1" si="20"/>
        <v>0</v>
      </c>
    </row>
    <row r="87" spans="2:36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23"/>
        <v>0.87606103104082023</v>
      </c>
      <c r="W87" s="4" cm="1">
        <f t="array" aca="1" ref="W87" ca="1">MIN(SUM((P87:U87&lt;V87)+0)+1,6)</f>
        <v>6</v>
      </c>
      <c r="X87" s="4" t="str">
        <f t="shared" ca="1" si="21"/>
        <v>F</v>
      </c>
      <c r="Z87" s="93">
        <v>16.766483343881809</v>
      </c>
      <c r="AA87" s="94">
        <v>2.3133062556866202</v>
      </c>
      <c r="AB87" s="95">
        <v>38.78601080526731</v>
      </c>
      <c r="AF87" s="77"/>
      <c r="AG87" s="4">
        <f t="shared" si="18"/>
        <v>0.02</v>
      </c>
      <c r="AH87" s="7" t="str">
        <f t="shared" ca="1" si="19"/>
        <v>N/A</v>
      </c>
      <c r="AI87" s="4">
        <f t="shared" ca="1" si="22"/>
        <v>0</v>
      </c>
      <c r="AJ87" s="4">
        <f t="shared" ca="1" si="20"/>
        <v>0</v>
      </c>
    </row>
    <row r="88" spans="2:36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23"/>
        <v>5.8072933904377066E-2</v>
      </c>
      <c r="W88" s="4" cm="1">
        <f t="array" aca="1" ref="W88" ca="1">MIN(SUM((P88:U88&lt;V88)+0)+1,6)</f>
        <v>4</v>
      </c>
      <c r="X88" s="4" t="str">
        <f t="shared" ca="1" si="21"/>
        <v>D</v>
      </c>
      <c r="Z88" s="93">
        <v>42.295637722709913</v>
      </c>
      <c r="AA88" s="94">
        <v>3.5445228141367422</v>
      </c>
      <c r="AB88" s="95">
        <v>149.9178528466079</v>
      </c>
      <c r="AF88" s="77"/>
      <c r="AG88" s="4">
        <f t="shared" si="18"/>
        <v>0.04</v>
      </c>
      <c r="AH88" s="7">
        <f t="shared" ca="1" si="19"/>
        <v>0.04</v>
      </c>
      <c r="AI88" s="4">
        <f t="shared" ca="1" si="22"/>
        <v>0</v>
      </c>
      <c r="AJ88" s="4">
        <f t="shared" ca="1" si="20"/>
        <v>0</v>
      </c>
    </row>
    <row r="89" spans="2:36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23"/>
        <v>0.67045297525358505</v>
      </c>
      <c r="W89" s="4" cm="1">
        <f t="array" aca="1" ref="W89" ca="1">MIN(SUM((P89:U89&lt;V89)+0)+1,6)</f>
        <v>3</v>
      </c>
      <c r="X89" s="4" t="str">
        <f t="shared" ca="1" si="21"/>
        <v>C_</v>
      </c>
      <c r="Z89" s="93">
        <v>0.47752840883801273</v>
      </c>
      <c r="AA89" s="94">
        <v>9.3846887639024654</v>
      </c>
      <c r="AB89" s="95">
        <v>4.4814554928663206</v>
      </c>
      <c r="AF89" s="77"/>
      <c r="AG89" s="4">
        <f t="shared" si="18"/>
        <v>0.02</v>
      </c>
      <c r="AH89" s="7">
        <f t="shared" ca="1" si="19"/>
        <v>0.02</v>
      </c>
      <c r="AI89" s="4">
        <f t="shared" ca="1" si="22"/>
        <v>0</v>
      </c>
      <c r="AJ89" s="4">
        <f t="shared" ca="1" si="20"/>
        <v>0</v>
      </c>
    </row>
    <row r="90" spans="2:36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23"/>
        <v>3.8094537138649853E-2</v>
      </c>
      <c r="W90" s="4" cm="1">
        <f t="array" aca="1" ref="W90" ca="1">MIN(SUM((P90:U90&lt;V90)+0)+1,6)</f>
        <v>4</v>
      </c>
      <c r="X90" s="4" t="str">
        <f t="shared" ca="1" si="21"/>
        <v>D</v>
      </c>
      <c r="Z90" s="93">
        <v>63.85261731434678</v>
      </c>
      <c r="AA90" s="94">
        <v>2.6562703793921041</v>
      </c>
      <c r="AB90" s="95">
        <v>169.60981601875875</v>
      </c>
      <c r="AF90" s="77"/>
      <c r="AG90" s="4">
        <f t="shared" si="18"/>
        <v>0.08</v>
      </c>
      <c r="AH90" s="7">
        <f t="shared" ca="1" si="19"/>
        <v>0.04</v>
      </c>
      <c r="AI90" s="4">
        <f t="shared" ca="1" si="22"/>
        <v>-0.04</v>
      </c>
      <c r="AJ90" s="4">
        <f t="shared" ca="1" si="20"/>
        <v>6.7843926407503501</v>
      </c>
    </row>
    <row r="91" spans="2:36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23"/>
        <v>7.1196970890430311E-2</v>
      </c>
      <c r="W91" s="4" cm="1">
        <f t="array" aca="1" ref="W91" ca="1">MIN(SUM((P91:U91&lt;V91)+0)+1,6)</f>
        <v>4</v>
      </c>
      <c r="X91" s="4" t="str">
        <f t="shared" ca="1" si="21"/>
        <v>D</v>
      </c>
      <c r="Z91" s="93">
        <v>74.484454613584461</v>
      </c>
      <c r="AA91" s="94">
        <v>3.5853906193890581</v>
      </c>
      <c r="AB91" s="95">
        <v>267.05586486185575</v>
      </c>
      <c r="AF91" s="77"/>
      <c r="AG91" s="4">
        <f t="shared" si="18"/>
        <v>0.02</v>
      </c>
      <c r="AH91" s="7">
        <f t="shared" ca="1" si="19"/>
        <v>0.04</v>
      </c>
      <c r="AI91" s="4">
        <f t="shared" ca="1" si="22"/>
        <v>0.02</v>
      </c>
      <c r="AJ91" s="4">
        <f t="shared" ca="1" si="20"/>
        <v>-5.3411172972371155</v>
      </c>
    </row>
    <row r="92" spans="2:36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23"/>
        <v>0.24923569529880485</v>
      </c>
      <c r="W92" s="4" cm="1">
        <f t="array" aca="1" ref="W92" ca="1">MIN(SUM((P92:U92&lt;V92)+0)+1,6)</f>
        <v>5</v>
      </c>
      <c r="X92" s="4" t="str">
        <f t="shared" ca="1" si="21"/>
        <v>E</v>
      </c>
      <c r="Z92" s="93">
        <v>96.724609382262159</v>
      </c>
      <c r="AA92" s="94">
        <v>2.6262341414169561</v>
      </c>
      <c r="AB92" s="95">
        <v>254.02147147491573</v>
      </c>
      <c r="AF92" s="77"/>
      <c r="AG92" s="4">
        <f t="shared" si="18"/>
        <v>0.04</v>
      </c>
      <c r="AH92" s="7">
        <f t="shared" ca="1" si="19"/>
        <v>0.08</v>
      </c>
      <c r="AI92" s="4">
        <f t="shared" ca="1" si="22"/>
        <v>0.04</v>
      </c>
      <c r="AJ92" s="4">
        <f t="shared" ca="1" si="20"/>
        <v>-10.16085885899663</v>
      </c>
    </row>
    <row r="93" spans="2:36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23"/>
        <v>0.60107122390378331</v>
      </c>
      <c r="W93" s="4" cm="1">
        <f t="array" aca="1" ref="W93" ca="1">MIN(SUM((P93:U93&lt;V93)+0)+1,6)</f>
        <v>2</v>
      </c>
      <c r="X93" s="4" t="str">
        <f t="shared" ca="1" si="21"/>
        <v>B</v>
      </c>
      <c r="Z93" s="93">
        <v>80.864704132654879</v>
      </c>
      <c r="AA93" s="94">
        <v>8.1598692452692294</v>
      </c>
      <c r="AB93" s="95">
        <v>659.84541227984607</v>
      </c>
      <c r="AF93" s="77"/>
      <c r="AG93" s="4">
        <f t="shared" si="18"/>
        <v>0.01</v>
      </c>
      <c r="AH93" s="7">
        <f t="shared" ca="1" si="19"/>
        <v>0.01</v>
      </c>
      <c r="AI93" s="4">
        <f t="shared" ca="1" si="22"/>
        <v>0</v>
      </c>
      <c r="AJ93" s="4">
        <f t="shared" ca="1" si="20"/>
        <v>0</v>
      </c>
    </row>
    <row r="94" spans="2:36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23"/>
        <v>5.435898130258654E-2</v>
      </c>
      <c r="W94" s="4" cm="1">
        <f t="array" aca="1" ref="W94" ca="1">MIN(SUM((P94:U94&lt;V94)+0)+1,6)</f>
        <v>6</v>
      </c>
      <c r="X94" s="4" t="str">
        <f t="shared" ca="1" si="21"/>
        <v>F</v>
      </c>
      <c r="Z94" s="93">
        <v>47.641729430050354</v>
      </c>
      <c r="AA94" s="94">
        <v>1.2026504189420528E-2</v>
      </c>
      <c r="AB94" s="95">
        <v>0.57296345858173992</v>
      </c>
      <c r="AF94" s="77"/>
      <c r="AG94" s="4">
        <f t="shared" si="18"/>
        <v>0.08</v>
      </c>
      <c r="AH94" s="7" t="str">
        <f t="shared" ca="1" si="19"/>
        <v>N/A</v>
      </c>
      <c r="AI94" s="4">
        <f t="shared" ca="1" si="22"/>
        <v>0</v>
      </c>
      <c r="AJ94" s="4">
        <f t="shared" ca="1" si="20"/>
        <v>0</v>
      </c>
    </row>
    <row r="95" spans="2:36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23"/>
        <v>0.56588649255377887</v>
      </c>
      <c r="W95" s="4" cm="1">
        <f t="array" aca="1" ref="W95" ca="1">MIN(SUM((P95:U95&lt;V95)+0)+1,6)</f>
        <v>6</v>
      </c>
      <c r="X95" s="4" t="str">
        <f t="shared" ca="1" si="21"/>
        <v>F</v>
      </c>
      <c r="Z95" s="93">
        <v>27.892599466123869</v>
      </c>
      <c r="AA95" s="94">
        <v>2.5937053053895949</v>
      </c>
      <c r="AB95" s="95">
        <v>72.345183216392456</v>
      </c>
      <c r="AF95" s="77"/>
      <c r="AG95" s="4">
        <f t="shared" si="18"/>
        <v>0.04</v>
      </c>
      <c r="AH95" s="7" t="str">
        <f t="shared" ca="1" si="19"/>
        <v>N/A</v>
      </c>
      <c r="AI95" s="4">
        <f t="shared" ca="1" si="22"/>
        <v>0</v>
      </c>
      <c r="AJ95" s="4">
        <f t="shared" ca="1" si="20"/>
        <v>0</v>
      </c>
    </row>
    <row r="96" spans="2:36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23"/>
        <v>0.29355202102847033</v>
      </c>
      <c r="W96" s="4" cm="1">
        <f t="array" aca="1" ref="W96" ca="1">MIN(SUM((P96:U96&lt;V96)+0)+1,6)</f>
        <v>1</v>
      </c>
      <c r="X96" s="4" t="str">
        <f t="shared" ca="1" si="21"/>
        <v>A</v>
      </c>
      <c r="Z96" s="93">
        <v>67.106419204318897</v>
      </c>
      <c r="AA96" s="94">
        <v>9.6544124807289879</v>
      </c>
      <c r="AB96" s="95">
        <v>647.87305110320779</v>
      </c>
      <c r="AF96" s="77"/>
      <c r="AG96" s="4">
        <f t="shared" si="18"/>
        <v>5.0000000000000001E-3</v>
      </c>
      <c r="AH96" s="7">
        <f t="shared" ca="1" si="19"/>
        <v>5.0000000000000001E-3</v>
      </c>
      <c r="AI96" s="4">
        <f t="shared" ca="1" si="22"/>
        <v>0</v>
      </c>
      <c r="AJ96" s="4">
        <f t="shared" ca="1" si="20"/>
        <v>0</v>
      </c>
    </row>
    <row r="97" spans="2:36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23"/>
        <v>0.86376405844436177</v>
      </c>
      <c r="W97" s="4" cm="1">
        <f t="array" aca="1" ref="W97" ca="1">MIN(SUM((P97:U97&lt;V97)+0)+1,6)</f>
        <v>3</v>
      </c>
      <c r="X97" s="4" t="str">
        <f t="shared" ca="1" si="21"/>
        <v>C_</v>
      </c>
      <c r="Z97" s="93">
        <v>88.907176996272412</v>
      </c>
      <c r="AA97" s="94">
        <v>8.5336396769490115</v>
      </c>
      <c r="AB97" s="95">
        <v>758.70181318091863</v>
      </c>
      <c r="AF97" s="77"/>
      <c r="AG97" s="4">
        <f t="shared" si="18"/>
        <v>0.01</v>
      </c>
      <c r="AH97" s="7">
        <f t="shared" ca="1" si="19"/>
        <v>0.02</v>
      </c>
      <c r="AI97" s="4">
        <f t="shared" ca="1" si="22"/>
        <v>0.01</v>
      </c>
      <c r="AJ97" s="4">
        <f t="shared" ca="1" si="20"/>
        <v>-7.5870181318091863</v>
      </c>
    </row>
    <row r="98" spans="2:36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23"/>
        <v>0.84779281253063088</v>
      </c>
      <c r="W98" s="4" cm="1">
        <f t="array" aca="1" ref="W98" ca="1">MIN(SUM((P98:U98&lt;V98)+0)+1,6)</f>
        <v>5</v>
      </c>
      <c r="X98" s="4" t="str">
        <f t="shared" ca="1" si="21"/>
        <v>E</v>
      </c>
      <c r="Z98" s="93">
        <v>47.654324325615626</v>
      </c>
      <c r="AA98" s="94">
        <v>8.4951872297418731</v>
      </c>
      <c r="AB98" s="95">
        <v>404.83240745294739</v>
      </c>
      <c r="AF98" s="77"/>
      <c r="AG98" s="4">
        <f t="shared" si="18"/>
        <v>0.01</v>
      </c>
      <c r="AH98" s="7">
        <f t="shared" ca="1" si="19"/>
        <v>0.08</v>
      </c>
      <c r="AI98" s="4">
        <f t="shared" ca="1" si="22"/>
        <v>7.0000000000000007E-2</v>
      </c>
      <c r="AJ98" s="4">
        <f t="shared" ca="1" si="20"/>
        <v>-28.338268521706322</v>
      </c>
    </row>
    <row r="99" spans="2:36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23"/>
        <v>7.7073283939627091E-3</v>
      </c>
      <c r="W99" s="4" cm="1">
        <f t="array" aca="1" ref="W99" ca="1">MIN(SUM((P99:U99&lt;V99)+0)+1,6)</f>
        <v>2</v>
      </c>
      <c r="X99" s="4" t="str">
        <f t="shared" ca="1" si="21"/>
        <v>B</v>
      </c>
      <c r="Z99" s="93">
        <v>47.441377081877768</v>
      </c>
      <c r="AA99" s="94">
        <v>7.4091104969574344</v>
      </c>
      <c r="AB99" s="95">
        <v>351.49840492745642</v>
      </c>
      <c r="AF99" s="77"/>
      <c r="AG99" s="4">
        <f t="shared" si="18"/>
        <v>0.02</v>
      </c>
      <c r="AH99" s="7">
        <f t="shared" ca="1" si="19"/>
        <v>0.01</v>
      </c>
      <c r="AI99" s="4">
        <f t="shared" ca="1" si="22"/>
        <v>-0.01</v>
      </c>
      <c r="AJ99" s="4">
        <f t="shared" ca="1" si="20"/>
        <v>3.5149840492745641</v>
      </c>
    </row>
    <row r="100" spans="2:36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23"/>
        <v>0.1405963676812384</v>
      </c>
      <c r="W100" s="4" cm="1">
        <f t="array" aca="1" ref="W100" ca="1">MIN(SUM((P100:U100&lt;V100)+0)+1,6)</f>
        <v>4</v>
      </c>
      <c r="X100" s="4" t="str">
        <f t="shared" ca="1" si="21"/>
        <v>D</v>
      </c>
      <c r="Z100" s="93">
        <v>58.929210125533857</v>
      </c>
      <c r="AA100" s="94">
        <v>5.3269695800033627</v>
      </c>
      <c r="AB100" s="95">
        <v>313.91410971234501</v>
      </c>
      <c r="AF100" s="77"/>
      <c r="AG100" s="4">
        <f t="shared" si="18"/>
        <v>0.08</v>
      </c>
      <c r="AH100" s="7">
        <f t="shared" ca="1" si="19"/>
        <v>0.04</v>
      </c>
      <c r="AI100" s="4">
        <f t="shared" ca="1" si="22"/>
        <v>-0.04</v>
      </c>
      <c r="AJ100" s="4">
        <f t="shared" ca="1" si="20"/>
        <v>12.556564388493801</v>
      </c>
    </row>
    <row r="101" spans="2:36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23"/>
        <v>0.98221306526612162</v>
      </c>
      <c r="W101" s="4" cm="1">
        <f t="array" aca="1" ref="W101" ca="1">MIN(SUM((P101:U101&lt;V101)+0)+1,6)</f>
        <v>6</v>
      </c>
      <c r="X101" s="4" t="str">
        <f t="shared" ca="1" si="21"/>
        <v>F</v>
      </c>
      <c r="Z101" s="93">
        <v>11.092231390635309</v>
      </c>
      <c r="AA101" s="94">
        <v>2.0084027892347884</v>
      </c>
      <c r="AB101" s="95">
        <v>22.277668463789631</v>
      </c>
      <c r="AF101" s="77"/>
      <c r="AG101" s="4">
        <f t="shared" si="18"/>
        <v>0.08</v>
      </c>
      <c r="AH101" s="7" t="str">
        <f t="shared" ca="1" si="19"/>
        <v>N/A</v>
      </c>
      <c r="AI101" s="4">
        <f t="shared" ca="1" si="22"/>
        <v>0</v>
      </c>
      <c r="AJ101" s="4">
        <f t="shared" ca="1" si="20"/>
        <v>0</v>
      </c>
    </row>
    <row r="102" spans="2:36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23"/>
        <v>0.60627051572352897</v>
      </c>
      <c r="W102" s="4" cm="1">
        <f t="array" aca="1" ref="W102" ca="1">MIN(SUM((P102:U102&lt;V102)+0)+1,6)</f>
        <v>6</v>
      </c>
      <c r="X102" s="4" t="str">
        <f t="shared" ca="1" si="21"/>
        <v>F</v>
      </c>
      <c r="Z102" s="93">
        <v>76.097769585438584</v>
      </c>
      <c r="AA102" s="94">
        <v>3.3711337325898234</v>
      </c>
      <c r="AB102" s="95">
        <v>256.53575802431993</v>
      </c>
      <c r="AF102" s="77"/>
      <c r="AG102" s="4">
        <f t="shared" si="18"/>
        <v>0.02</v>
      </c>
      <c r="AH102" s="7" t="str">
        <f t="shared" ca="1" si="19"/>
        <v>N/A</v>
      </c>
      <c r="AI102" s="4">
        <f t="shared" ca="1" si="22"/>
        <v>0</v>
      </c>
      <c r="AJ102" s="4">
        <f t="shared" ca="1" si="20"/>
        <v>0</v>
      </c>
    </row>
    <row r="103" spans="2:36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23"/>
        <v>0.70136813245467522</v>
      </c>
      <c r="W103" s="4" cm="1">
        <f t="array" aca="1" ref="W103" ca="1">MIN(SUM((P103:U103&lt;V103)+0)+1,6)</f>
        <v>5</v>
      </c>
      <c r="X103" s="4" t="str">
        <f t="shared" ca="1" si="21"/>
        <v>E</v>
      </c>
      <c r="Z103" s="93">
        <v>81.022779930552375</v>
      </c>
      <c r="AA103" s="94">
        <v>5.1587719180004612</v>
      </c>
      <c r="AB103" s="95">
        <v>417.97804182406497</v>
      </c>
      <c r="AF103" s="77"/>
      <c r="AG103" s="4">
        <f t="shared" si="18"/>
        <v>0.02</v>
      </c>
      <c r="AH103" s="7">
        <f t="shared" ca="1" si="19"/>
        <v>0.08</v>
      </c>
      <c r="AI103" s="4">
        <f t="shared" ca="1" si="22"/>
        <v>0.06</v>
      </c>
      <c r="AJ103" s="4">
        <f t="shared" ca="1" si="20"/>
        <v>-25.078682509443897</v>
      </c>
    </row>
    <row r="104" spans="2:36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23"/>
        <v>0.63740202520542621</v>
      </c>
      <c r="W104" s="4" cm="1">
        <f t="array" aca="1" ref="W104" ca="1">MIN(SUM((P104:U104&lt;V104)+0)+1,6)</f>
        <v>6</v>
      </c>
      <c r="X104" s="4" t="str">
        <f t="shared" ca="1" si="21"/>
        <v>F</v>
      </c>
      <c r="Z104" s="93">
        <v>42.636145159749503</v>
      </c>
      <c r="AA104" s="94">
        <v>1.1133427327017777</v>
      </c>
      <c r="AB104" s="95">
        <v>47.468642364025186</v>
      </c>
      <c r="AF104" s="77"/>
      <c r="AG104" s="4">
        <f t="shared" si="18"/>
        <v>0.04</v>
      </c>
      <c r="AH104" s="7" t="str">
        <f t="shared" ca="1" si="19"/>
        <v>N/A</v>
      </c>
      <c r="AI104" s="4">
        <f t="shared" ca="1" si="22"/>
        <v>0</v>
      </c>
      <c r="AJ104" s="4">
        <f t="shared" ca="1" si="20"/>
        <v>0</v>
      </c>
    </row>
    <row r="105" spans="2:36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23"/>
        <v>0.77626731238315738</v>
      </c>
      <c r="W105" s="4" cm="1">
        <f t="array" aca="1" ref="W105" ca="1">MIN(SUM((P105:U105&lt;V105)+0)+1,6)</f>
        <v>6</v>
      </c>
      <c r="X105" s="4" t="str">
        <f t="shared" ca="1" si="21"/>
        <v>F</v>
      </c>
      <c r="Z105" s="93">
        <v>17.533405807868935</v>
      </c>
      <c r="AA105" s="94">
        <v>2.5759835494768506</v>
      </c>
      <c r="AB105" s="95">
        <v>45.165764927372244</v>
      </c>
      <c r="AF105" s="77"/>
      <c r="AG105" s="4">
        <f t="shared" si="18"/>
        <v>0.04</v>
      </c>
      <c r="AH105" s="7" t="str">
        <f t="shared" ca="1" si="19"/>
        <v>N/A</v>
      </c>
      <c r="AI105" s="4">
        <f t="shared" ca="1" si="22"/>
        <v>0</v>
      </c>
      <c r="AJ105" s="4">
        <f t="shared" ca="1" si="20"/>
        <v>0</v>
      </c>
    </row>
    <row r="106" spans="2:36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23"/>
        <v>0.62904666850240853</v>
      </c>
      <c r="W106" s="4" cm="1">
        <f t="array" aca="1" ref="W106" ca="1">MIN(SUM((P106:U106&lt;V106)+0)+1,6)</f>
        <v>4</v>
      </c>
      <c r="X106" s="4" t="str">
        <f t="shared" ca="1" si="21"/>
        <v>D</v>
      </c>
      <c r="Z106" s="93">
        <v>41.515905431460766</v>
      </c>
      <c r="AA106" s="94">
        <v>7.8158847513967515</v>
      </c>
      <c r="AB106" s="95">
        <v>324.48353220218377</v>
      </c>
      <c r="AF106" s="77"/>
      <c r="AG106" s="4">
        <f t="shared" si="18"/>
        <v>0.02</v>
      </c>
      <c r="AH106" s="7">
        <f t="shared" ca="1" si="19"/>
        <v>0.04</v>
      </c>
      <c r="AI106" s="4">
        <f t="shared" ca="1" si="22"/>
        <v>0.02</v>
      </c>
      <c r="AJ106" s="4">
        <f t="shared" ca="1" si="20"/>
        <v>-6.4896706440436756</v>
      </c>
    </row>
    <row r="107" spans="2:36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23"/>
        <v>0.17133494844065067</v>
      </c>
      <c r="W107" s="4" cm="1">
        <f t="array" aca="1" ref="W107" ca="1">MIN(SUM((P107:U107&lt;V107)+0)+1,6)</f>
        <v>4</v>
      </c>
      <c r="X107" s="4" t="str">
        <f t="shared" ca="1" si="21"/>
        <v>D</v>
      </c>
      <c r="Z107" s="93">
        <v>83.136272627126687</v>
      </c>
      <c r="AA107" s="94">
        <v>6.6269269721391648</v>
      </c>
      <c r="AB107" s="95">
        <v>550.93800743582074</v>
      </c>
      <c r="AF107" s="77"/>
      <c r="AG107" s="4">
        <f t="shared" si="18"/>
        <v>0.04</v>
      </c>
      <c r="AH107" s="7">
        <f t="shared" ca="1" si="19"/>
        <v>0.04</v>
      </c>
      <c r="AI107" s="4">
        <f t="shared" ca="1" si="22"/>
        <v>0</v>
      </c>
      <c r="AJ107" s="4">
        <f t="shared" ca="1" si="20"/>
        <v>0</v>
      </c>
    </row>
    <row r="108" spans="2:36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23"/>
        <v>4.3274031412551706E-2</v>
      </c>
      <c r="W108" s="4" cm="1">
        <f t="array" aca="1" ref="W108" ca="1">MIN(SUM((P108:U108&lt;V108)+0)+1,6)</f>
        <v>1</v>
      </c>
      <c r="X108" s="4" t="str">
        <f t="shared" ca="1" si="21"/>
        <v>A</v>
      </c>
      <c r="Z108" s="93">
        <v>10.212803353244038</v>
      </c>
      <c r="AA108" s="94">
        <v>10.648524912587206</v>
      </c>
      <c r="AB108" s="95">
        <v>108.75129093437329</v>
      </c>
      <c r="AF108" s="77"/>
      <c r="AG108" s="4">
        <f t="shared" si="18"/>
        <v>5.0000000000000001E-3</v>
      </c>
      <c r="AH108" s="7">
        <f t="shared" ca="1" si="19"/>
        <v>5.0000000000000001E-3</v>
      </c>
      <c r="AI108" s="4">
        <f t="shared" ca="1" si="22"/>
        <v>0</v>
      </c>
      <c r="AJ108" s="4">
        <f t="shared" ca="1" si="20"/>
        <v>0</v>
      </c>
    </row>
    <row r="109" spans="2:36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23"/>
        <v>0.76285361667017326</v>
      </c>
      <c r="W109" s="4" cm="1">
        <f t="array" aca="1" ref="W109" ca="1">MIN(SUM((P109:U109&lt;V109)+0)+1,6)</f>
        <v>5</v>
      </c>
      <c r="X109" s="4" t="str">
        <f t="shared" ca="1" si="21"/>
        <v>E</v>
      </c>
      <c r="Z109" s="93">
        <v>41.373074335162165</v>
      </c>
      <c r="AA109" s="94">
        <v>7.3745421523699548</v>
      </c>
      <c r="AB109" s="95">
        <v>305.10748065778893</v>
      </c>
      <c r="AF109" s="77"/>
      <c r="AG109" s="4">
        <f t="shared" si="18"/>
        <v>0.02</v>
      </c>
      <c r="AH109" s="7">
        <f t="shared" ca="1" si="19"/>
        <v>0.08</v>
      </c>
      <c r="AI109" s="4">
        <f t="shared" ca="1" si="22"/>
        <v>0.06</v>
      </c>
      <c r="AJ109" s="4">
        <f t="shared" ca="1" si="20"/>
        <v>-18.306448839467336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F2E01-B121-C342-87F2-F98151792B9D}">
  <sheetPr codeName="Sheet11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260</v>
      </c>
    </row>
    <row r="2" spans="1:1" x14ac:dyDescent="0.3">
      <c r="A2" s="99" t="s">
        <v>261</v>
      </c>
    </row>
    <row r="3" spans="1:1" x14ac:dyDescent="0.3">
      <c r="A3" s="99" t="s">
        <v>266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A4877-26F8-804B-835D-C4421F2CCE8B}">
  <sheetPr codeName="Sheet12">
    <tabColor rgb="FFFF0000"/>
  </sheetPr>
  <dimension ref="B2:D7"/>
  <sheetViews>
    <sheetView workbookViewId="0"/>
  </sheetViews>
  <sheetFormatPr baseColWidth="10" defaultRowHeight="26" x14ac:dyDescent="0.3"/>
  <cols>
    <col min="1" max="16384" width="10.83203125" style="31"/>
  </cols>
  <sheetData>
    <row r="2" spans="2:4" x14ac:dyDescent="0.3">
      <c r="B2" s="32" t="s">
        <v>135</v>
      </c>
      <c r="C2" s="2"/>
      <c r="D2" s="2"/>
    </row>
    <row r="3" spans="2:4" x14ac:dyDescent="0.3">
      <c r="B3" s="2"/>
      <c r="C3" s="32" t="s">
        <v>136</v>
      </c>
      <c r="D3" s="2"/>
    </row>
    <row r="4" spans="2:4" x14ac:dyDescent="0.3">
      <c r="B4" s="2"/>
      <c r="C4" s="2"/>
      <c r="D4" s="32" t="s">
        <v>137</v>
      </c>
    </row>
    <row r="5" spans="2:4" x14ac:dyDescent="0.3">
      <c r="B5" s="2"/>
      <c r="C5" s="2"/>
      <c r="D5" s="32" t="s">
        <v>138</v>
      </c>
    </row>
    <row r="6" spans="2:4" x14ac:dyDescent="0.3">
      <c r="B6" s="2"/>
      <c r="C6" s="2"/>
      <c r="D6" s="32" t="s">
        <v>139</v>
      </c>
    </row>
    <row r="7" spans="2:4" x14ac:dyDescent="0.3">
      <c r="B7" s="2"/>
      <c r="C7" s="32" t="s">
        <v>140</v>
      </c>
      <c r="D7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FF0000"/>
  </sheetPr>
  <dimension ref="B2:E23"/>
  <sheetViews>
    <sheetView workbookViewId="0">
      <selection activeCell="A2" sqref="A2"/>
    </sheetView>
  </sheetViews>
  <sheetFormatPr baseColWidth="10" defaultColWidth="8.83203125" defaultRowHeight="29" x14ac:dyDescent="0.35"/>
  <cols>
    <col min="1" max="1" width="8.83203125" style="1"/>
    <col min="2" max="2" width="13.5" style="1" bestFit="1" customWidth="1"/>
    <col min="3" max="16384" width="8.83203125" style="1"/>
  </cols>
  <sheetData>
    <row r="2" spans="2:5" x14ac:dyDescent="0.35">
      <c r="B2" s="1" t="s">
        <v>19</v>
      </c>
    </row>
    <row r="4" spans="2:5" x14ac:dyDescent="0.35">
      <c r="B4" s="1" t="s">
        <v>18</v>
      </c>
    </row>
    <row r="5" spans="2:5" x14ac:dyDescent="0.35">
      <c r="C5" s="1" t="s">
        <v>17</v>
      </c>
    </row>
    <row r="6" spans="2:5" x14ac:dyDescent="0.35">
      <c r="D6" s="1" t="s">
        <v>16</v>
      </c>
    </row>
    <row r="7" spans="2:5" x14ac:dyDescent="0.35">
      <c r="D7" s="1" t="s">
        <v>15</v>
      </c>
    </row>
    <row r="8" spans="2:5" x14ac:dyDescent="0.35">
      <c r="D8" s="1" t="s">
        <v>14</v>
      </c>
    </row>
    <row r="9" spans="2:5" x14ac:dyDescent="0.35">
      <c r="D9" s="1" t="s">
        <v>13</v>
      </c>
    </row>
    <row r="10" spans="2:5" x14ac:dyDescent="0.35">
      <c r="D10" s="1" t="s">
        <v>12</v>
      </c>
    </row>
    <row r="11" spans="2:5" x14ac:dyDescent="0.35">
      <c r="D11" s="1" t="s">
        <v>11</v>
      </c>
    </row>
    <row r="12" spans="2:5" x14ac:dyDescent="0.35">
      <c r="E12" s="1" t="s">
        <v>10</v>
      </c>
    </row>
    <row r="13" spans="2:5" x14ac:dyDescent="0.35">
      <c r="E13" s="1" t="s">
        <v>9</v>
      </c>
    </row>
    <row r="14" spans="2:5" x14ac:dyDescent="0.35">
      <c r="E14" s="1" t="s">
        <v>8</v>
      </c>
    </row>
    <row r="15" spans="2:5" x14ac:dyDescent="0.35">
      <c r="D15" s="1" t="s">
        <v>7</v>
      </c>
    </row>
    <row r="16" spans="2:5" x14ac:dyDescent="0.35">
      <c r="E16" s="1" t="s">
        <v>6</v>
      </c>
    </row>
    <row r="17" spans="3:5" x14ac:dyDescent="0.35">
      <c r="E17" s="1" t="s">
        <v>5</v>
      </c>
    </row>
    <row r="18" spans="3:5" x14ac:dyDescent="0.35">
      <c r="C18" s="1" t="s">
        <v>4</v>
      </c>
    </row>
    <row r="19" spans="3:5" x14ac:dyDescent="0.35">
      <c r="D19" s="1" t="s">
        <v>3</v>
      </c>
    </row>
    <row r="20" spans="3:5" x14ac:dyDescent="0.35">
      <c r="D20" s="1" t="s">
        <v>2</v>
      </c>
    </row>
    <row r="21" spans="3:5" x14ac:dyDescent="0.35">
      <c r="D21" s="1" t="s">
        <v>1</v>
      </c>
    </row>
    <row r="23" spans="3:5" x14ac:dyDescent="0.35">
      <c r="C23" s="1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61A7-DC04-2943-8E8F-2969455387E4}">
  <sheetPr codeName="Sheet14">
    <tabColor rgb="FFFF0000"/>
  </sheetPr>
  <dimension ref="B2:C13"/>
  <sheetViews>
    <sheetView workbookViewId="0"/>
  </sheetViews>
  <sheetFormatPr baseColWidth="10" defaultRowHeight="29" x14ac:dyDescent="0.35"/>
  <cols>
    <col min="1" max="16384" width="10.83203125" style="33"/>
  </cols>
  <sheetData>
    <row r="2" spans="2:3" x14ac:dyDescent="0.35">
      <c r="B2" s="33" t="s">
        <v>147</v>
      </c>
    </row>
    <row r="5" spans="2:3" x14ac:dyDescent="0.35">
      <c r="B5" s="33" t="s">
        <v>148</v>
      </c>
    </row>
    <row r="6" spans="2:3" x14ac:dyDescent="0.35">
      <c r="C6" s="33" t="s">
        <v>149</v>
      </c>
    </row>
    <row r="7" spans="2:3" x14ac:dyDescent="0.35">
      <c r="C7" s="33" t="s">
        <v>150</v>
      </c>
    </row>
    <row r="8" spans="2:3" x14ac:dyDescent="0.35">
      <c r="C8" s="33" t="s">
        <v>151</v>
      </c>
    </row>
    <row r="10" spans="2:3" x14ac:dyDescent="0.35">
      <c r="B10" s="33" t="s">
        <v>152</v>
      </c>
    </row>
    <row r="11" spans="2:3" x14ac:dyDescent="0.35">
      <c r="C11" s="33" t="s">
        <v>153</v>
      </c>
    </row>
    <row r="12" spans="2:3" x14ac:dyDescent="0.35">
      <c r="C12" s="33" t="s">
        <v>154</v>
      </c>
    </row>
    <row r="13" spans="2:3" x14ac:dyDescent="0.35">
      <c r="C13" s="33" t="s">
        <v>155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2B140-34AE-3A40-AB90-4EEE0EC809DD}">
  <sheetPr codeName="Sheet15">
    <tabColor rgb="FF002060"/>
  </sheetPr>
  <dimension ref="A1:A3"/>
  <sheetViews>
    <sheetView workbookViewId="0">
      <selection sqref="A1:A3"/>
    </sheetView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262</v>
      </c>
    </row>
    <row r="2" spans="1:1" x14ac:dyDescent="0.3">
      <c r="A2" s="99" t="s">
        <v>263</v>
      </c>
    </row>
    <row r="3" spans="1:1" x14ac:dyDescent="0.3">
      <c r="A3" s="99" t="s">
        <v>264</v>
      </c>
    </row>
  </sheetData>
  <phoneticPr fontId="2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0363-80A4-1240-931A-79584F118D1F}">
  <sheetPr codeName="Sheet16">
    <tabColor rgb="FFFF0000"/>
  </sheetPr>
  <dimension ref="A1:L26"/>
  <sheetViews>
    <sheetView workbookViewId="0"/>
  </sheetViews>
  <sheetFormatPr baseColWidth="10" defaultRowHeight="24" x14ac:dyDescent="0.3"/>
  <cols>
    <col min="1" max="2" width="10.83203125" style="61"/>
    <col min="3" max="3" width="11.33203125" style="61" bestFit="1" customWidth="1"/>
    <col min="4" max="12" width="11" style="61" bestFit="1" customWidth="1"/>
    <col min="13" max="16384" width="10.83203125" style="61"/>
  </cols>
  <sheetData>
    <row r="1" spans="1:12" x14ac:dyDescent="0.3">
      <c r="A1" s="61" t="s">
        <v>210</v>
      </c>
    </row>
    <row r="2" spans="1:12" x14ac:dyDescent="0.3">
      <c r="B2" s="61" t="s">
        <v>211</v>
      </c>
    </row>
    <row r="3" spans="1:12" x14ac:dyDescent="0.3">
      <c r="B3" s="113" t="s">
        <v>291</v>
      </c>
    </row>
    <row r="5" spans="1:12" x14ac:dyDescent="0.3">
      <c r="C5" s="61" t="s">
        <v>212</v>
      </c>
    </row>
    <row r="6" spans="1:12" x14ac:dyDescent="0.3">
      <c r="D6" s="61">
        <v>1</v>
      </c>
      <c r="E6" s="61">
        <v>2</v>
      </c>
      <c r="F6" s="61">
        <v>3</v>
      </c>
      <c r="G6" s="61">
        <v>4</v>
      </c>
      <c r="H6" s="61">
        <v>5</v>
      </c>
      <c r="I6" s="61">
        <v>7</v>
      </c>
      <c r="J6" s="61">
        <v>10</v>
      </c>
      <c r="K6" s="61">
        <v>15</v>
      </c>
      <c r="L6" s="61">
        <v>20</v>
      </c>
    </row>
    <row r="7" spans="1:12" x14ac:dyDescent="0.3">
      <c r="C7" s="61" t="s">
        <v>213</v>
      </c>
      <c r="D7" s="62">
        <v>0</v>
      </c>
      <c r="E7" s="62">
        <v>1.0999999999999999E-2</v>
      </c>
      <c r="F7" s="62">
        <v>1.0999999999999999E-2</v>
      </c>
      <c r="G7" s="62">
        <v>3.1E-2</v>
      </c>
      <c r="H7" s="62">
        <v>8.5000000000000006E-2</v>
      </c>
      <c r="I7" s="62">
        <v>0.19500000000000001</v>
      </c>
      <c r="J7" s="62">
        <v>0.38600000000000001</v>
      </c>
      <c r="K7" s="62">
        <v>0.70499999999999996</v>
      </c>
      <c r="L7" s="62">
        <v>0.82399999999999995</v>
      </c>
    </row>
    <row r="8" spans="1:12" x14ac:dyDescent="0.3">
      <c r="C8" s="61" t="s">
        <v>214</v>
      </c>
      <c r="D8" s="62">
        <v>2.1000000000000001E-2</v>
      </c>
      <c r="E8" s="62">
        <v>0.06</v>
      </c>
      <c r="F8" s="62">
        <v>0.11</v>
      </c>
      <c r="G8" s="62">
        <v>0.192</v>
      </c>
      <c r="H8" s="62">
        <v>0.29799999999999999</v>
      </c>
      <c r="I8" s="62">
        <v>0.52500000000000002</v>
      </c>
      <c r="J8" s="62">
        <v>0.77800000000000002</v>
      </c>
      <c r="K8" s="62">
        <v>1.3360000000000001</v>
      </c>
      <c r="L8" s="62">
        <v>2.1509999999999998</v>
      </c>
    </row>
    <row r="9" spans="1:12" x14ac:dyDescent="0.3">
      <c r="C9" s="61" t="s">
        <v>215</v>
      </c>
      <c r="D9" s="62">
        <v>5.5E-2</v>
      </c>
      <c r="E9" s="62">
        <v>0.16500000000000001</v>
      </c>
      <c r="F9" s="62">
        <v>0.34499999999999997</v>
      </c>
      <c r="G9" s="62">
        <v>0.53600000000000003</v>
      </c>
      <c r="H9" s="62">
        <v>0.76600000000000001</v>
      </c>
      <c r="I9" s="62">
        <v>1.2969999999999999</v>
      </c>
      <c r="J9" s="62">
        <v>2.2240000000000002</v>
      </c>
      <c r="K9" s="62">
        <v>3.8759999999999999</v>
      </c>
      <c r="L9" s="62">
        <v>5.7930000000000001</v>
      </c>
    </row>
    <row r="10" spans="1:12" x14ac:dyDescent="0.3">
      <c r="C10" s="61" t="s">
        <v>216</v>
      </c>
      <c r="D10" s="62">
        <v>0.17699999999999999</v>
      </c>
      <c r="E10" s="62">
        <v>0.46100000000000002</v>
      </c>
      <c r="F10" s="62">
        <v>0.80400000000000005</v>
      </c>
      <c r="G10" s="62">
        <v>1.216</v>
      </c>
      <c r="H10" s="62">
        <v>1.6279999999999999</v>
      </c>
      <c r="I10" s="62">
        <v>2.472</v>
      </c>
      <c r="J10" s="62">
        <v>3.9249999999999998</v>
      </c>
      <c r="K10" s="62">
        <v>7.0060000000000002</v>
      </c>
      <c r="L10" s="62">
        <v>10.236000000000001</v>
      </c>
    </row>
    <row r="11" spans="1:12" x14ac:dyDescent="0.3">
      <c r="C11" s="61" t="s">
        <v>217</v>
      </c>
      <c r="D11" s="62">
        <v>0.94499999999999995</v>
      </c>
      <c r="E11" s="62">
        <v>2.5830000000000002</v>
      </c>
      <c r="F11" s="62">
        <v>4.492</v>
      </c>
      <c r="G11" s="62">
        <v>6.5179999999999998</v>
      </c>
      <c r="H11" s="62">
        <v>8.3919999999999995</v>
      </c>
      <c r="I11" s="62">
        <v>11.667</v>
      </c>
      <c r="J11" s="62">
        <v>16.283000000000001</v>
      </c>
      <c r="K11" s="62">
        <v>23.576000000000001</v>
      </c>
      <c r="L11" s="62">
        <v>29.733000000000001</v>
      </c>
    </row>
    <row r="12" spans="1:12" x14ac:dyDescent="0.3">
      <c r="C12" s="61" t="s">
        <v>218</v>
      </c>
      <c r="D12" s="62">
        <v>3.573</v>
      </c>
      <c r="E12" s="62">
        <v>8.4359999999999999</v>
      </c>
      <c r="F12" s="62">
        <v>13.377000000000001</v>
      </c>
      <c r="G12" s="62">
        <v>17.827999999999999</v>
      </c>
      <c r="H12" s="62">
        <v>21.908000000000001</v>
      </c>
      <c r="I12" s="62">
        <v>28.856999999999999</v>
      </c>
      <c r="J12" s="62">
        <v>36.177</v>
      </c>
      <c r="K12" s="62">
        <v>43.658000000000001</v>
      </c>
      <c r="L12" s="62">
        <v>48.643999999999998</v>
      </c>
    </row>
    <row r="13" spans="1:12" x14ac:dyDescent="0.3">
      <c r="C13" s="61" t="s">
        <v>219</v>
      </c>
      <c r="D13" s="62">
        <v>10.624000000000001</v>
      </c>
      <c r="E13" s="62">
        <v>18.670000000000002</v>
      </c>
      <c r="F13" s="62">
        <v>25.443000000000001</v>
      </c>
      <c r="G13" s="62">
        <v>30.974</v>
      </c>
      <c r="H13" s="62">
        <v>35.542999999999999</v>
      </c>
      <c r="I13" s="62">
        <v>42.131999999999998</v>
      </c>
      <c r="J13" s="62">
        <v>50.258000000000003</v>
      </c>
      <c r="K13" s="62">
        <v>53.377000000000002</v>
      </c>
      <c r="L13" s="62">
        <v>53.93</v>
      </c>
    </row>
    <row r="16" spans="1:12" x14ac:dyDescent="0.3">
      <c r="C16" s="63" t="s">
        <v>220</v>
      </c>
      <c r="D16" s="63" t="s">
        <v>221</v>
      </c>
    </row>
    <row r="17" spans="3:4" x14ac:dyDescent="0.3">
      <c r="C17" s="63" t="s">
        <v>222</v>
      </c>
      <c r="D17" s="63">
        <v>3</v>
      </c>
    </row>
    <row r="19" spans="3:4" x14ac:dyDescent="0.3">
      <c r="C19" s="64" t="s">
        <v>223</v>
      </c>
    </row>
    <row r="20" spans="3:4" x14ac:dyDescent="0.3">
      <c r="C20" s="65">
        <f>(F13-E13)/100</f>
        <v>6.7729999999999999E-2</v>
      </c>
    </row>
    <row r="22" spans="3:4" x14ac:dyDescent="0.3">
      <c r="C22" s="61" t="s">
        <v>224</v>
      </c>
    </row>
    <row r="23" spans="3:4" x14ac:dyDescent="0.3">
      <c r="C23" s="66">
        <f>1-E13/100</f>
        <v>0.81330000000000002</v>
      </c>
    </row>
    <row r="25" spans="3:4" x14ac:dyDescent="0.3">
      <c r="C25" s="61" t="s">
        <v>225</v>
      </c>
    </row>
    <row r="26" spans="3:4" x14ac:dyDescent="0.3">
      <c r="C26" s="66">
        <f>C20/C23</f>
        <v>8.3278003196852329E-2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02E7-E061-A24D-B784-CB6AA0BDA011}">
  <sheetPr codeName="Sheet17">
    <tabColor rgb="FFFF0000"/>
  </sheetPr>
  <dimension ref="B2:G21"/>
  <sheetViews>
    <sheetView workbookViewId="0"/>
  </sheetViews>
  <sheetFormatPr baseColWidth="10" defaultRowHeight="26" x14ac:dyDescent="0.3"/>
  <cols>
    <col min="1" max="16384" width="10.83203125" style="67"/>
  </cols>
  <sheetData>
    <row r="2" spans="2:7" x14ac:dyDescent="0.3">
      <c r="B2" s="67" t="s">
        <v>211</v>
      </c>
    </row>
    <row r="3" spans="2:7" x14ac:dyDescent="0.3">
      <c r="B3" s="113" t="s">
        <v>291</v>
      </c>
    </row>
    <row r="5" spans="2:7" x14ac:dyDescent="0.3">
      <c r="B5" s="67" t="s">
        <v>226</v>
      </c>
    </row>
    <row r="7" spans="2:7" x14ac:dyDescent="0.3">
      <c r="C7" s="68" t="s">
        <v>227</v>
      </c>
    </row>
    <row r="9" spans="2:7" x14ac:dyDescent="0.3">
      <c r="C9" s="68" t="s">
        <v>228</v>
      </c>
    </row>
    <row r="10" spans="2:7" x14ac:dyDescent="0.3">
      <c r="C10" s="69">
        <v>1.4999999999999999E-2</v>
      </c>
    </row>
    <row r="12" spans="2:7" x14ac:dyDescent="0.3">
      <c r="B12" s="70" t="s">
        <v>229</v>
      </c>
      <c r="C12" s="67">
        <v>1</v>
      </c>
      <c r="D12" s="67">
        <v>2</v>
      </c>
      <c r="E12" s="67">
        <v>3</v>
      </c>
      <c r="F12" s="67">
        <v>4</v>
      </c>
      <c r="G12" s="67">
        <v>5</v>
      </c>
    </row>
    <row r="14" spans="2:7" x14ac:dyDescent="0.3">
      <c r="C14" s="67" t="s">
        <v>230</v>
      </c>
    </row>
    <row r="15" spans="2:7" x14ac:dyDescent="0.3">
      <c r="C15" s="71" cm="1">
        <f t="array" ref="C15:G15">1 - EXP(-avg_hazard_rate*t)</f>
        <v>1.4888060396937353E-2</v>
      </c>
      <c r="D15" s="72">
        <v>2.9554466451491845E-2</v>
      </c>
      <c r="E15" s="72">
        <v>4.400251816690004E-2</v>
      </c>
      <c r="F15" s="72">
        <v>5.823546641575128E-2</v>
      </c>
      <c r="G15" s="72">
        <v>7.2256513671447142E-2</v>
      </c>
    </row>
    <row r="17" spans="3:7" x14ac:dyDescent="0.3">
      <c r="C17" s="67" t="s">
        <v>231</v>
      </c>
    </row>
    <row r="18" spans="3:7" x14ac:dyDescent="0.3">
      <c r="C18" s="72">
        <f>C15-B15</f>
        <v>1.4888060396937353E-2</v>
      </c>
      <c r="D18" s="72">
        <f t="shared" ref="D18:G18" si="0">D15-C15</f>
        <v>1.4666406054554493E-2</v>
      </c>
      <c r="E18" s="72">
        <f t="shared" si="0"/>
        <v>1.4448051715408194E-2</v>
      </c>
      <c r="F18" s="72">
        <f t="shared" si="0"/>
        <v>1.423294824885124E-2</v>
      </c>
      <c r="G18" s="72">
        <f t="shared" si="0"/>
        <v>1.4021047255695862E-2</v>
      </c>
    </row>
    <row r="20" spans="3:7" x14ac:dyDescent="0.3">
      <c r="C20" s="67" t="s">
        <v>232</v>
      </c>
    </row>
    <row r="21" spans="3:7" x14ac:dyDescent="0.3">
      <c r="C21" s="72">
        <f>C18/(1-B15)</f>
        <v>1.4888060396937353E-2</v>
      </c>
      <c r="D21" s="72">
        <f>D18/(1-C15)</f>
        <v>1.4888060396937347E-2</v>
      </c>
      <c r="E21" s="72">
        <f t="shared" ref="E21:G21" si="1">E18/(1-D15)</f>
        <v>1.4888060396937261E-2</v>
      </c>
      <c r="F21" s="72">
        <f t="shared" si="1"/>
        <v>1.4888060396937382E-2</v>
      </c>
      <c r="G21" s="72">
        <f t="shared" si="1"/>
        <v>1.4888060396937386E-2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A287A-6D9F-C74A-90BA-192FB6D7B6DF}">
  <sheetPr codeName="Sheet18">
    <tabColor rgb="FF7030A0"/>
  </sheetPr>
  <dimension ref="A1:G23"/>
  <sheetViews>
    <sheetView workbookViewId="0"/>
  </sheetViews>
  <sheetFormatPr baseColWidth="10" defaultRowHeight="26" x14ac:dyDescent="0.3"/>
  <cols>
    <col min="1" max="1" width="10.83203125" style="67"/>
    <col min="2" max="2" width="48.6640625" style="67" bestFit="1" customWidth="1"/>
    <col min="3" max="16384" width="10.83203125" style="67"/>
  </cols>
  <sheetData>
    <row r="1" spans="1:7" x14ac:dyDescent="0.3">
      <c r="A1" s="67" t="s">
        <v>210</v>
      </c>
    </row>
    <row r="2" spans="1:7" x14ac:dyDescent="0.3">
      <c r="B2" s="67" t="s">
        <v>211</v>
      </c>
    </row>
    <row r="3" spans="1:7" x14ac:dyDescent="0.3">
      <c r="B3" s="113" t="s">
        <v>292</v>
      </c>
      <c r="G3" s="106"/>
    </row>
    <row r="5" spans="1:7" x14ac:dyDescent="0.3">
      <c r="B5" s="67" t="s">
        <v>282</v>
      </c>
    </row>
    <row r="7" spans="1:7" x14ac:dyDescent="0.3">
      <c r="B7" s="67" t="s">
        <v>280</v>
      </c>
    </row>
    <row r="9" spans="1:7" x14ac:dyDescent="0.3">
      <c r="B9" s="67" t="s">
        <v>281</v>
      </c>
    </row>
    <row r="11" spans="1:7" x14ac:dyDescent="0.3">
      <c r="B11" s="67" t="s">
        <v>283</v>
      </c>
    </row>
    <row r="13" spans="1:7" x14ac:dyDescent="0.3">
      <c r="B13" s="67" t="s">
        <v>284</v>
      </c>
    </row>
    <row r="15" spans="1:7" x14ac:dyDescent="0.3">
      <c r="B15" s="67" t="s">
        <v>285</v>
      </c>
    </row>
    <row r="17" spans="2:2" x14ac:dyDescent="0.3">
      <c r="B17" s="67" t="s">
        <v>286</v>
      </c>
    </row>
    <row r="19" spans="2:2" x14ac:dyDescent="0.3">
      <c r="B19" s="67" t="s">
        <v>233</v>
      </c>
    </row>
    <row r="21" spans="2:2" ht="29" x14ac:dyDescent="0.3">
      <c r="B21" s="67" t="s">
        <v>287</v>
      </c>
    </row>
    <row r="23" spans="2:2" ht="29" x14ac:dyDescent="0.3">
      <c r="B23" s="67" t="s">
        <v>288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72CC-2EA5-B043-AF1B-83FB41E5C170}">
  <sheetPr codeName="Sheet19">
    <tabColor rgb="FF00B050"/>
  </sheetPr>
  <dimension ref="B2:C12"/>
  <sheetViews>
    <sheetView workbookViewId="0"/>
  </sheetViews>
  <sheetFormatPr baseColWidth="10" defaultRowHeight="26" x14ac:dyDescent="0.3"/>
  <cols>
    <col min="1" max="16384" width="10.83203125" style="58"/>
  </cols>
  <sheetData>
    <row r="2" spans="2:3" x14ac:dyDescent="0.3">
      <c r="B2" s="58" t="s">
        <v>209</v>
      </c>
    </row>
    <row r="5" spans="2:3" x14ac:dyDescent="0.3">
      <c r="B5" s="58" t="s">
        <v>244</v>
      </c>
    </row>
    <row r="7" spans="2:3" x14ac:dyDescent="0.3">
      <c r="C7" s="58" t="s">
        <v>205</v>
      </c>
    </row>
    <row r="8" spans="2:3" x14ac:dyDescent="0.3">
      <c r="C8" s="59" t="s">
        <v>206</v>
      </c>
    </row>
    <row r="9" spans="2:3" x14ac:dyDescent="0.3">
      <c r="C9" s="59" t="s">
        <v>207</v>
      </c>
    </row>
    <row r="11" spans="2:3" x14ac:dyDescent="0.3">
      <c r="C11" s="58" t="s">
        <v>208</v>
      </c>
    </row>
    <row r="12" spans="2:3" x14ac:dyDescent="0.3">
      <c r="C12" s="58" t="s">
        <v>245</v>
      </c>
    </row>
  </sheetData>
  <hyperlinks>
    <hyperlink ref="C8" r:id="rId1" xr:uid="{E45DF117-D7A0-E945-BA9B-53E4DF5BCF71}"/>
    <hyperlink ref="C9" r:id="rId2" xr:uid="{745A4E49-5341-3B4D-AE56-643D40AA5F2D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7207B-C8FD-D745-90C4-2E4CEA5105F3}">
  <sheetPr codeName="Sheet20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74"/>
    <col min="3" max="3" width="19.83203125" style="74" bestFit="1" customWidth="1"/>
    <col min="4" max="16384" width="10.83203125" style="74"/>
  </cols>
  <sheetData>
    <row r="2" spans="2:4" x14ac:dyDescent="0.3">
      <c r="C2" s="74" t="s">
        <v>237</v>
      </c>
      <c r="D2" s="74" t="s">
        <v>238</v>
      </c>
    </row>
    <row r="3" spans="2:4" x14ac:dyDescent="0.3">
      <c r="B3" s="74">
        <v>1</v>
      </c>
      <c r="C3" s="74" t="s">
        <v>191</v>
      </c>
      <c r="D3" s="74">
        <v>4</v>
      </c>
    </row>
    <row r="4" spans="2:4" x14ac:dyDescent="0.3">
      <c r="B4" s="74">
        <v>2</v>
      </c>
      <c r="C4" s="74" t="s">
        <v>211</v>
      </c>
      <c r="D4" s="74">
        <v>3</v>
      </c>
    </row>
    <row r="5" spans="2:4" x14ac:dyDescent="0.3">
      <c r="B5" s="74">
        <v>3</v>
      </c>
      <c r="C5" s="74" t="s">
        <v>134</v>
      </c>
      <c r="D5" s="74">
        <v>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C48AB-A66E-6243-BF92-F98BCC6BD061}">
  <sheetPr codeName="Sheet21">
    <tabColor rgb="FFFFFF00"/>
  </sheetPr>
  <dimension ref="B2:B9"/>
  <sheetViews>
    <sheetView workbookViewId="0"/>
  </sheetViews>
  <sheetFormatPr baseColWidth="10" defaultRowHeight="26" x14ac:dyDescent="0.3"/>
  <cols>
    <col min="1" max="16384" width="10.83203125" style="60"/>
  </cols>
  <sheetData>
    <row r="2" spans="2:2" x14ac:dyDescent="0.3">
      <c r="B2" s="60" t="s">
        <v>201</v>
      </c>
    </row>
    <row r="3" spans="2:2" x14ac:dyDescent="0.3">
      <c r="B3" s="60" t="s">
        <v>203</v>
      </c>
    </row>
    <row r="4" spans="2:2" x14ac:dyDescent="0.3">
      <c r="B4" s="60" t="s">
        <v>202</v>
      </c>
    </row>
    <row r="6" spans="2:2" x14ac:dyDescent="0.3">
      <c r="B6" s="60" t="s">
        <v>204</v>
      </c>
    </row>
    <row r="8" spans="2:2" x14ac:dyDescent="0.3">
      <c r="B8" s="60" t="s">
        <v>236</v>
      </c>
    </row>
    <row r="9" spans="2:2" x14ac:dyDescent="0.3">
      <c r="B9" s="7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F89B-D3CE-EA4F-B19D-39EFC2EE3FDD}">
  <sheetPr codeName="Sheet22">
    <tabColor rgb="FFFFFF00"/>
  </sheetPr>
  <dimension ref="B2:D24"/>
  <sheetViews>
    <sheetView workbookViewId="0"/>
  </sheetViews>
  <sheetFormatPr baseColWidth="10" defaultRowHeight="24" x14ac:dyDescent="0.3"/>
  <cols>
    <col min="1" max="16384" width="10.83203125" style="75"/>
  </cols>
  <sheetData>
    <row r="2" spans="2:4" x14ac:dyDescent="0.3">
      <c r="B2" s="75" t="s">
        <v>239</v>
      </c>
    </row>
    <row r="3" spans="2:4" x14ac:dyDescent="0.3">
      <c r="B3" s="75" t="s">
        <v>234</v>
      </c>
    </row>
    <row r="5" spans="2:4" x14ac:dyDescent="0.3">
      <c r="B5" s="75" t="s">
        <v>242</v>
      </c>
    </row>
    <row r="6" spans="2:4" x14ac:dyDescent="0.3">
      <c r="B6" s="75">
        <v>1</v>
      </c>
      <c r="C6" s="75">
        <v>2</v>
      </c>
      <c r="D6" s="75">
        <v>3</v>
      </c>
    </row>
    <row r="7" spans="2:4" x14ac:dyDescent="0.3">
      <c r="B7" s="76"/>
      <c r="C7" s="76"/>
      <c r="D7" s="76"/>
    </row>
    <row r="9" spans="2:4" x14ac:dyDescent="0.3">
      <c r="B9" s="75" t="s">
        <v>243</v>
      </c>
    </row>
    <row r="10" spans="2:4" x14ac:dyDescent="0.3">
      <c r="B10" s="75">
        <v>1</v>
      </c>
      <c r="C10" s="75">
        <v>2</v>
      </c>
      <c r="D10" s="75">
        <v>3</v>
      </c>
    </row>
    <row r="11" spans="2:4" x14ac:dyDescent="0.3">
      <c r="B11" s="76"/>
      <c r="C11" s="76"/>
      <c r="D11" s="76"/>
    </row>
    <row r="13" spans="2:4" x14ac:dyDescent="0.3">
      <c r="B13" s="75" t="s">
        <v>235</v>
      </c>
    </row>
    <row r="14" spans="2:4" x14ac:dyDescent="0.3">
      <c r="B14" s="75">
        <v>1</v>
      </c>
      <c r="C14" s="75">
        <v>2</v>
      </c>
      <c r="D14" s="75">
        <v>3</v>
      </c>
    </row>
    <row r="15" spans="2:4" x14ac:dyDescent="0.3">
      <c r="B15" s="76"/>
      <c r="C15" s="76"/>
      <c r="D15" s="76"/>
    </row>
    <row r="17" spans="2:2" x14ac:dyDescent="0.3">
      <c r="B17" s="75" t="s">
        <v>265</v>
      </c>
    </row>
    <row r="18" spans="2:2" x14ac:dyDescent="0.3">
      <c r="B18" s="76"/>
    </row>
    <row r="20" spans="2:2" x14ac:dyDescent="0.3">
      <c r="B20" s="75" t="s">
        <v>240</v>
      </c>
    </row>
    <row r="21" spans="2:2" x14ac:dyDescent="0.3">
      <c r="B21" s="76"/>
    </row>
    <row r="23" spans="2:2" x14ac:dyDescent="0.3">
      <c r="B23" s="75" t="s">
        <v>241</v>
      </c>
    </row>
    <row r="24" spans="2:2" x14ac:dyDescent="0.3">
      <c r="B24" s="7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5DF66-9B08-234A-A268-B801DCF258B3}">
  <sheetPr>
    <tabColor rgb="FFFFFF00"/>
  </sheetPr>
  <dimension ref="B2:I118"/>
  <sheetViews>
    <sheetView workbookViewId="0"/>
  </sheetViews>
  <sheetFormatPr baseColWidth="10" defaultRowHeight="26" x14ac:dyDescent="0.3"/>
  <cols>
    <col min="1" max="1" width="10.83203125" style="100"/>
    <col min="2" max="2" width="24.33203125" style="100" customWidth="1"/>
    <col min="3" max="3" width="15.83203125" style="100" customWidth="1"/>
    <col min="4" max="4" width="16.83203125" style="100" bestFit="1" customWidth="1"/>
    <col min="5" max="5" width="10.6640625" style="100" bestFit="1" customWidth="1"/>
    <col min="6" max="6" width="13.83203125" style="100" bestFit="1" customWidth="1"/>
    <col min="7" max="7" width="10.83203125" style="100"/>
    <col min="8" max="8" width="5" style="100" bestFit="1" customWidth="1"/>
    <col min="9" max="9" width="11.1640625" style="100" bestFit="1" customWidth="1"/>
    <col min="10" max="11" width="10.83203125" style="100"/>
    <col min="12" max="12" width="20.5" style="100" bestFit="1" customWidth="1"/>
    <col min="13" max="13" width="15.83203125" style="100" bestFit="1" customWidth="1"/>
    <col min="14" max="14" width="16.6640625" style="100" customWidth="1"/>
    <col min="15" max="15" width="10.6640625" style="100" bestFit="1" customWidth="1"/>
    <col min="16" max="16" width="13.83203125" style="100" bestFit="1" customWidth="1"/>
    <col min="17" max="17" width="13.83203125" style="100" customWidth="1"/>
    <col min="18" max="18" width="5" style="100" bestFit="1" customWidth="1"/>
    <col min="19" max="16384" width="10.83203125" style="100"/>
  </cols>
  <sheetData>
    <row r="2" spans="2:3" x14ac:dyDescent="0.3">
      <c r="B2" s="100" t="s">
        <v>267</v>
      </c>
    </row>
    <row r="4" spans="2:3" x14ac:dyDescent="0.3">
      <c r="B4" s="100" t="s">
        <v>271</v>
      </c>
    </row>
    <row r="5" spans="2:3" x14ac:dyDescent="0.3">
      <c r="C5" s="100" t="s">
        <v>272</v>
      </c>
    </row>
    <row r="6" spans="2:3" x14ac:dyDescent="0.3">
      <c r="C6" s="100" t="s">
        <v>273</v>
      </c>
    </row>
    <row r="7" spans="2:3" x14ac:dyDescent="0.3">
      <c r="C7" s="100" t="s">
        <v>274</v>
      </c>
    </row>
    <row r="9" spans="2:3" x14ac:dyDescent="0.3">
      <c r="B9" s="100" t="s">
        <v>275</v>
      </c>
    </row>
    <row r="11" spans="2:3" x14ac:dyDescent="0.3">
      <c r="B11" s="100" t="s">
        <v>268</v>
      </c>
    </row>
    <row r="12" spans="2:3" x14ac:dyDescent="0.3">
      <c r="C12" s="100" t="s">
        <v>276</v>
      </c>
    </row>
    <row r="13" spans="2:3" x14ac:dyDescent="0.3">
      <c r="C13" s="100" t="s">
        <v>270</v>
      </c>
    </row>
    <row r="14" spans="2:3" x14ac:dyDescent="0.3">
      <c r="C14" s="100" t="s">
        <v>279</v>
      </c>
    </row>
    <row r="15" spans="2:3" x14ac:dyDescent="0.3">
      <c r="C15" s="100" t="s">
        <v>269</v>
      </c>
    </row>
    <row r="18" spans="2:9" x14ac:dyDescent="0.3">
      <c r="B18" s="100" t="s">
        <v>132</v>
      </c>
      <c r="C18" s="100" t="s">
        <v>130</v>
      </c>
      <c r="D18" s="100" t="s">
        <v>129</v>
      </c>
      <c r="E18" s="101" t="s">
        <v>277</v>
      </c>
      <c r="F18" s="101" t="s">
        <v>278</v>
      </c>
      <c r="G18" s="101"/>
      <c r="I18" s="100" t="s">
        <v>143</v>
      </c>
    </row>
    <row r="19" spans="2:9" x14ac:dyDescent="0.3">
      <c r="B19" s="100" t="s">
        <v>128</v>
      </c>
      <c r="C19" s="103" t="s">
        <v>31</v>
      </c>
      <c r="D19" s="103" t="s">
        <v>27</v>
      </c>
      <c r="E19" s="104">
        <v>10.673013145704154</v>
      </c>
      <c r="F19" s="104">
        <v>1.7497901246812495</v>
      </c>
      <c r="G19" s="102"/>
      <c r="H19" s="100" t="s">
        <v>23</v>
      </c>
      <c r="I19" s="103">
        <v>5.0000000000000001E-3</v>
      </c>
    </row>
    <row r="20" spans="2:9" x14ac:dyDescent="0.3">
      <c r="B20" s="100" t="s">
        <v>127</v>
      </c>
      <c r="C20" s="103" t="s">
        <v>31</v>
      </c>
      <c r="D20" s="103" t="s">
        <v>31</v>
      </c>
      <c r="E20" s="104">
        <v>2.5606243888729812</v>
      </c>
      <c r="F20" s="104">
        <v>1.6008965353124227</v>
      </c>
      <c r="G20" s="102"/>
      <c r="H20" s="100" t="s">
        <v>36</v>
      </c>
      <c r="I20" s="103">
        <v>0.01</v>
      </c>
    </row>
    <row r="21" spans="2:9" x14ac:dyDescent="0.3">
      <c r="B21" s="100" t="s">
        <v>126</v>
      </c>
      <c r="C21" s="103" t="s">
        <v>247</v>
      </c>
      <c r="D21" s="103" t="s">
        <v>20</v>
      </c>
      <c r="E21" s="104">
        <v>58.804908867291857</v>
      </c>
      <c r="F21" s="104">
        <v>4.7460632020199638</v>
      </c>
      <c r="G21" s="102"/>
      <c r="H21" s="100" t="s">
        <v>247</v>
      </c>
      <c r="I21" s="103">
        <v>0.02</v>
      </c>
    </row>
    <row r="22" spans="2:9" x14ac:dyDescent="0.3">
      <c r="B22" s="100" t="s">
        <v>125</v>
      </c>
      <c r="C22" s="103" t="s">
        <v>31</v>
      </c>
      <c r="D22" s="103" t="s">
        <v>27</v>
      </c>
      <c r="E22" s="104">
        <v>24.607431614139085</v>
      </c>
      <c r="F22" s="104">
        <v>0.95233035662693055</v>
      </c>
      <c r="G22" s="102"/>
      <c r="H22" s="100" t="s">
        <v>20</v>
      </c>
      <c r="I22" s="103">
        <v>0.04</v>
      </c>
    </row>
    <row r="23" spans="2:9" x14ac:dyDescent="0.3">
      <c r="B23" s="100" t="s">
        <v>124</v>
      </c>
      <c r="C23" s="103" t="s">
        <v>20</v>
      </c>
      <c r="D23" s="103" t="s">
        <v>20</v>
      </c>
      <c r="E23" s="104">
        <v>24.722189816403031</v>
      </c>
      <c r="F23" s="104">
        <v>5.766175289002847</v>
      </c>
      <c r="G23" s="102"/>
      <c r="H23" s="100" t="s">
        <v>31</v>
      </c>
      <c r="I23" s="103">
        <v>0.08</v>
      </c>
    </row>
    <row r="24" spans="2:9" x14ac:dyDescent="0.3">
      <c r="B24" s="100" t="s">
        <v>123</v>
      </c>
      <c r="C24" s="103" t="s">
        <v>31</v>
      </c>
      <c r="D24" s="103" t="s">
        <v>31</v>
      </c>
      <c r="E24" s="104">
        <v>37.052271681490453</v>
      </c>
      <c r="F24" s="104">
        <v>2.8185263363175022</v>
      </c>
      <c r="G24" s="102"/>
      <c r="H24" s="100" t="s">
        <v>27</v>
      </c>
      <c r="I24" s="105" t="s">
        <v>200</v>
      </c>
    </row>
    <row r="25" spans="2:9" x14ac:dyDescent="0.3">
      <c r="B25" s="100" t="s">
        <v>122</v>
      </c>
      <c r="C25" s="103" t="s">
        <v>23</v>
      </c>
      <c r="D25" s="103" t="s">
        <v>23</v>
      </c>
      <c r="E25" s="104">
        <v>47.572339013902202</v>
      </c>
      <c r="F25" s="104">
        <v>12.140810396750751</v>
      </c>
      <c r="G25" s="102"/>
    </row>
    <row r="26" spans="2:9" x14ac:dyDescent="0.3">
      <c r="B26" s="100" t="s">
        <v>121</v>
      </c>
      <c r="C26" s="103" t="s">
        <v>23</v>
      </c>
      <c r="D26" s="103" t="s">
        <v>247</v>
      </c>
      <c r="E26" s="104">
        <v>63.072409722402483</v>
      </c>
      <c r="F26" s="104">
        <v>6.5946679043847158</v>
      </c>
      <c r="G26" s="102"/>
    </row>
    <row r="27" spans="2:9" x14ac:dyDescent="0.3">
      <c r="B27" s="100" t="s">
        <v>120</v>
      </c>
      <c r="C27" s="103" t="s">
        <v>36</v>
      </c>
      <c r="D27" s="103" t="s">
        <v>247</v>
      </c>
      <c r="E27" s="104">
        <v>41.70919526009834</v>
      </c>
      <c r="F27" s="104">
        <v>8.3089796612688289</v>
      </c>
      <c r="G27" s="102"/>
    </row>
    <row r="28" spans="2:9" x14ac:dyDescent="0.3">
      <c r="B28" s="100" t="s">
        <v>118</v>
      </c>
      <c r="C28" s="103" t="s">
        <v>20</v>
      </c>
      <c r="D28" s="103" t="s">
        <v>247</v>
      </c>
      <c r="E28" s="104">
        <v>61.505034402199158</v>
      </c>
      <c r="F28" s="104">
        <v>7.6356683028837518</v>
      </c>
      <c r="G28" s="102"/>
    </row>
    <row r="29" spans="2:9" x14ac:dyDescent="0.3">
      <c r="B29" s="100" t="s">
        <v>116</v>
      </c>
      <c r="C29" s="103" t="s">
        <v>36</v>
      </c>
      <c r="D29" s="103" t="s">
        <v>247</v>
      </c>
      <c r="E29" s="104">
        <v>19.904808876585744</v>
      </c>
      <c r="F29" s="104">
        <v>6.6946667336530048</v>
      </c>
      <c r="G29" s="102"/>
    </row>
    <row r="30" spans="2:9" x14ac:dyDescent="0.3">
      <c r="B30" s="100" t="s">
        <v>115</v>
      </c>
      <c r="C30" s="103" t="s">
        <v>247</v>
      </c>
      <c r="D30" s="103" t="s">
        <v>31</v>
      </c>
      <c r="E30" s="104">
        <v>86.418877315151377</v>
      </c>
      <c r="F30" s="104">
        <v>1.3745676483124634</v>
      </c>
      <c r="G30" s="102"/>
    </row>
    <row r="31" spans="2:9" x14ac:dyDescent="0.3">
      <c r="B31" s="100" t="s">
        <v>114</v>
      </c>
      <c r="C31" s="103" t="s">
        <v>247</v>
      </c>
      <c r="D31" s="103" t="s">
        <v>247</v>
      </c>
      <c r="E31" s="104">
        <v>117.85647039277308</v>
      </c>
      <c r="F31" s="104">
        <v>7.6872642428709641</v>
      </c>
      <c r="G31" s="102"/>
    </row>
    <row r="32" spans="2:9" x14ac:dyDescent="0.3">
      <c r="B32" s="100" t="s">
        <v>113</v>
      </c>
      <c r="C32" s="103" t="s">
        <v>247</v>
      </c>
      <c r="D32" s="103" t="s">
        <v>20</v>
      </c>
      <c r="E32" s="104">
        <v>96.768727511957849</v>
      </c>
      <c r="F32" s="104">
        <v>8.1760551702608648</v>
      </c>
      <c r="G32" s="102"/>
    </row>
    <row r="33" spans="2:7" x14ac:dyDescent="0.3">
      <c r="B33" s="100" t="s">
        <v>112</v>
      </c>
      <c r="C33" s="103" t="s">
        <v>36</v>
      </c>
      <c r="D33" s="103" t="s">
        <v>23</v>
      </c>
      <c r="E33" s="104">
        <v>11.254861688298204</v>
      </c>
      <c r="F33" s="104">
        <v>12.995388844397931</v>
      </c>
      <c r="G33" s="102"/>
    </row>
    <row r="34" spans="2:7" x14ac:dyDescent="0.3">
      <c r="B34" s="100" t="s">
        <v>111</v>
      </c>
      <c r="C34" s="103" t="s">
        <v>31</v>
      </c>
      <c r="D34" s="103" t="s">
        <v>27</v>
      </c>
      <c r="E34" s="104">
        <v>19.998531924745045</v>
      </c>
      <c r="F34" s="104">
        <v>1.9200138250413685</v>
      </c>
      <c r="G34" s="102"/>
    </row>
    <row r="35" spans="2:7" x14ac:dyDescent="0.3">
      <c r="B35" s="100" t="s">
        <v>110</v>
      </c>
      <c r="C35" s="103" t="s">
        <v>20</v>
      </c>
      <c r="D35" s="103" t="s">
        <v>20</v>
      </c>
      <c r="E35" s="104">
        <v>35.790472123865221</v>
      </c>
      <c r="F35" s="104">
        <v>4.8062506338105706</v>
      </c>
      <c r="G35" s="102"/>
    </row>
    <row r="36" spans="2:7" x14ac:dyDescent="0.3">
      <c r="B36" s="100" t="s">
        <v>109</v>
      </c>
      <c r="C36" s="103" t="s">
        <v>36</v>
      </c>
      <c r="D36" s="103" t="s">
        <v>36</v>
      </c>
      <c r="E36" s="104">
        <v>47.415199955820704</v>
      </c>
      <c r="F36" s="104">
        <v>5.3367589400978801</v>
      </c>
      <c r="G36" s="102"/>
    </row>
    <row r="37" spans="2:7" x14ac:dyDescent="0.3">
      <c r="B37" s="100" t="s">
        <v>108</v>
      </c>
      <c r="C37" s="103" t="s">
        <v>20</v>
      </c>
      <c r="D37" s="103" t="s">
        <v>20</v>
      </c>
      <c r="E37" s="104">
        <v>22.940178539920645</v>
      </c>
      <c r="F37" s="104">
        <v>5.8207173073001552</v>
      </c>
      <c r="G37" s="102"/>
    </row>
    <row r="38" spans="2:7" x14ac:dyDescent="0.3">
      <c r="B38" s="100" t="s">
        <v>107</v>
      </c>
      <c r="C38" s="103" t="s">
        <v>247</v>
      </c>
      <c r="D38" s="103" t="s">
        <v>31</v>
      </c>
      <c r="E38" s="104">
        <v>53.150462013608944</v>
      </c>
      <c r="F38" s="104">
        <v>4.9916805266132531</v>
      </c>
      <c r="G38" s="102"/>
    </row>
    <row r="39" spans="2:7" x14ac:dyDescent="0.3">
      <c r="B39" s="100" t="s">
        <v>105</v>
      </c>
      <c r="C39" s="103" t="s">
        <v>31</v>
      </c>
      <c r="D39" s="103" t="s">
        <v>20</v>
      </c>
      <c r="E39" s="104">
        <v>103.03257286836812</v>
      </c>
      <c r="F39" s="104">
        <v>6.6434173713677156</v>
      </c>
      <c r="G39" s="102"/>
    </row>
    <row r="40" spans="2:7" x14ac:dyDescent="0.3">
      <c r="B40" s="100" t="s">
        <v>104</v>
      </c>
      <c r="C40" s="103" t="s">
        <v>31</v>
      </c>
      <c r="D40" s="103" t="s">
        <v>27</v>
      </c>
      <c r="E40" s="104">
        <v>30.253514448123614</v>
      </c>
      <c r="F40" s="104">
        <v>1.0377927851930915</v>
      </c>
      <c r="G40" s="102"/>
    </row>
    <row r="41" spans="2:7" x14ac:dyDescent="0.3">
      <c r="B41" s="100" t="s">
        <v>103</v>
      </c>
      <c r="C41" s="103" t="s">
        <v>31</v>
      </c>
      <c r="D41" s="103" t="s">
        <v>20</v>
      </c>
      <c r="E41" s="104">
        <v>22.617760066323303</v>
      </c>
      <c r="F41" s="104">
        <v>6.2223957643676897</v>
      </c>
      <c r="G41" s="102"/>
    </row>
    <row r="42" spans="2:7" x14ac:dyDescent="0.3">
      <c r="B42" s="100" t="s">
        <v>102</v>
      </c>
      <c r="C42" s="103" t="s">
        <v>23</v>
      </c>
      <c r="D42" s="103" t="s">
        <v>23</v>
      </c>
      <c r="E42" s="104">
        <v>62.43163665824018</v>
      </c>
      <c r="F42" s="104">
        <v>11.266756055696856</v>
      </c>
      <c r="G42" s="102"/>
    </row>
    <row r="43" spans="2:7" x14ac:dyDescent="0.3">
      <c r="B43" s="100" t="s">
        <v>101</v>
      </c>
      <c r="C43" s="103" t="s">
        <v>23</v>
      </c>
      <c r="D43" s="103" t="s">
        <v>23</v>
      </c>
      <c r="E43" s="104">
        <v>20.236871136332972</v>
      </c>
      <c r="F43" s="104">
        <v>8.5738568557863157</v>
      </c>
      <c r="G43" s="102"/>
    </row>
    <row r="44" spans="2:7" x14ac:dyDescent="0.3">
      <c r="B44" s="100" t="s">
        <v>100</v>
      </c>
      <c r="C44" s="103" t="s">
        <v>20</v>
      </c>
      <c r="D44" s="103" t="s">
        <v>31</v>
      </c>
      <c r="E44" s="104">
        <v>65.581737355983591</v>
      </c>
      <c r="F44" s="104">
        <v>1.818979739841341</v>
      </c>
      <c r="G44" s="102"/>
    </row>
    <row r="45" spans="2:7" x14ac:dyDescent="0.3">
      <c r="B45" s="100" t="s">
        <v>99</v>
      </c>
      <c r="C45" s="103" t="s">
        <v>247</v>
      </c>
      <c r="D45" s="103" t="s">
        <v>20</v>
      </c>
      <c r="E45" s="104">
        <v>50.59679052487639</v>
      </c>
      <c r="F45" s="104">
        <v>5.440297711105333</v>
      </c>
      <c r="G45" s="102"/>
    </row>
    <row r="46" spans="2:7" x14ac:dyDescent="0.3">
      <c r="B46" s="100" t="s">
        <v>98</v>
      </c>
      <c r="C46" s="103" t="s">
        <v>31</v>
      </c>
      <c r="D46" s="103" t="s">
        <v>27</v>
      </c>
      <c r="E46" s="104">
        <v>45.323048685810541</v>
      </c>
      <c r="F46" s="104">
        <v>0.41145765313700478</v>
      </c>
      <c r="G46" s="102"/>
    </row>
    <row r="47" spans="2:7" x14ac:dyDescent="0.3">
      <c r="B47" s="100" t="s">
        <v>97</v>
      </c>
      <c r="C47" s="103" t="s">
        <v>36</v>
      </c>
      <c r="D47" s="103" t="s">
        <v>36</v>
      </c>
      <c r="E47" s="104">
        <v>68.986984963914935</v>
      </c>
      <c r="F47" s="104">
        <v>8.949429425464885</v>
      </c>
      <c r="G47" s="102"/>
    </row>
    <row r="48" spans="2:7" x14ac:dyDescent="0.3">
      <c r="B48" s="100" t="s">
        <v>96</v>
      </c>
      <c r="C48" s="103" t="s">
        <v>23</v>
      </c>
      <c r="D48" s="103" t="s">
        <v>36</v>
      </c>
      <c r="E48" s="104">
        <v>86.879015760957316</v>
      </c>
      <c r="F48" s="104">
        <v>8.1586012135883212</v>
      </c>
      <c r="G48" s="102"/>
    </row>
    <row r="49" spans="2:7" x14ac:dyDescent="0.3">
      <c r="B49" s="100" t="s">
        <v>95</v>
      </c>
      <c r="C49" s="103" t="s">
        <v>31</v>
      </c>
      <c r="D49" s="103" t="s">
        <v>27</v>
      </c>
      <c r="E49" s="104">
        <v>43.518397565194007</v>
      </c>
      <c r="F49" s="104">
        <v>1.1028487440262806</v>
      </c>
      <c r="G49" s="102"/>
    </row>
    <row r="50" spans="2:7" x14ac:dyDescent="0.3">
      <c r="B50" s="100" t="s">
        <v>94</v>
      </c>
      <c r="C50" s="103" t="s">
        <v>23</v>
      </c>
      <c r="D50" s="103" t="s">
        <v>36</v>
      </c>
      <c r="E50" s="104">
        <v>2.2974794013923225</v>
      </c>
      <c r="F50" s="104">
        <v>11.237545956990607</v>
      </c>
      <c r="G50" s="102"/>
    </row>
    <row r="51" spans="2:7" x14ac:dyDescent="0.3">
      <c r="B51" s="100" t="s">
        <v>93</v>
      </c>
      <c r="C51" s="103" t="s">
        <v>20</v>
      </c>
      <c r="D51" s="103" t="s">
        <v>27</v>
      </c>
      <c r="E51" s="104">
        <v>43.770468026665597</v>
      </c>
      <c r="F51" s="104">
        <v>1.3688132514258204</v>
      </c>
      <c r="G51" s="102"/>
    </row>
    <row r="52" spans="2:7" x14ac:dyDescent="0.3">
      <c r="B52" s="100" t="s">
        <v>92</v>
      </c>
      <c r="C52" s="103" t="s">
        <v>36</v>
      </c>
      <c r="D52" s="103" t="s">
        <v>36</v>
      </c>
      <c r="E52" s="104">
        <v>6.8659550060467414</v>
      </c>
      <c r="F52" s="104">
        <v>9.5952112943944563</v>
      </c>
      <c r="G52" s="102"/>
    </row>
    <row r="53" spans="2:7" x14ac:dyDescent="0.3">
      <c r="B53" s="100" t="s">
        <v>91</v>
      </c>
      <c r="C53" s="103" t="s">
        <v>20</v>
      </c>
      <c r="D53" s="103" t="s">
        <v>31</v>
      </c>
      <c r="E53" s="104">
        <v>17.767013646452124</v>
      </c>
      <c r="F53" s="104">
        <v>2.8688277242566578</v>
      </c>
      <c r="G53" s="102"/>
    </row>
    <row r="54" spans="2:7" x14ac:dyDescent="0.3">
      <c r="B54" s="100" t="s">
        <v>90</v>
      </c>
      <c r="C54" s="103" t="s">
        <v>247</v>
      </c>
      <c r="D54" s="103" t="s">
        <v>36</v>
      </c>
      <c r="E54" s="104">
        <v>8.6141115048029615</v>
      </c>
      <c r="F54" s="104">
        <v>7.874064975120076</v>
      </c>
      <c r="G54" s="102"/>
    </row>
    <row r="55" spans="2:7" x14ac:dyDescent="0.3">
      <c r="B55" s="100" t="s">
        <v>89</v>
      </c>
      <c r="C55" s="103" t="s">
        <v>31</v>
      </c>
      <c r="D55" s="103" t="s">
        <v>31</v>
      </c>
      <c r="E55" s="104">
        <v>17.022295286119803</v>
      </c>
      <c r="F55" s="104">
        <v>3.8707812956078089</v>
      </c>
      <c r="G55" s="102"/>
    </row>
    <row r="56" spans="2:7" x14ac:dyDescent="0.3">
      <c r="B56" s="100" t="s">
        <v>88</v>
      </c>
      <c r="C56" s="103" t="s">
        <v>31</v>
      </c>
      <c r="D56" s="103" t="s">
        <v>27</v>
      </c>
      <c r="E56" s="104">
        <v>19.589381574995894</v>
      </c>
      <c r="F56" s="104">
        <v>3.0186617516002787</v>
      </c>
      <c r="G56" s="102"/>
    </row>
    <row r="57" spans="2:7" x14ac:dyDescent="0.3">
      <c r="B57" s="100" t="s">
        <v>87</v>
      </c>
      <c r="C57" s="103" t="s">
        <v>36</v>
      </c>
      <c r="D57" s="103" t="s">
        <v>36</v>
      </c>
      <c r="E57" s="104">
        <v>58.165148267612238</v>
      </c>
      <c r="F57" s="104">
        <v>7.3203764619735203</v>
      </c>
      <c r="G57" s="102"/>
    </row>
    <row r="58" spans="2:7" x14ac:dyDescent="0.3">
      <c r="B58" s="100" t="s">
        <v>86</v>
      </c>
      <c r="C58" s="103" t="s">
        <v>20</v>
      </c>
      <c r="D58" s="103" t="s">
        <v>31</v>
      </c>
      <c r="E58" s="104">
        <v>60.231953477908235</v>
      </c>
      <c r="F58" s="104">
        <v>2.8134740686616615</v>
      </c>
      <c r="G58" s="102"/>
    </row>
    <row r="59" spans="2:7" x14ac:dyDescent="0.3">
      <c r="B59" s="100" t="s">
        <v>85</v>
      </c>
      <c r="C59" s="103" t="s">
        <v>36</v>
      </c>
      <c r="D59" s="103" t="s">
        <v>36</v>
      </c>
      <c r="E59" s="104">
        <v>47.297160187836937</v>
      </c>
      <c r="F59" s="104">
        <v>11.15428544108882</v>
      </c>
      <c r="G59" s="102"/>
    </row>
    <row r="60" spans="2:7" x14ac:dyDescent="0.3">
      <c r="B60" s="100" t="s">
        <v>84</v>
      </c>
      <c r="C60" s="103" t="s">
        <v>247</v>
      </c>
      <c r="D60" s="103" t="s">
        <v>20</v>
      </c>
      <c r="E60" s="104">
        <v>43.978399012256048</v>
      </c>
      <c r="F60" s="104">
        <v>6.9162405797296769</v>
      </c>
      <c r="G60" s="102"/>
    </row>
    <row r="61" spans="2:7" x14ac:dyDescent="0.3">
      <c r="B61" s="100" t="s">
        <v>83</v>
      </c>
      <c r="C61" s="103" t="s">
        <v>36</v>
      </c>
      <c r="D61" s="103" t="s">
        <v>36</v>
      </c>
      <c r="E61" s="104">
        <v>117.5099292822534</v>
      </c>
      <c r="F61" s="104">
        <v>8.1185390784094391</v>
      </c>
      <c r="G61" s="102"/>
    </row>
    <row r="62" spans="2:7" x14ac:dyDescent="0.3">
      <c r="B62" s="100" t="s">
        <v>82</v>
      </c>
      <c r="C62" s="103" t="s">
        <v>23</v>
      </c>
      <c r="D62" s="103" t="s">
        <v>23</v>
      </c>
      <c r="E62" s="104">
        <v>39.926889142682967</v>
      </c>
      <c r="F62" s="104">
        <v>15.977119338657095</v>
      </c>
      <c r="G62" s="102"/>
    </row>
    <row r="63" spans="2:7" x14ac:dyDescent="0.3">
      <c r="B63" s="100" t="s">
        <v>81</v>
      </c>
      <c r="C63" s="103" t="s">
        <v>31</v>
      </c>
      <c r="D63" s="103" t="s">
        <v>31</v>
      </c>
      <c r="E63" s="104">
        <v>12.86271886838157</v>
      </c>
      <c r="F63" s="104">
        <v>1.2753806910764951</v>
      </c>
      <c r="G63" s="102"/>
    </row>
    <row r="64" spans="2:7" x14ac:dyDescent="0.3">
      <c r="B64" s="100" t="s">
        <v>80</v>
      </c>
      <c r="C64" s="103" t="s">
        <v>31</v>
      </c>
      <c r="D64" s="103" t="s">
        <v>31</v>
      </c>
      <c r="E64" s="104">
        <v>31.418994984379431</v>
      </c>
      <c r="F64" s="104">
        <v>1.7993576892819514</v>
      </c>
      <c r="G64" s="102"/>
    </row>
    <row r="65" spans="2:7" x14ac:dyDescent="0.3">
      <c r="B65" s="100" t="s">
        <v>79</v>
      </c>
      <c r="C65" s="103" t="s">
        <v>20</v>
      </c>
      <c r="D65" s="103" t="s">
        <v>20</v>
      </c>
      <c r="E65" s="104">
        <v>33.28985230699557</v>
      </c>
      <c r="F65" s="104">
        <v>7.5579796179519088</v>
      </c>
      <c r="G65" s="102"/>
    </row>
    <row r="66" spans="2:7" x14ac:dyDescent="0.3">
      <c r="B66" s="100" t="s">
        <v>78</v>
      </c>
      <c r="C66" s="103" t="s">
        <v>31</v>
      </c>
      <c r="D66" s="103" t="s">
        <v>27</v>
      </c>
      <c r="E66" s="104">
        <v>46.320661672649699</v>
      </c>
      <c r="F66" s="104">
        <v>0.28420224323610049</v>
      </c>
      <c r="G66" s="102"/>
    </row>
    <row r="67" spans="2:7" x14ac:dyDescent="0.3">
      <c r="B67" s="100" t="s">
        <v>77</v>
      </c>
      <c r="C67" s="103" t="s">
        <v>247</v>
      </c>
      <c r="D67" s="103" t="s">
        <v>31</v>
      </c>
      <c r="E67" s="104">
        <v>69.443064377145319</v>
      </c>
      <c r="F67" s="104">
        <v>1.9960809920235929</v>
      </c>
      <c r="G67" s="102"/>
    </row>
    <row r="68" spans="2:7" x14ac:dyDescent="0.3">
      <c r="B68" s="100" t="s">
        <v>76</v>
      </c>
      <c r="C68" s="103" t="s">
        <v>20</v>
      </c>
      <c r="D68" s="103" t="s">
        <v>20</v>
      </c>
      <c r="E68" s="104">
        <v>17.912017783560248</v>
      </c>
      <c r="F68" s="104">
        <v>5.7791971890192313</v>
      </c>
      <c r="G68" s="102"/>
    </row>
    <row r="69" spans="2:7" x14ac:dyDescent="0.3">
      <c r="B69" s="100" t="s">
        <v>75</v>
      </c>
      <c r="C69" s="103" t="s">
        <v>31</v>
      </c>
      <c r="D69" s="103" t="s">
        <v>27</v>
      </c>
      <c r="E69" s="104">
        <v>27.836828342244036</v>
      </c>
      <c r="F69" s="104">
        <v>1.6993036983136922</v>
      </c>
      <c r="G69" s="102"/>
    </row>
    <row r="70" spans="2:7" x14ac:dyDescent="0.3">
      <c r="B70" s="100" t="s">
        <v>74</v>
      </c>
      <c r="C70" s="103" t="s">
        <v>36</v>
      </c>
      <c r="D70" s="103" t="s">
        <v>20</v>
      </c>
      <c r="E70" s="104">
        <v>72.230098394453464</v>
      </c>
      <c r="F70" s="104">
        <v>7.4341574377421029</v>
      </c>
      <c r="G70" s="102"/>
    </row>
    <row r="71" spans="2:7" x14ac:dyDescent="0.3">
      <c r="B71" s="100" t="s">
        <v>73</v>
      </c>
      <c r="C71" s="103" t="s">
        <v>31</v>
      </c>
      <c r="D71" s="103" t="s">
        <v>27</v>
      </c>
      <c r="E71" s="104">
        <v>2.5513967513318643</v>
      </c>
      <c r="F71" s="104">
        <v>1.4986685933064696</v>
      </c>
      <c r="G71" s="102"/>
    </row>
    <row r="72" spans="2:7" x14ac:dyDescent="0.3">
      <c r="B72" s="100" t="s">
        <v>72</v>
      </c>
      <c r="C72" s="103" t="s">
        <v>20</v>
      </c>
      <c r="D72" s="103" t="s">
        <v>31</v>
      </c>
      <c r="E72" s="104">
        <v>25.667727385055755</v>
      </c>
      <c r="F72" s="104">
        <v>3.3085209530624042</v>
      </c>
      <c r="G72" s="102"/>
    </row>
    <row r="73" spans="2:7" x14ac:dyDescent="0.3">
      <c r="B73" s="100" t="s">
        <v>71</v>
      </c>
      <c r="C73" s="103" t="s">
        <v>36</v>
      </c>
      <c r="D73" s="103" t="s">
        <v>247</v>
      </c>
      <c r="E73" s="104">
        <v>20.262759373845611</v>
      </c>
      <c r="F73" s="104">
        <v>8.0604614782000468</v>
      </c>
      <c r="G73" s="102"/>
    </row>
    <row r="74" spans="2:7" x14ac:dyDescent="0.3">
      <c r="B74" s="100" t="s">
        <v>70</v>
      </c>
      <c r="C74" s="103" t="s">
        <v>36</v>
      </c>
      <c r="D74" s="103" t="s">
        <v>20</v>
      </c>
      <c r="E74" s="104">
        <v>11.947955093115631</v>
      </c>
      <c r="F74" s="104">
        <v>6.9926378422041378</v>
      </c>
      <c r="G74" s="102"/>
    </row>
    <row r="75" spans="2:7" x14ac:dyDescent="0.3">
      <c r="B75" s="100" t="s">
        <v>69</v>
      </c>
      <c r="C75" s="103" t="s">
        <v>23</v>
      </c>
      <c r="D75" s="103" t="s">
        <v>247</v>
      </c>
      <c r="E75" s="104">
        <v>34.456824546354426</v>
      </c>
      <c r="F75" s="104">
        <v>7.0418531274400866</v>
      </c>
      <c r="G75" s="102"/>
    </row>
    <row r="76" spans="2:7" x14ac:dyDescent="0.3">
      <c r="B76" s="100" t="s">
        <v>68</v>
      </c>
      <c r="C76" s="103" t="s">
        <v>31</v>
      </c>
      <c r="D76" s="103" t="s">
        <v>27</v>
      </c>
      <c r="E76" s="104">
        <v>24.161051361057325</v>
      </c>
      <c r="F76" s="104">
        <v>1.6767488420168031</v>
      </c>
      <c r="G76" s="102"/>
    </row>
    <row r="77" spans="2:7" x14ac:dyDescent="0.3">
      <c r="B77" s="100" t="s">
        <v>67</v>
      </c>
      <c r="C77" s="103" t="s">
        <v>247</v>
      </c>
      <c r="D77" s="103" t="s">
        <v>20</v>
      </c>
      <c r="E77" s="104">
        <v>97.49075654905198</v>
      </c>
      <c r="F77" s="104">
        <v>6.5360448838883265</v>
      </c>
      <c r="G77" s="102"/>
    </row>
    <row r="78" spans="2:7" x14ac:dyDescent="0.3">
      <c r="B78" s="100" t="s">
        <v>66</v>
      </c>
      <c r="C78" s="103" t="s">
        <v>36</v>
      </c>
      <c r="D78" s="103" t="s">
        <v>36</v>
      </c>
      <c r="E78" s="104">
        <v>52.926223885946115</v>
      </c>
      <c r="F78" s="104">
        <v>9.3629090703203524</v>
      </c>
      <c r="G78" s="102"/>
    </row>
    <row r="79" spans="2:7" x14ac:dyDescent="0.3">
      <c r="B79" s="100" t="s">
        <v>65</v>
      </c>
      <c r="C79" s="103" t="s">
        <v>31</v>
      </c>
      <c r="D79" s="103" t="s">
        <v>27</v>
      </c>
      <c r="E79" s="104">
        <v>0.17774564394647768</v>
      </c>
      <c r="F79" s="104">
        <v>1.762509994530308</v>
      </c>
      <c r="G79" s="102"/>
    </row>
    <row r="80" spans="2:7" x14ac:dyDescent="0.3">
      <c r="B80" s="100" t="s">
        <v>64</v>
      </c>
      <c r="C80" s="103" t="s">
        <v>36</v>
      </c>
      <c r="D80" s="103" t="s">
        <v>247</v>
      </c>
      <c r="E80" s="104">
        <v>153.93777123731508</v>
      </c>
      <c r="F80" s="104">
        <v>7.1971481397870685</v>
      </c>
      <c r="G80" s="102"/>
    </row>
    <row r="81" spans="2:7" x14ac:dyDescent="0.3">
      <c r="B81" s="100" t="s">
        <v>63</v>
      </c>
      <c r="C81" s="103" t="s">
        <v>247</v>
      </c>
      <c r="D81" s="103" t="s">
        <v>247</v>
      </c>
      <c r="E81" s="104">
        <v>19.061086753751059</v>
      </c>
      <c r="F81" s="104">
        <v>5.6129049333892054</v>
      </c>
      <c r="G81" s="102"/>
    </row>
    <row r="82" spans="2:7" x14ac:dyDescent="0.3">
      <c r="B82" s="100" t="s">
        <v>62</v>
      </c>
      <c r="C82" s="103" t="s">
        <v>36</v>
      </c>
      <c r="D82" s="103" t="s">
        <v>36</v>
      </c>
      <c r="E82" s="104">
        <v>17.264063098790025</v>
      </c>
      <c r="F82" s="104">
        <v>11.962213410288269</v>
      </c>
      <c r="G82" s="102"/>
    </row>
    <row r="83" spans="2:7" x14ac:dyDescent="0.3">
      <c r="B83" s="100" t="s">
        <v>61</v>
      </c>
      <c r="C83" s="103" t="s">
        <v>23</v>
      </c>
      <c r="D83" s="103" t="s">
        <v>36</v>
      </c>
      <c r="E83" s="104">
        <v>105.11467048075065</v>
      </c>
      <c r="F83" s="104">
        <v>8.6746769451836627</v>
      </c>
      <c r="G83" s="102"/>
    </row>
    <row r="84" spans="2:7" x14ac:dyDescent="0.3">
      <c r="B84" s="100" t="s">
        <v>60</v>
      </c>
      <c r="C84" s="103" t="s">
        <v>20</v>
      </c>
      <c r="D84" s="103" t="s">
        <v>247</v>
      </c>
      <c r="E84" s="104">
        <v>117.7268121136954</v>
      </c>
      <c r="F84" s="104">
        <v>6.449671824844585</v>
      </c>
      <c r="G84" s="102"/>
    </row>
    <row r="85" spans="2:7" x14ac:dyDescent="0.3">
      <c r="B85" s="100" t="s">
        <v>59</v>
      </c>
      <c r="C85" s="103" t="s">
        <v>20</v>
      </c>
      <c r="D85" s="103" t="s">
        <v>20</v>
      </c>
      <c r="E85" s="104">
        <v>13.210825727821414</v>
      </c>
      <c r="F85" s="104">
        <v>9.615209355980614</v>
      </c>
      <c r="G85" s="102"/>
    </row>
    <row r="86" spans="2:7" x14ac:dyDescent="0.3">
      <c r="B86" s="100" t="s">
        <v>58</v>
      </c>
      <c r="C86" s="103" t="s">
        <v>247</v>
      </c>
      <c r="D86" s="103" t="s">
        <v>20</v>
      </c>
      <c r="E86" s="104">
        <v>14.213938927405207</v>
      </c>
      <c r="F86" s="104">
        <v>7.9613387804090392</v>
      </c>
      <c r="G86" s="102"/>
    </row>
    <row r="87" spans="2:7" x14ac:dyDescent="0.3">
      <c r="B87" s="100" t="s">
        <v>57</v>
      </c>
      <c r="C87" s="103" t="s">
        <v>36</v>
      </c>
      <c r="D87" s="103" t="s">
        <v>23</v>
      </c>
      <c r="E87" s="104">
        <v>21.19360687579443</v>
      </c>
      <c r="F87" s="104">
        <v>12.26704269277597</v>
      </c>
      <c r="G87" s="102"/>
    </row>
    <row r="88" spans="2:7" x14ac:dyDescent="0.3">
      <c r="B88" s="100" t="s">
        <v>56</v>
      </c>
      <c r="C88" s="103" t="s">
        <v>36</v>
      </c>
      <c r="D88" s="103" t="s">
        <v>247</v>
      </c>
      <c r="E88" s="104">
        <v>114.97730877033128</v>
      </c>
      <c r="F88" s="104">
        <v>9.1506547660523605</v>
      </c>
      <c r="G88" s="102"/>
    </row>
    <row r="89" spans="2:7" x14ac:dyDescent="0.3">
      <c r="B89" s="100" t="s">
        <v>55</v>
      </c>
      <c r="C89" s="103" t="s">
        <v>247</v>
      </c>
      <c r="D89" s="103" t="s">
        <v>20</v>
      </c>
      <c r="E89" s="104">
        <v>64.583181732110077</v>
      </c>
      <c r="F89" s="104">
        <v>8.085501798951519</v>
      </c>
      <c r="G89" s="102"/>
    </row>
    <row r="90" spans="2:7" x14ac:dyDescent="0.3">
      <c r="B90" s="100" t="s">
        <v>54</v>
      </c>
      <c r="C90" s="103" t="s">
        <v>31</v>
      </c>
      <c r="D90" s="103" t="s">
        <v>27</v>
      </c>
      <c r="E90" s="104">
        <v>39.045420167140875</v>
      </c>
      <c r="F90" s="104">
        <v>2.3524599391344991</v>
      </c>
      <c r="G90" s="102"/>
    </row>
    <row r="91" spans="2:7" x14ac:dyDescent="0.3">
      <c r="B91" s="100" t="s">
        <v>53</v>
      </c>
      <c r="C91" s="103" t="s">
        <v>23</v>
      </c>
      <c r="D91" s="103" t="s">
        <v>36</v>
      </c>
      <c r="E91" s="104">
        <v>51.049649711368488</v>
      </c>
      <c r="F91" s="104">
        <v>12.810160026520538</v>
      </c>
      <c r="G91" s="102"/>
    </row>
    <row r="92" spans="2:7" x14ac:dyDescent="0.3">
      <c r="B92" s="100" t="s">
        <v>52</v>
      </c>
      <c r="C92" s="103" t="s">
        <v>23</v>
      </c>
      <c r="D92" s="103" t="s">
        <v>23</v>
      </c>
      <c r="E92" s="104">
        <v>11.718214695337778</v>
      </c>
      <c r="F92" s="104">
        <v>5.7940007256350157</v>
      </c>
      <c r="G92" s="102"/>
    </row>
    <row r="93" spans="2:7" x14ac:dyDescent="0.3">
      <c r="B93" s="100" t="s">
        <v>51</v>
      </c>
      <c r="C93" s="103" t="s">
        <v>20</v>
      </c>
      <c r="D93" s="103" t="s">
        <v>20</v>
      </c>
      <c r="E93" s="104">
        <v>128.8262747749138</v>
      </c>
      <c r="F93" s="104">
        <v>6.2271362699903632</v>
      </c>
      <c r="G93" s="102"/>
    </row>
    <row r="94" spans="2:7" x14ac:dyDescent="0.3">
      <c r="B94" s="100" t="s">
        <v>50</v>
      </c>
      <c r="C94" s="103" t="s">
        <v>36</v>
      </c>
      <c r="D94" s="103" t="s">
        <v>36</v>
      </c>
      <c r="E94" s="104">
        <v>79.018592288326502</v>
      </c>
      <c r="F94" s="104">
        <v>7.4274542039117719</v>
      </c>
      <c r="G94" s="102"/>
    </row>
    <row r="95" spans="2:7" x14ac:dyDescent="0.3">
      <c r="B95" s="100" t="s">
        <v>49</v>
      </c>
      <c r="C95" s="103" t="s">
        <v>31</v>
      </c>
      <c r="D95" s="103" t="s">
        <v>27</v>
      </c>
      <c r="E95" s="104">
        <v>22.110732931264756</v>
      </c>
      <c r="F95" s="104">
        <v>2.1787849594651867</v>
      </c>
      <c r="G95" s="102"/>
    </row>
    <row r="96" spans="2:7" x14ac:dyDescent="0.3">
      <c r="B96" s="100" t="s">
        <v>48</v>
      </c>
      <c r="C96" s="103" t="s">
        <v>247</v>
      </c>
      <c r="D96" s="103" t="s">
        <v>31</v>
      </c>
      <c r="E96" s="104">
        <v>16.623874441604954</v>
      </c>
      <c r="F96" s="104">
        <v>1.5700832158046407</v>
      </c>
      <c r="G96" s="102"/>
    </row>
    <row r="97" spans="2:7" x14ac:dyDescent="0.3">
      <c r="B97" s="100" t="s">
        <v>47</v>
      </c>
      <c r="C97" s="103" t="s">
        <v>20</v>
      </c>
      <c r="D97" s="103" t="s">
        <v>31</v>
      </c>
      <c r="E97" s="104">
        <v>47.100822085681209</v>
      </c>
      <c r="F97" s="104">
        <v>2.8855650567652456</v>
      </c>
      <c r="G97" s="102"/>
    </row>
    <row r="98" spans="2:7" x14ac:dyDescent="0.3">
      <c r="B98" s="100" t="s">
        <v>46</v>
      </c>
      <c r="C98" s="103" t="s">
        <v>247</v>
      </c>
      <c r="D98" s="103" t="s">
        <v>36</v>
      </c>
      <c r="E98" s="104">
        <v>0.55089185934113505</v>
      </c>
      <c r="F98" s="104">
        <v>7.9069899741888072</v>
      </c>
      <c r="G98" s="102"/>
    </row>
    <row r="99" spans="2:7" x14ac:dyDescent="0.3">
      <c r="B99" s="100" t="s">
        <v>45</v>
      </c>
      <c r="C99" s="103" t="s">
        <v>31</v>
      </c>
      <c r="D99" s="103" t="s">
        <v>31</v>
      </c>
      <c r="E99" s="104">
        <v>64.980633203897696</v>
      </c>
      <c r="F99" s="104">
        <v>2.1837512798540226</v>
      </c>
      <c r="G99" s="102"/>
    </row>
    <row r="100" spans="2:7" x14ac:dyDescent="0.3">
      <c r="B100" s="100" t="s">
        <v>44</v>
      </c>
      <c r="C100" s="103" t="s">
        <v>247</v>
      </c>
      <c r="D100" s="103" t="s">
        <v>31</v>
      </c>
      <c r="E100" s="104">
        <v>105.63279563876226</v>
      </c>
      <c r="F100" s="104">
        <v>3.6031592767102354</v>
      </c>
      <c r="G100" s="102"/>
    </row>
    <row r="101" spans="2:7" x14ac:dyDescent="0.3">
      <c r="B101" s="100" t="s">
        <v>43</v>
      </c>
      <c r="C101" s="103" t="s">
        <v>20</v>
      </c>
      <c r="D101" s="103" t="s">
        <v>31</v>
      </c>
      <c r="E101" s="104">
        <v>102.31977303818715</v>
      </c>
      <c r="F101" s="104">
        <v>2.9533157507924339</v>
      </c>
      <c r="G101" s="102"/>
    </row>
    <row r="102" spans="2:7" x14ac:dyDescent="0.3">
      <c r="B102" s="100" t="s">
        <v>42</v>
      </c>
      <c r="C102" s="103" t="s">
        <v>36</v>
      </c>
      <c r="D102" s="103" t="s">
        <v>36</v>
      </c>
      <c r="E102" s="104">
        <v>63.808559209469792</v>
      </c>
      <c r="F102" s="104">
        <v>9.6494361161041127</v>
      </c>
      <c r="G102" s="102"/>
    </row>
    <row r="103" spans="2:7" x14ac:dyDescent="0.3">
      <c r="B103" s="100" t="s">
        <v>41</v>
      </c>
      <c r="C103" s="103" t="s">
        <v>31</v>
      </c>
      <c r="D103" s="103" t="s">
        <v>27</v>
      </c>
      <c r="E103" s="104">
        <v>33.588881574343539</v>
      </c>
      <c r="F103" s="104">
        <v>1.9178675756760563E-2</v>
      </c>
      <c r="G103" s="102"/>
    </row>
    <row r="104" spans="2:7" x14ac:dyDescent="0.3">
      <c r="B104" s="100" t="s">
        <v>40</v>
      </c>
      <c r="C104" s="103" t="s">
        <v>20</v>
      </c>
      <c r="D104" s="103" t="s">
        <v>31</v>
      </c>
      <c r="E104" s="104">
        <v>29.42004273151219</v>
      </c>
      <c r="F104" s="104">
        <v>3.1206683495664786</v>
      </c>
      <c r="G104" s="102"/>
    </row>
    <row r="105" spans="2:7" x14ac:dyDescent="0.3">
      <c r="B105" s="100" t="s">
        <v>39</v>
      </c>
      <c r="C105" s="103" t="s">
        <v>23</v>
      </c>
      <c r="D105" s="103" t="s">
        <v>23</v>
      </c>
      <c r="E105" s="104">
        <v>56.355714754996058</v>
      </c>
      <c r="F105" s="104">
        <v>9.6277652894563523</v>
      </c>
      <c r="G105" s="102"/>
    </row>
    <row r="106" spans="2:7" x14ac:dyDescent="0.3">
      <c r="B106" s="100" t="s">
        <v>38</v>
      </c>
      <c r="C106" s="103" t="s">
        <v>36</v>
      </c>
      <c r="D106" s="103" t="s">
        <v>36</v>
      </c>
      <c r="E106" s="104">
        <v>69.343005410779995</v>
      </c>
      <c r="F106" s="104">
        <v>10.067117081075651</v>
      </c>
      <c r="G106" s="102"/>
    </row>
    <row r="107" spans="2:7" x14ac:dyDescent="0.3">
      <c r="B107" s="100" t="s">
        <v>37</v>
      </c>
      <c r="C107" s="103" t="s">
        <v>36</v>
      </c>
      <c r="D107" s="103" t="s">
        <v>247</v>
      </c>
      <c r="E107" s="104">
        <v>36.371480945229145</v>
      </c>
      <c r="F107" s="104">
        <v>7.7190391532281133</v>
      </c>
      <c r="G107" s="102"/>
    </row>
    <row r="108" spans="2:7" x14ac:dyDescent="0.3">
      <c r="B108" s="100" t="s">
        <v>35</v>
      </c>
      <c r="C108" s="103" t="s">
        <v>247</v>
      </c>
      <c r="D108" s="103" t="s">
        <v>247</v>
      </c>
      <c r="E108" s="104">
        <v>38.735035123973887</v>
      </c>
      <c r="F108" s="104">
        <v>6.2874430365500018</v>
      </c>
      <c r="G108" s="102"/>
    </row>
    <row r="109" spans="2:7" x14ac:dyDescent="0.3">
      <c r="B109" s="100" t="s">
        <v>34</v>
      </c>
      <c r="C109" s="103" t="s">
        <v>31</v>
      </c>
      <c r="D109" s="103" t="s">
        <v>20</v>
      </c>
      <c r="E109" s="104">
        <v>78.018659154269841</v>
      </c>
      <c r="F109" s="104">
        <v>6.2302502619566917</v>
      </c>
      <c r="G109" s="102"/>
    </row>
    <row r="110" spans="2:7" x14ac:dyDescent="0.3">
      <c r="B110" s="100" t="s">
        <v>33</v>
      </c>
      <c r="C110" s="103" t="s">
        <v>31</v>
      </c>
      <c r="D110" s="103" t="s">
        <v>27</v>
      </c>
      <c r="E110" s="104">
        <v>10.023618200671615</v>
      </c>
      <c r="F110" s="104">
        <v>1.3225461133359739</v>
      </c>
      <c r="G110" s="102"/>
    </row>
    <row r="111" spans="2:7" x14ac:dyDescent="0.3">
      <c r="B111" s="100" t="s">
        <v>32</v>
      </c>
      <c r="C111" s="103" t="s">
        <v>247</v>
      </c>
      <c r="D111" s="103" t="s">
        <v>31</v>
      </c>
      <c r="E111" s="104">
        <v>76.42556706170285</v>
      </c>
      <c r="F111" s="104">
        <v>3.4715174099085049</v>
      </c>
      <c r="G111" s="102"/>
    </row>
    <row r="112" spans="2:7" x14ac:dyDescent="0.3">
      <c r="B112" s="100" t="s">
        <v>30</v>
      </c>
      <c r="C112" s="103" t="s">
        <v>247</v>
      </c>
      <c r="D112" s="103" t="s">
        <v>20</v>
      </c>
      <c r="E112" s="104">
        <v>81.088764781846578</v>
      </c>
      <c r="F112" s="104">
        <v>5.6479947715912697</v>
      </c>
      <c r="G112" s="102"/>
    </row>
    <row r="113" spans="2:7" x14ac:dyDescent="0.3">
      <c r="B113" s="100" t="s">
        <v>29</v>
      </c>
      <c r="C113" s="103" t="s">
        <v>20</v>
      </c>
      <c r="D113" s="103" t="s">
        <v>27</v>
      </c>
      <c r="E113" s="104">
        <v>61.953879938603897</v>
      </c>
      <c r="F113" s="104">
        <v>1.3330193808228601</v>
      </c>
      <c r="G113" s="102"/>
    </row>
    <row r="114" spans="2:7" x14ac:dyDescent="0.3">
      <c r="B114" s="100" t="s">
        <v>28</v>
      </c>
      <c r="C114" s="103" t="s">
        <v>20</v>
      </c>
      <c r="D114" s="103" t="s">
        <v>27</v>
      </c>
      <c r="E114" s="104">
        <v>22.013405177348503</v>
      </c>
      <c r="F114" s="104">
        <v>2.7675050415991982</v>
      </c>
      <c r="G114" s="102"/>
    </row>
    <row r="115" spans="2:7" x14ac:dyDescent="0.3">
      <c r="B115" s="100" t="s">
        <v>26</v>
      </c>
      <c r="C115" s="103" t="s">
        <v>247</v>
      </c>
      <c r="D115" s="103" t="s">
        <v>247</v>
      </c>
      <c r="E115" s="104">
        <v>50.506196341432982</v>
      </c>
      <c r="F115" s="104">
        <v>8.2878533607701872</v>
      </c>
      <c r="G115" s="102"/>
    </row>
    <row r="116" spans="2:7" x14ac:dyDescent="0.3">
      <c r="B116" s="100" t="s">
        <v>25</v>
      </c>
      <c r="C116" s="103" t="s">
        <v>20</v>
      </c>
      <c r="D116" s="103" t="s">
        <v>20</v>
      </c>
      <c r="E116" s="104">
        <v>71.20972052323404</v>
      </c>
      <c r="F116" s="104">
        <v>7.1639625415053363</v>
      </c>
      <c r="G116" s="102"/>
    </row>
    <row r="117" spans="2:7" x14ac:dyDescent="0.3">
      <c r="B117" s="100" t="s">
        <v>24</v>
      </c>
      <c r="C117" s="103" t="s">
        <v>23</v>
      </c>
      <c r="D117" s="103" t="s">
        <v>23</v>
      </c>
      <c r="E117" s="104">
        <v>11.069170113930843</v>
      </c>
      <c r="F117" s="104">
        <v>11.4576529156567</v>
      </c>
      <c r="G117" s="102"/>
    </row>
    <row r="118" spans="2:7" x14ac:dyDescent="0.3">
      <c r="B118" s="100" t="s">
        <v>22</v>
      </c>
      <c r="C118" s="103" t="s">
        <v>247</v>
      </c>
      <c r="D118" s="103" t="s">
        <v>20</v>
      </c>
      <c r="E118" s="104">
        <v>40.358967242151778</v>
      </c>
      <c r="F118" s="104">
        <v>5.8456786759596957</v>
      </c>
      <c r="G118" s="10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"/>
  <sheetViews>
    <sheetView workbookViewId="0"/>
  </sheetViews>
  <sheetFormatPr baseColWidth="10" defaultRowHeight="15" x14ac:dyDescent="0.2"/>
  <cols>
    <col min="1" max="16384" width="10.8320312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68</vt:i4>
      </vt:variant>
    </vt:vector>
  </HeadingPairs>
  <TitlesOfParts>
    <vt:vector size="92" baseType="lpstr">
      <vt:lpstr>Class7</vt:lpstr>
      <vt:lpstr>Spreads</vt:lpstr>
      <vt:lpstr>CDS</vt:lpstr>
      <vt:lpstr>ELoss</vt:lpstr>
      <vt:lpstr>Spread2PD</vt:lpstr>
      <vt:lpstr>CreditMetrics</vt:lpstr>
      <vt:lpstr>Tables</vt:lpstr>
      <vt:lpstr>TransSim</vt:lpstr>
      <vt:lpstr>Data</vt:lpstr>
      <vt:lpstr>Spread_PnL</vt:lpstr>
      <vt:lpstr>Loan_Management</vt:lpstr>
      <vt:lpstr>LoanCovenants</vt:lpstr>
      <vt:lpstr>LoanSegmentation</vt:lpstr>
      <vt:lpstr>CashVsProfit</vt:lpstr>
      <vt:lpstr>HazardRates</vt:lpstr>
      <vt:lpstr>HazardRate1</vt:lpstr>
      <vt:lpstr>HazardRate2</vt:lpstr>
      <vt:lpstr>HazardRate_Appendix</vt:lpstr>
      <vt:lpstr>Prep4NextClass</vt:lpstr>
      <vt:lpstr>Questions</vt:lpstr>
      <vt:lpstr>1_Spread2PD</vt:lpstr>
      <vt:lpstr>2_HazardRates</vt:lpstr>
      <vt:lpstr>3_CreditMetrics</vt:lpstr>
      <vt:lpstr>Remember</vt:lpstr>
      <vt:lpstr>Data!A</vt:lpstr>
      <vt:lpstr>Spread_PnL!A</vt:lpstr>
      <vt:lpstr>TransSim!A</vt:lpstr>
      <vt:lpstr>avg_hazard_rate</vt:lpstr>
      <vt:lpstr>Data!B</vt:lpstr>
      <vt:lpstr>Spread_PnL!B</vt:lpstr>
      <vt:lpstr>TransSim!B</vt:lpstr>
      <vt:lpstr>Spread2PD!Bond_Value</vt:lpstr>
      <vt:lpstr>Data!C_</vt:lpstr>
      <vt:lpstr>Spread_PnL!C_</vt:lpstr>
      <vt:lpstr>TransSim!C_</vt:lpstr>
      <vt:lpstr>Spread2PD!CouponPmt</vt:lpstr>
      <vt:lpstr>Spread2PD!CouponRate</vt:lpstr>
      <vt:lpstr>Data!D</vt:lpstr>
      <vt:lpstr>Spread_PnL!D</vt:lpstr>
      <vt:lpstr>TransSim!D</vt:lpstr>
      <vt:lpstr>Data!Duration_</vt:lpstr>
      <vt:lpstr>Spread_PnL!Duration_</vt:lpstr>
      <vt:lpstr>Data!E</vt:lpstr>
      <vt:lpstr>Spread_PnL!E</vt:lpstr>
      <vt:lpstr>TransSim!E</vt:lpstr>
      <vt:lpstr>Spread2PD!Eloss</vt:lpstr>
      <vt:lpstr>Data!F</vt:lpstr>
      <vt:lpstr>Spread_PnL!F</vt:lpstr>
      <vt:lpstr>TransSim!F</vt:lpstr>
      <vt:lpstr>Spread2PD!Face</vt:lpstr>
      <vt:lpstr>Spread2PD!Frequency</vt:lpstr>
      <vt:lpstr>Spread2PD!Loss</vt:lpstr>
      <vt:lpstr>Spread2PD!lossAmount</vt:lpstr>
      <vt:lpstr>Spread2PD!n</vt:lpstr>
      <vt:lpstr>Data!NumTable1</vt:lpstr>
      <vt:lpstr>Spread_PnL!NumTable1</vt:lpstr>
      <vt:lpstr>NumTable1</vt:lpstr>
      <vt:lpstr>Data!p_d</vt:lpstr>
      <vt:lpstr>Spread_PnL!p_d</vt:lpstr>
      <vt:lpstr>Spread2PD!Period</vt:lpstr>
      <vt:lpstr>Spread2PD!pmt</vt:lpstr>
      <vt:lpstr>Data!Price_</vt:lpstr>
      <vt:lpstr>Spread_PnL!Price_</vt:lpstr>
      <vt:lpstr>Spread2PD!pv</vt:lpstr>
      <vt:lpstr>Spread2PD!pv_rf</vt:lpstr>
      <vt:lpstr>Spread2PD!pv_rf_</vt:lpstr>
      <vt:lpstr>Spread2PD!pv_rf_pmt</vt:lpstr>
      <vt:lpstr>Data!RatingLast</vt:lpstr>
      <vt:lpstr>Spread_PnL!RatingLast</vt:lpstr>
      <vt:lpstr>Tables!RatingLast</vt:lpstr>
      <vt:lpstr>TransSim!RatingLast</vt:lpstr>
      <vt:lpstr>Data!RatingNow</vt:lpstr>
      <vt:lpstr>Spread_PnL!RatingNow</vt:lpstr>
      <vt:lpstr>Tables!RatingNow</vt:lpstr>
      <vt:lpstr>TransSim!RatingNow</vt:lpstr>
      <vt:lpstr>Spread_PnL!RatingSim</vt:lpstr>
      <vt:lpstr>RatingSim</vt:lpstr>
      <vt:lpstr>Data!ratingsTbl</vt:lpstr>
      <vt:lpstr>Spread_PnL!ratingsTbl</vt:lpstr>
      <vt:lpstr>Tables!ratingsTbl</vt:lpstr>
      <vt:lpstr>TransSim!ratingsTbl</vt:lpstr>
      <vt:lpstr>Spread2PD!Recovery</vt:lpstr>
      <vt:lpstr>SpreadCh</vt:lpstr>
      <vt:lpstr>SpreadLast</vt:lpstr>
      <vt:lpstr>SpreadNew</vt:lpstr>
      <vt:lpstr>t</vt:lpstr>
      <vt:lpstr>Spread2PD!Time_</vt:lpstr>
      <vt:lpstr>Spread2PD!TimeR</vt:lpstr>
      <vt:lpstr>Spread2PD!value_rf_</vt:lpstr>
      <vt:lpstr>ValueCh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2017-06-30T04:35:20Z</dcterms:created>
  <dcterms:modified xsi:type="dcterms:W3CDTF">2024-02-27T18:10:48Z</dcterms:modified>
</cp:coreProperties>
</file>