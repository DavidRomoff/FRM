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f" ContentType="image/tif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workbookPr/>
  <mc:AlternateContent xmlns:mc="http://schemas.openxmlformats.org/markup-compatibility/2006">
    <mc:Choice Requires="x15">
      <x15ac:absPath xmlns:x15ac="http://schemas.microsoft.com/office/spreadsheetml/2010/11/ac" url="/Users/davidromoff/Downloads/FRM-main/"/>
    </mc:Choice>
  </mc:AlternateContent>
  <xr:revisionPtr revIDLastSave="0" documentId="8_{4274FD0B-C680-E14D-ACFF-C191ABA6E8A9}" xr6:coauthVersionLast="47" xr6:coauthVersionMax="47" xr10:uidLastSave="{00000000-0000-0000-0000-000000000000}"/>
  <bookViews>
    <workbookView xWindow="0" yWindow="0" windowWidth="28800" windowHeight="18000" xr2:uid="{00000000-000D-0000-FFFF-FFFF00000000}"/>
  </bookViews>
  <sheets>
    <sheet name="Class10" sheetId="23" r:id="rId1"/>
    <sheet name="LearningObjectives" sheetId="40" r:id="rId2"/>
    <sheet name="Concepts" sheetId="7" r:id="rId3"/>
    <sheet name="RiskDrivers" sheetId="33" r:id="rId4"/>
    <sheet name="SourcesOfLiquidity" sheetId="38" r:id="rId5"/>
    <sheet name="Liquidity" sheetId="44" r:id="rId6"/>
    <sheet name="Scenario" sheetId="19" state="hidden" r:id="rId7"/>
    <sheet name="Ratios" sheetId="15" r:id="rId8"/>
    <sheet name="Matz_Ch2" sheetId="16" r:id="rId9"/>
    <sheet name="Matz Ch2.6" sheetId="50" r:id="rId10"/>
    <sheet name="Matz Ch2.7" sheetId="51" r:id="rId11"/>
    <sheet name="Matz Ch2.9" sheetId="52" r:id="rId12"/>
    <sheet name="Liquidity Report" sheetId="53" state="hidden" r:id="rId13"/>
    <sheet name="Matz_Ch4" sheetId="17" r:id="rId14"/>
    <sheet name="Matz_Ch4_Stress" sheetId="54" r:id="rId15"/>
    <sheet name="Matz_Ch7" sheetId="21" r:id="rId16"/>
    <sheet name="NextClass" sheetId="48" r:id="rId17"/>
    <sheet name="IMix1" sheetId="34" r:id="rId18"/>
    <sheet name="IMix1Calc" sheetId="35" r:id="rId19"/>
    <sheet name="IMix2" sheetId="36" r:id="rId20"/>
    <sheet name="IMix2Calc" sheetId="37" r:id="rId21"/>
    <sheet name="LiquidityReport" sheetId="55" r:id="rId22"/>
    <sheet name="Remember" sheetId="20" r:id="rId23"/>
    <sheet name="O_Discussion" sheetId="25" r:id="rId24"/>
    <sheet name="BonusMaterial" sheetId="28" r:id="rId25"/>
  </sheets>
  <externalReferences>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s>
  <definedNames>
    <definedName name="a" localSheetId="1">#REF!</definedName>
    <definedName name="a" localSheetId="3">#REF!</definedName>
    <definedName name="a" localSheetId="4">#REF!</definedName>
    <definedName name="a">#REF!</definedName>
    <definedName name="AccrualPMT">[1]CDS!$I$21:$I$25</definedName>
    <definedName name="alan">[2]Excel!$C$10</definedName>
    <definedName name="alpha" localSheetId="1">#REF!</definedName>
    <definedName name="alpha" localSheetId="3">#REF!</definedName>
    <definedName name="alpha" localSheetId="4">#REF!</definedName>
    <definedName name="alpha">#REF!</definedName>
    <definedName name="bid" localSheetId="1">#REF!</definedName>
    <definedName name="bid" localSheetId="3">#REF!</definedName>
    <definedName name="bid" localSheetId="4">#REF!</definedName>
    <definedName name="bid">#REF!</definedName>
    <definedName name="Bond_Value" localSheetId="17">#REF!</definedName>
    <definedName name="Bond_Value" localSheetId="19">#REF!</definedName>
    <definedName name="Bond_Value" localSheetId="1">#REF!</definedName>
    <definedName name="Bond_Value" localSheetId="3">#REF!</definedName>
    <definedName name="Bond_Value" localSheetId="4">#REF!</definedName>
    <definedName name="Bond_Value">#REF!</definedName>
    <definedName name="Bond_Value_">#REF!</definedName>
    <definedName name="C_">[3]OptionsHW!$C$20:$E$20</definedName>
    <definedName name="Cd">[4]Options2!#REF!</definedName>
    <definedName name="Change">[2]VaR0!#REF!</definedName>
    <definedName name="CI">#REF!</definedName>
    <definedName name="CI_lo">#REF!</definedName>
    <definedName name="contracts">[3]OptionsHW!$C$26:$E$26</definedName>
    <definedName name="CouponPmt" localSheetId="17">#REF!</definedName>
    <definedName name="CouponPmt" localSheetId="19">#REF!</definedName>
    <definedName name="CouponPmt" localSheetId="1">#REF!</definedName>
    <definedName name="CouponPmt" localSheetId="3">#REF!</definedName>
    <definedName name="CouponPmt" localSheetId="4">#REF!</definedName>
    <definedName name="CouponPmt">#REF!</definedName>
    <definedName name="CouponRate" localSheetId="17">#REF!</definedName>
    <definedName name="CouponRate" localSheetId="19">#REF!</definedName>
    <definedName name="CouponRate" localSheetId="1">#REF!</definedName>
    <definedName name="CouponRate" localSheetId="3">#REF!</definedName>
    <definedName name="CouponRate" localSheetId="4">#REF!</definedName>
    <definedName name="CouponRate">#REF!</definedName>
    <definedName name="Cu">[4]Options2!#REF!</definedName>
    <definedName name="d">[4]Options2!$C$7</definedName>
    <definedName name="d1_">#REF!</definedName>
    <definedName name="d2_">#REF!</definedName>
    <definedName name="dollar_rate">[5]FX_Intro!$C$67</definedName>
    <definedName name="Eloss">[1]Spread2PD!$C$16</definedName>
    <definedName name="Epayoff">[1]CDS!$E$21:$E$25</definedName>
    <definedName name="Face" localSheetId="17">#REF!</definedName>
    <definedName name="Face" localSheetId="19">#REF!</definedName>
    <definedName name="Face" localSheetId="1">#REF!</definedName>
    <definedName name="Face" localSheetId="3">#REF!</definedName>
    <definedName name="Face" localSheetId="4">#REF!</definedName>
    <definedName name="Face">#REF!</definedName>
    <definedName name="forward_rate">[5]FX_Intro!$C$68</definedName>
    <definedName name="Frequency" localSheetId="17">#REF!</definedName>
    <definedName name="Frequency" localSheetId="19">#REF!</definedName>
    <definedName name="Frequency" localSheetId="1">#REF!</definedName>
    <definedName name="Frequency" localSheetId="3">#REF!</definedName>
    <definedName name="Frequency" localSheetId="4">#REF!</definedName>
    <definedName name="Frequency">#REF!</definedName>
    <definedName name="hazard">[1]CDS!$B$7:$B$7</definedName>
    <definedName name="K">[3]OptionsHW!$C$3</definedName>
    <definedName name="Loss">[1]Spread2PD!$E$40:$E$44</definedName>
    <definedName name="loss_30">#REF!</definedName>
    <definedName name="loss_t">#REF!</definedName>
    <definedName name="lossAmount">[1]Spread2PD!$G$45</definedName>
    <definedName name="Mean">#REF!</definedName>
    <definedName name="midprice" localSheetId="1">#REF!</definedName>
    <definedName name="midprice" localSheetId="3">#REF!</definedName>
    <definedName name="midprice" localSheetId="4">#REF!</definedName>
    <definedName name="midprice">#REF!</definedName>
    <definedName name="mu" localSheetId="1">#REF!</definedName>
    <definedName name="mu" localSheetId="3">#REF!</definedName>
    <definedName name="mu" localSheetId="4">#REF!</definedName>
    <definedName name="mu">#REF!</definedName>
    <definedName name="n" localSheetId="17">#REF!</definedName>
    <definedName name="n" localSheetId="19">#REF!</definedName>
    <definedName name="n" localSheetId="1">#REF!</definedName>
    <definedName name="n" localSheetId="3">#REF!</definedName>
    <definedName name="n" localSheetId="4">#REF!</definedName>
    <definedName name="n">#REF!</definedName>
    <definedName name="n_" localSheetId="17">#REF!</definedName>
    <definedName name="n_" localSheetId="19">#REF!</definedName>
    <definedName name="n_" localSheetId="1">#REF!</definedName>
    <definedName name="n_" localSheetId="3">#REF!</definedName>
    <definedName name="n_" localSheetId="4">#REF!</definedName>
    <definedName name="n_">#REF!</definedName>
    <definedName name="N__d1">[3]OptionsHW!$C$14:$E$14</definedName>
    <definedName name="N__d2">[3]OptionsHW!$C$15:$E$15</definedName>
    <definedName name="N_d1">[3]OptionsHW!$C$12:$E$12</definedName>
    <definedName name="N_d2">[3]OptionsHW!$C$13:$E$13</definedName>
    <definedName name="notional">[3]OptionsHW!$C$25:$E$25</definedName>
    <definedName name="offer" localSheetId="1">#REF!</definedName>
    <definedName name="offer" localSheetId="3">#REF!</definedName>
    <definedName name="offer" localSheetId="4">#REF!</definedName>
    <definedName name="offer">#REF!</definedName>
    <definedName name="p">[6]Bond!$F$6</definedName>
    <definedName name="PD">[1]CDS!$C$21:$C$25</definedName>
    <definedName name="Period" localSheetId="17">#REF!</definedName>
    <definedName name="Period" localSheetId="19">#REF!</definedName>
    <definedName name="Period" localSheetId="1">#REF!</definedName>
    <definedName name="Period" localSheetId="3">#REF!</definedName>
    <definedName name="Period" localSheetId="4">#REF!</definedName>
    <definedName name="Period">#REF!</definedName>
    <definedName name="peso_rate">[5]FX_Intro!$C$66</definedName>
    <definedName name="pmt" localSheetId="17">#REF!</definedName>
    <definedName name="pmt" localSheetId="19">#REF!</definedName>
    <definedName name="pmt" localSheetId="1">#REF!</definedName>
    <definedName name="pmt" localSheetId="3">#REF!</definedName>
    <definedName name="pmt" localSheetId="4">#REF!</definedName>
    <definedName name="pmt">#REF!</definedName>
    <definedName name="pmt_" localSheetId="17">#REF!</definedName>
    <definedName name="pmt_" localSheetId="19">#REF!</definedName>
    <definedName name="pmt_" localSheetId="1">#REF!</definedName>
    <definedName name="pmt_" localSheetId="3">#REF!</definedName>
    <definedName name="pmt_" localSheetId="4">#REF!</definedName>
    <definedName name="pmt_">#REF!</definedName>
    <definedName name="pmtperyear">[6]Bond!$C$6</definedName>
    <definedName name="pmts">[6]Bond!$E$12:$E$25</definedName>
    <definedName name="Price">[2]VaR0!#REF!</definedName>
    <definedName name="PS">[1]CDS!$C$11:$C$15</definedName>
    <definedName name="PV">[1]CDS!$E$11:$E$15</definedName>
    <definedName name="PV_">[1]CDS!$F$21:$F$25</definedName>
    <definedName name="pv_rf">[1]Spread2PD!$F$20:$F$29</definedName>
    <definedName name="pv_rf_">[1]Spread2PD!$F$40:$F$44</definedName>
    <definedName name="pv2_">[6]Dur2!$G$12:$G$25</definedName>
    <definedName name="PVA">[6]InstallmentLoan!$F$3</definedName>
    <definedName name="PVPMT_A">[1]CDS!$J$21:$J$25</definedName>
    <definedName name="q">#REF!</definedName>
    <definedName name="R_">[1]CDS!$D$21:$D$25</definedName>
    <definedName name="rate">[1]CDS!$C$7</definedName>
    <definedName name="rated">[3]fxHW!$F$4:$H$4</definedName>
    <definedName name="ratef">[3]fxHW!$F$5:$H$5</definedName>
    <definedName name="RatingLast">[7]CreditMatrix!$D$10:$D$109</definedName>
    <definedName name="RatingNow">[7]CreditMatrix!$E$10:$E$109</definedName>
    <definedName name="ratingsTbl">[7]CreditMatrix!$B$2:$C$7</definedName>
    <definedName name="Recovery">[1]Spread2PD!$D$40:$D$44</definedName>
    <definedName name="s" localSheetId="1">#REF!</definedName>
    <definedName name="s" localSheetId="3">#REF!</definedName>
    <definedName name="s" localSheetId="4">#REF!</definedName>
    <definedName name="s">#REF!</definedName>
    <definedName name="S0">#REF!</definedName>
    <definedName name="S0_e_qt">[3]OptionsHW!$C$17:$E$17</definedName>
    <definedName name="SD">#REF!</definedName>
    <definedName name="Shares" localSheetId="1">#REF!</definedName>
    <definedName name="Shares" localSheetId="3">#REF!</definedName>
    <definedName name="Shares" localSheetId="4">#REF!</definedName>
    <definedName name="Shares">#REF!</definedName>
    <definedName name="sigma" localSheetId="1">#REF!</definedName>
    <definedName name="sigma" localSheetId="3">#REF!</definedName>
    <definedName name="sigma" localSheetId="4">#REF!</definedName>
    <definedName name="sigma">#REF!</definedName>
    <definedName name="simS" localSheetId="1">#REF!</definedName>
    <definedName name="simS" localSheetId="3">#REF!</definedName>
    <definedName name="simS" localSheetId="4">#REF!</definedName>
    <definedName name="simS">#REF!</definedName>
    <definedName name="sims_a">[8]VaR1!$I$17:$I$37</definedName>
    <definedName name="sims_h">[8]VaR1!$H$17:$H$37</definedName>
    <definedName name="simSpread" localSheetId="1">#REF!</definedName>
    <definedName name="simSpread" localSheetId="3">#REF!</definedName>
    <definedName name="simSpread" localSheetId="4">#REF!</definedName>
    <definedName name="simSpread">#REF!</definedName>
    <definedName name="simSpreadPerShare" localSheetId="1">#REF!</definedName>
    <definedName name="simSpreadPerShare" localSheetId="3">#REF!</definedName>
    <definedName name="simSpreadPerShare" localSheetId="4">#REF!</definedName>
    <definedName name="simSpreadPerShare">#REF!</definedName>
    <definedName name="Spot">[3]fxHW!$F$3:$H$3</definedName>
    <definedName name="spread" localSheetId="1">#REF!</definedName>
    <definedName name="spread" localSheetId="3">#REF!</definedName>
    <definedName name="spread" localSheetId="4">#REF!</definedName>
    <definedName name="spread">#REF!</definedName>
    <definedName name="SpreadVaR" localSheetId="1">#REF!</definedName>
    <definedName name="SpreadVaR" localSheetId="3">#REF!</definedName>
    <definedName name="SpreadVaR" localSheetId="4">#REF!</definedName>
    <definedName name="SpreadVaR">#REF!</definedName>
    <definedName name="StartingPortfolio">[1]ExporeInf!$C$29:$H$29</definedName>
    <definedName name="t">[1]CDS!$B$11:$B$15</definedName>
    <definedName name="t_">[1]CDS!$B$21:$B$25</definedName>
    <definedName name="table_asf" localSheetId="21">[9]ASF!$C$31:$D$34</definedName>
    <definedName name="table_asf">[10]ASF!$C$31:$D$34</definedName>
    <definedName name="Time">#REF!</definedName>
    <definedName name="Time_">[1]Spread2PD!$B$40:$B$44</definedName>
    <definedName name="tmat">[1]ExporeInf!$C$3:$H$8</definedName>
    <definedName name="tmat12">#REF!</definedName>
    <definedName name="tmat5">[1]ExporeInf!$C$12:$H$17</definedName>
    <definedName name="tmatInf">[1]ExporeInf!$C$21:$H$26</definedName>
    <definedName name="u">[4]Options2!$C$6</definedName>
    <definedName name="usd_peso">[5]FX_Intro!$C$65</definedName>
    <definedName name="v" localSheetId="17">#REF!</definedName>
    <definedName name="v" localSheetId="19">#REF!</definedName>
    <definedName name="v" localSheetId="1">#REF!</definedName>
    <definedName name="v" localSheetId="3">#REF!</definedName>
    <definedName name="v" localSheetId="4">#REF!</definedName>
    <definedName name="v">#REF!</definedName>
    <definedName name="value">[6]Curve0!$E$26</definedName>
    <definedName name="value_01">[6]Dur2!$I$12</definedName>
    <definedName name="value_lo">#REF!</definedName>
    <definedName name="value_rf_">[1]Spread2PD!$C$40:$C$44</definedName>
    <definedName name="weight">[7]CreditMatrix_Weighted!$F$10:$F$109</definedName>
    <definedName name="X">#REF!</definedName>
    <definedName name="X_e_rt">[3]OptionsHW!$C$18:$E$18</definedName>
    <definedName name="y">[6]Bond!$C$8</definedName>
    <definedName name="years">[6]Bond!$C$7</definedName>
    <definedName name="YTM" localSheetId="17">#REF!</definedName>
    <definedName name="YTM" localSheetId="19">#REF!</definedName>
    <definedName name="YTM" localSheetId="1">#REF!</definedName>
    <definedName name="YTM" localSheetId="3">#REF!</definedName>
    <definedName name="YTM" localSheetId="4">#REF!</definedName>
    <definedName name="YTM">#REF!</definedName>
    <definedName name="YTM_rf" localSheetId="17">#REF!</definedName>
    <definedName name="YTM_rf" localSheetId="19">#REF!</definedName>
    <definedName name="YTM_rf" localSheetId="1">#REF!</definedName>
    <definedName name="YTM_rf" localSheetId="3">#REF!</definedName>
    <definedName name="YTM_rf" localSheetId="4">#REF!</definedName>
    <definedName name="YTM_rf">#REF!</definedName>
  </definedNames>
  <calcPr calcId="191029" iterate="1" iterateCount="100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H21" i="35" l="1"/>
  <c r="I21" i="35" s="1"/>
  <c r="J21" i="35" s="1"/>
  <c r="G21" i="35"/>
  <c r="H21" i="37"/>
  <c r="I21" i="37"/>
  <c r="J21" i="37"/>
  <c r="K21" i="37"/>
  <c r="G21" i="37"/>
  <c r="G20" i="37"/>
  <c r="H20" i="37"/>
  <c r="G5" i="35"/>
  <c r="H24" i="35" l="1"/>
  <c r="K21" i="35"/>
  <c r="K24" i="35" s="1"/>
  <c r="J24" i="35"/>
  <c r="I24" i="35"/>
  <c r="I20" i="37"/>
  <c r="J20" i="37" l="1"/>
  <c r="H23" i="37"/>
  <c r="K20" i="37" l="1"/>
  <c r="O41" i="55" l="1"/>
  <c r="N41" i="55"/>
  <c r="M41" i="55"/>
  <c r="L41" i="55"/>
  <c r="K41" i="55"/>
  <c r="J41" i="55"/>
  <c r="I41" i="55"/>
  <c r="H41" i="55"/>
  <c r="G41" i="55"/>
  <c r="F41" i="55"/>
  <c r="E41" i="55"/>
  <c r="D41" i="55"/>
  <c r="D29" i="55" l="1"/>
  <c r="E29" i="55"/>
  <c r="F29" i="55"/>
  <c r="G29" i="55"/>
  <c r="H29" i="55"/>
  <c r="I29" i="55"/>
  <c r="J29" i="55"/>
  <c r="K29" i="55"/>
  <c r="L29" i="55"/>
  <c r="M29" i="55"/>
  <c r="N29" i="55"/>
  <c r="O29" i="55"/>
  <c r="K3" i="35"/>
  <c r="G3" i="35" s="1"/>
  <c r="C20" i="55"/>
  <c r="D20" i="55" s="1"/>
  <c r="E20" i="55" l="1"/>
  <c r="D31" i="55"/>
  <c r="D43" i="55"/>
  <c r="O20" i="55"/>
  <c r="K20" i="55"/>
  <c r="L20" i="55"/>
  <c r="M20" i="55"/>
  <c r="L15" i="54"/>
  <c r="L16" i="54"/>
  <c r="L17" i="54"/>
  <c r="L18" i="54"/>
  <c r="L19" i="54"/>
  <c r="L20" i="54"/>
  <c r="L21" i="54"/>
  <c r="L22" i="54"/>
  <c r="L23" i="54"/>
  <c r="K16" i="54"/>
  <c r="K17" i="54"/>
  <c r="K18" i="54"/>
  <c r="K19" i="54"/>
  <c r="K20" i="54"/>
  <c r="K21" i="54"/>
  <c r="K22" i="54"/>
  <c r="K23" i="54"/>
  <c r="K15" i="54"/>
  <c r="N20" i="55" l="1"/>
  <c r="M43" i="55"/>
  <c r="M31" i="55"/>
  <c r="L31" i="55"/>
  <c r="L43" i="55"/>
  <c r="K43" i="55"/>
  <c r="K31" i="55"/>
  <c r="O31" i="55"/>
  <c r="O43" i="55"/>
  <c r="F20" i="55"/>
  <c r="E43" i="55"/>
  <c r="E31" i="55"/>
  <c r="E4" i="53"/>
  <c r="E21" i="53"/>
  <c r="D37" i="53" s="1"/>
  <c r="K24" i="53"/>
  <c r="L24" i="53"/>
  <c r="M24" i="53"/>
  <c r="N24" i="53"/>
  <c r="O24" i="53"/>
  <c r="P24" i="53"/>
  <c r="Q24" i="53"/>
  <c r="J24" i="53"/>
  <c r="K13" i="53"/>
  <c r="L13" i="53"/>
  <c r="M13" i="53"/>
  <c r="N13" i="53"/>
  <c r="O13" i="53"/>
  <c r="P13" i="53"/>
  <c r="Q13" i="53"/>
  <c r="J13" i="53"/>
  <c r="T7" i="53"/>
  <c r="T13" i="53" s="1"/>
  <c r="S7" i="53"/>
  <c r="S13" i="53" s="1"/>
  <c r="R7" i="53"/>
  <c r="R13" i="53" s="1"/>
  <c r="I4" i="53"/>
  <c r="J4" i="53" s="1"/>
  <c r="G20" i="55" l="1"/>
  <c r="F31" i="55"/>
  <c r="F43" i="55"/>
  <c r="N43" i="55"/>
  <c r="N31" i="55"/>
  <c r="K26" i="53"/>
  <c r="L26" i="53"/>
  <c r="D30" i="53"/>
  <c r="T18" i="53" s="1"/>
  <c r="T24" i="53" s="1"/>
  <c r="T26" i="53" s="1"/>
  <c r="J26" i="53"/>
  <c r="M26" i="53"/>
  <c r="D31" i="53"/>
  <c r="D32" i="53"/>
  <c r="D35" i="53"/>
  <c r="D28" i="53"/>
  <c r="R18" i="53" s="1"/>
  <c r="R24" i="53" s="1"/>
  <c r="R26" i="53" s="1"/>
  <c r="D36" i="53"/>
  <c r="D34" i="53"/>
  <c r="D33" i="53"/>
  <c r="D29" i="53"/>
  <c r="S18" i="53" s="1"/>
  <c r="S24" i="53" s="1"/>
  <c r="S26" i="53" s="1"/>
  <c r="P26" i="53"/>
  <c r="O26" i="53"/>
  <c r="Q26" i="53"/>
  <c r="N26" i="53"/>
  <c r="T4" i="53"/>
  <c r="S4" i="53"/>
  <c r="R4" i="53"/>
  <c r="Q4" i="53"/>
  <c r="P4" i="53"/>
  <c r="O4" i="53"/>
  <c r="N4" i="53"/>
  <c r="M4" i="53"/>
  <c r="L4" i="53"/>
  <c r="K4" i="53"/>
  <c r="F47" i="52"/>
  <c r="F48" i="52" s="1"/>
  <c r="D47" i="52"/>
  <c r="D48" i="52" s="1"/>
  <c r="C47" i="52"/>
  <c r="C48" i="52" s="1"/>
  <c r="F39" i="52"/>
  <c r="D39" i="52"/>
  <c r="C39" i="52"/>
  <c r="F33" i="52"/>
  <c r="D33" i="52"/>
  <c r="C33" i="52"/>
  <c r="F28" i="52"/>
  <c r="D28" i="52"/>
  <c r="C28" i="52"/>
  <c r="F23" i="52"/>
  <c r="D23" i="52"/>
  <c r="C23" i="52"/>
  <c r="F18" i="52"/>
  <c r="C18" i="52"/>
  <c r="F14" i="52"/>
  <c r="D14" i="52"/>
  <c r="C14" i="52"/>
  <c r="F9" i="52"/>
  <c r="D9" i="52"/>
  <c r="C9" i="52"/>
  <c r="F44" i="51"/>
  <c r="D44" i="51"/>
  <c r="C44" i="51"/>
  <c r="F38" i="51"/>
  <c r="D38" i="51"/>
  <c r="C38" i="51"/>
  <c r="F33" i="51"/>
  <c r="D33" i="51"/>
  <c r="C33" i="51"/>
  <c r="F28" i="51"/>
  <c r="D28" i="51"/>
  <c r="C28" i="51"/>
  <c r="F23" i="51"/>
  <c r="D23" i="51"/>
  <c r="C23" i="51"/>
  <c r="F19" i="51"/>
  <c r="D19" i="51"/>
  <c r="C19" i="51"/>
  <c r="F14" i="51"/>
  <c r="D14" i="51"/>
  <c r="C14" i="51"/>
  <c r="F10" i="51"/>
  <c r="D10" i="51"/>
  <c r="C10" i="51"/>
  <c r="G16" i="50"/>
  <c r="E16" i="50"/>
  <c r="D16" i="50"/>
  <c r="H20" i="55" l="1"/>
  <c r="G43" i="55"/>
  <c r="G31" i="55"/>
  <c r="C45" i="51"/>
  <c r="F45" i="51"/>
  <c r="D45" i="51"/>
  <c r="D40" i="52"/>
  <c r="D50" i="52" s="1"/>
  <c r="C40" i="52"/>
  <c r="C50" i="52" s="1"/>
  <c r="F40" i="52"/>
  <c r="F50" i="52" s="1"/>
  <c r="U29" i="35"/>
  <c r="T29" i="35"/>
  <c r="S29" i="35"/>
  <c r="R29" i="35"/>
  <c r="I20" i="55" l="1"/>
  <c r="H43" i="55"/>
  <c r="H31" i="55"/>
  <c r="U27" i="37"/>
  <c r="U18" i="37" s="1"/>
  <c r="T27" i="37"/>
  <c r="T29" i="37" s="1"/>
  <c r="S27" i="37"/>
  <c r="S13" i="37" s="1"/>
  <c r="R27" i="37"/>
  <c r="R5" i="37" s="1"/>
  <c r="Q27" i="37"/>
  <c r="T28" i="37"/>
  <c r="C25" i="37"/>
  <c r="K23" i="37"/>
  <c r="J23" i="37"/>
  <c r="I23" i="37"/>
  <c r="T22" i="37"/>
  <c r="T18" i="37"/>
  <c r="K5" i="37"/>
  <c r="K18" i="37" s="1"/>
  <c r="K13" i="37"/>
  <c r="K14" i="37"/>
  <c r="K11" i="37"/>
  <c r="J5" i="37"/>
  <c r="J13" i="37"/>
  <c r="J14" i="37"/>
  <c r="J11" i="37"/>
  <c r="J18" i="37" s="1"/>
  <c r="I5" i="37"/>
  <c r="I13" i="37"/>
  <c r="I11" i="37" s="1"/>
  <c r="I18" i="37" s="1"/>
  <c r="I14" i="37"/>
  <c r="H5" i="37"/>
  <c r="H13" i="37"/>
  <c r="H11" i="37" s="1"/>
  <c r="H14" i="37"/>
  <c r="G5" i="37"/>
  <c r="G13" i="37"/>
  <c r="G11" i="37" s="1"/>
  <c r="G14" i="37"/>
  <c r="C13" i="37"/>
  <c r="T9" i="37"/>
  <c r="U5" i="37"/>
  <c r="T5" i="37"/>
  <c r="U27" i="35"/>
  <c r="U28" i="35"/>
  <c r="T27" i="35"/>
  <c r="T28" i="35" s="1"/>
  <c r="S27" i="35"/>
  <c r="S28" i="35"/>
  <c r="R27" i="35"/>
  <c r="R28" i="35" s="1"/>
  <c r="C17" i="35"/>
  <c r="C23" i="35" s="1"/>
  <c r="C20" i="35"/>
  <c r="U22" i="35"/>
  <c r="T22" i="35"/>
  <c r="S22" i="35"/>
  <c r="K5" i="35"/>
  <c r="K19" i="35" s="1"/>
  <c r="K11" i="35"/>
  <c r="J5" i="35"/>
  <c r="J11" i="35"/>
  <c r="J19" i="35"/>
  <c r="I5" i="35"/>
  <c r="I11" i="35"/>
  <c r="I19" i="35"/>
  <c r="H5" i="35"/>
  <c r="H19" i="35" s="1"/>
  <c r="H11" i="35"/>
  <c r="G19" i="35"/>
  <c r="G11" i="35"/>
  <c r="U18" i="35"/>
  <c r="S18" i="35"/>
  <c r="C5" i="35"/>
  <c r="C9" i="35"/>
  <c r="C14" i="35"/>
  <c r="U13" i="35"/>
  <c r="S13" i="35"/>
  <c r="R13" i="35"/>
  <c r="U9" i="35"/>
  <c r="S9" i="35"/>
  <c r="R9" i="35"/>
  <c r="U5" i="35"/>
  <c r="S5" i="35"/>
  <c r="R5" i="35"/>
  <c r="G18" i="37" l="1"/>
  <c r="H18" i="37"/>
  <c r="Q5" i="37"/>
  <c r="Q9" i="37"/>
  <c r="Q13" i="37"/>
  <c r="Q22" i="37"/>
  <c r="Q18" i="37"/>
  <c r="J20" i="55"/>
  <c r="I31" i="55"/>
  <c r="I43" i="55"/>
  <c r="T13" i="37"/>
  <c r="S22" i="37"/>
  <c r="S28" i="37"/>
  <c r="R9" i="37"/>
  <c r="R29" i="37"/>
  <c r="R18" i="37"/>
  <c r="R22" i="37"/>
  <c r="R28" i="37"/>
  <c r="R13" i="37"/>
  <c r="Q22" i="35"/>
  <c r="Q13" i="35"/>
  <c r="Q18" i="35"/>
  <c r="Q9" i="35"/>
  <c r="T18" i="35"/>
  <c r="T5" i="35"/>
  <c r="T9" i="35"/>
  <c r="T13" i="35"/>
  <c r="R22" i="35"/>
  <c r="S5" i="37"/>
  <c r="U22" i="37"/>
  <c r="Q28" i="37"/>
  <c r="U28" i="37"/>
  <c r="R18" i="35"/>
  <c r="S9" i="37"/>
  <c r="U13" i="37"/>
  <c r="S18" i="37"/>
  <c r="Q29" i="37"/>
  <c r="S29" i="37"/>
  <c r="U29" i="37"/>
  <c r="U9" i="37"/>
  <c r="J31" i="55" l="1"/>
  <c r="J43" i="55"/>
</calcChain>
</file>

<file path=xl/sharedStrings.xml><?xml version="1.0" encoding="utf-8"?>
<sst xmlns="http://schemas.openxmlformats.org/spreadsheetml/2006/main" count="820" uniqueCount="562">
  <si>
    <t>Concepts</t>
  </si>
  <si>
    <t>Unencumbered Assets</t>
  </si>
  <si>
    <t>Rolling over debt</t>
  </si>
  <si>
    <t>What’s the risk?</t>
  </si>
  <si>
    <t>Liquidity Ratios for Banks</t>
  </si>
  <si>
    <t>loan / deposits</t>
  </si>
  <si>
    <t>short term debt / total</t>
  </si>
  <si>
    <t>Short Term Debt for Banks</t>
  </si>
  <si>
    <t>overnight funding</t>
  </si>
  <si>
    <t>repo</t>
  </si>
  <si>
    <t>CD’s</t>
  </si>
  <si>
    <t>How to NOT do risk management:</t>
  </si>
  <si>
    <t>Borrow short term to sell insurance at the tail</t>
  </si>
  <si>
    <t>What to be on the lookout for?</t>
  </si>
  <si>
    <t>Is funding sufficient?</t>
  </si>
  <si>
    <t>Funding consistent with risk appetite?</t>
  </si>
  <si>
    <t>Regulation: Liquidity Buffers</t>
  </si>
  <si>
    <t>What’s the benefit?</t>
  </si>
  <si>
    <t>Banks use deposits to borrow short and lend long</t>
  </si>
  <si>
    <t>interest coverage ratio (EBIT / interest payments)</t>
  </si>
  <si>
    <t>Coverage</t>
  </si>
  <si>
    <t>Debt to equity ratio (debt / equity)</t>
  </si>
  <si>
    <t>Debt to capital ratio (debt / debt + equity)</t>
  </si>
  <si>
    <t>Debt to assets ratio</t>
  </si>
  <si>
    <t>Solvency Ratios</t>
  </si>
  <si>
    <t>ccc = Turnovers: inventory + receivables - payables</t>
  </si>
  <si>
    <t>time to receive cash from operations</t>
  </si>
  <si>
    <t>cash conversion cycle</t>
  </si>
  <si>
    <t>quick assets / daily cash expenses</t>
  </si>
  <si>
    <t>cash / current liabilities</t>
  </si>
  <si>
    <t>cash ratio</t>
  </si>
  <si>
    <t>(excludes inventory)</t>
  </si>
  <si>
    <t>quick assets / current liabilities</t>
  </si>
  <si>
    <t>quick ratio</t>
  </si>
  <si>
    <t>current assets / current liabilities</t>
  </si>
  <si>
    <t>current ratio</t>
  </si>
  <si>
    <t>Short Term</t>
  </si>
  <si>
    <t>Be sure to display adjustments as an adjustment row.</t>
  </si>
  <si>
    <t>Cash flow forecasts</t>
  </si>
  <si>
    <t>Tools</t>
  </si>
  <si>
    <t>Determine buffer size</t>
  </si>
  <si>
    <t>Control in-flow and out-flow</t>
  </si>
  <si>
    <t>Understand cash flow sources and uses</t>
  </si>
  <si>
    <t>Solutions</t>
  </si>
  <si>
    <t>Exclude Off-Balance Sheet Exposures</t>
  </si>
  <si>
    <t>Single View</t>
  </si>
  <si>
    <t>Historical</t>
  </si>
  <si>
    <t>Matz page 2-7</t>
  </si>
  <si>
    <t>Matz page 2-4</t>
  </si>
  <si>
    <t>No Benchmarks.</t>
  </si>
  <si>
    <t>Loans assumed to be illiquid.</t>
  </si>
  <si>
    <t>All assets other than loans assumed to be liquid.</t>
  </si>
  <si>
    <t>Inform management.</t>
  </si>
  <si>
    <t>Compare need to availability.</t>
  </si>
  <si>
    <t>Calculate the amount of liquid funds.</t>
  </si>
  <si>
    <t>Total the customer cash flows and the treasury cash flows.</t>
  </si>
  <si>
    <t>Add treasury cash flows.</t>
  </si>
  <si>
    <t>For each of them, identify cash flows from customers.</t>
  </si>
  <si>
    <t>Define scenarios and levels.</t>
  </si>
  <si>
    <t>8 Steps in stress testing</t>
  </si>
  <si>
    <t>VaR failed in 2007-2008</t>
  </si>
  <si>
    <t>contingent vs structural risk</t>
  </si>
  <si>
    <t>VaR</t>
  </si>
  <si>
    <t>comply with regulators</t>
  </si>
  <si>
    <t>assist in bank management</t>
  </si>
  <si>
    <t>identify opportunities for quick responses</t>
  </si>
  <si>
    <t>highlight potential problems</t>
  </si>
  <si>
    <t>Stress Tests</t>
  </si>
  <si>
    <t>Is this an example of failed liquidity?</t>
  </si>
  <si>
    <t>Future lawsuits may follow and could cost $30</t>
  </si>
  <si>
    <t>A lawsuit costs the company $20.</t>
  </si>
  <si>
    <t>Same company as before.</t>
  </si>
  <si>
    <t>How about this?</t>
  </si>
  <si>
    <t>What do you do?</t>
  </si>
  <si>
    <t>Another point of view:</t>
  </si>
  <si>
    <t>How much is your company worth?</t>
  </si>
  <si>
    <t>No one will lend to you.</t>
  </si>
  <si>
    <t>What's your company worth?</t>
  </si>
  <si>
    <t>Interest rates are at 10%</t>
  </si>
  <si>
    <t>For each of them, identify contractual cash flows.</t>
  </si>
  <si>
    <t>Annuities and annuities in insurance</t>
  </si>
  <si>
    <t>Hedge funds with lock-in periods</t>
  </si>
  <si>
    <t>Encourage concentration in sources with sticky funds.</t>
  </si>
  <si>
    <t>Repo Lines</t>
  </si>
  <si>
    <t>Debt</t>
  </si>
  <si>
    <t>Securitization</t>
  </si>
  <si>
    <t>Equity</t>
  </si>
  <si>
    <t>Multiple funding sources</t>
  </si>
  <si>
    <t>Liability diversification i.e multiple funding sources can help.</t>
  </si>
  <si>
    <t>Liquidity risk can only be thought of under scenarios.</t>
  </si>
  <si>
    <t>Counter Balancing Capacity CBC</t>
  </si>
  <si>
    <t>Worst Case Cash Requirement</t>
  </si>
  <si>
    <t>Forward Cash Exposure FCE</t>
  </si>
  <si>
    <t>Liquidity, Buyouts, and CLOs</t>
  </si>
  <si>
    <t>Liquidity Risk Management Text</t>
  </si>
  <si>
    <t>Financial leverage ratio (assets / equity)</t>
  </si>
  <si>
    <t>Ch2</t>
  </si>
  <si>
    <t>Ch4</t>
  </si>
  <si>
    <t>Ch7</t>
  </si>
  <si>
    <t>http://www.investopedia.com/terms/c/cashconversioncycle.asp</t>
  </si>
  <si>
    <t>Loan to deposit ratios are not measures of liquidity risk</t>
  </si>
  <si>
    <t>Scenario</t>
  </si>
  <si>
    <t>Do you want to declare bankruptcy or sell?</t>
  </si>
  <si>
    <t>You have $500 in cash and you hear of the distressed company above.</t>
  </si>
  <si>
    <t>You are a hedge fund manager in Private Equity.</t>
  </si>
  <si>
    <t>What RoI can you make for yourself?</t>
  </si>
  <si>
    <t>How much capital would you put at risk?</t>
  </si>
  <si>
    <t>Deficiencies in liquidity ratios:</t>
  </si>
  <si>
    <t>https://www.investopedia.com/terms/c/capital-buffer.asp</t>
  </si>
  <si>
    <t>At the end of a year, some back luck occurs, and you owe $60M immediately.</t>
  </si>
  <si>
    <t>Your company generates $56M in Free Cash Flows per year</t>
  </si>
  <si>
    <t>After using up your year's FCF how much do you still owe?</t>
  </si>
  <si>
    <t>The term originates in Greek mythology. Cassandra was a daughter of Priam, the King of Troy. Struck by her beauty, Apollo provided her with the gift of prophecy, but when Cassandra refused Apollo's romantic advances, he placed a curse ensuring that nobody would believe her warnings. Cassandra was left with the knowledge of future events, but could neither alter these events nor convince others of the validity of her predictions.</t>
  </si>
  <si>
    <t>Title</t>
  </si>
  <si>
    <t>Description</t>
  </si>
  <si>
    <t>Instructions</t>
  </si>
  <si>
    <t>US$ million</t>
  </si>
  <si>
    <t>Assets</t>
  </si>
  <si>
    <t>Q1</t>
  </si>
  <si>
    <t>Q2</t>
  </si>
  <si>
    <t>Q3</t>
  </si>
  <si>
    <t>Q4</t>
  </si>
  <si>
    <t>US$ mn</t>
  </si>
  <si>
    <t>Current Assets</t>
  </si>
  <si>
    <t>Inflows</t>
  </si>
  <si>
    <t>Cash &amp; bank accounts</t>
  </si>
  <si>
    <t>Sales</t>
  </si>
  <si>
    <t>Accounts receivable</t>
  </si>
  <si>
    <t>Accounts payable</t>
  </si>
  <si>
    <t>Fixed Assets</t>
  </si>
  <si>
    <t>Property, plant &amp; equipment</t>
  </si>
  <si>
    <t>Other</t>
  </si>
  <si>
    <t>Long term investments</t>
  </si>
  <si>
    <t>Outflows</t>
  </si>
  <si>
    <t>Total Assets</t>
  </si>
  <si>
    <t>Payroll</t>
  </si>
  <si>
    <t>Liabilities &amp; Equity</t>
  </si>
  <si>
    <t>Current Liabilities</t>
  </si>
  <si>
    <t>Short term debt</t>
  </si>
  <si>
    <t>Long term debt</t>
  </si>
  <si>
    <t>Capital expenditure</t>
  </si>
  <si>
    <t>Shareholder Equity</t>
  </si>
  <si>
    <t>Total Liabilities &amp; Equity</t>
  </si>
  <si>
    <t>Net Cash Flow</t>
  </si>
  <si>
    <t>Beginning cash &amp; bank accounts</t>
  </si>
  <si>
    <t>Intangible assets</t>
  </si>
  <si>
    <t>Funding Liquidity</t>
  </si>
  <si>
    <t>Investment Liquidity</t>
  </si>
  <si>
    <t>Investment mix for an industrial company</t>
  </si>
  <si>
    <t>COMPANY H SUMMARY BALANCE SHEET</t>
  </si>
  <si>
    <t>COMPANY H INVESTMENT MIX</t>
  </si>
  <si>
    <t>Expected</t>
  </si>
  <si>
    <t>Yield</t>
  </si>
  <si>
    <t>Liquidity</t>
  </si>
  <si>
    <t>% p.a.</t>
  </si>
  <si>
    <t>(Days)</t>
  </si>
  <si>
    <t>Money Market</t>
  </si>
  <si>
    <t>% of total</t>
  </si>
  <si>
    <t>Treasuries</t>
  </si>
  <si>
    <t>Short term investments</t>
  </si>
  <si>
    <t>Royalties</t>
  </si>
  <si>
    <t>CD's</t>
  </si>
  <si>
    <t>Investments</t>
  </si>
  <si>
    <t>Working capital</t>
  </si>
  <si>
    <t>Fixed Income</t>
  </si>
  <si>
    <t>Bonds</t>
  </si>
  <si>
    <t>ABS</t>
  </si>
  <si>
    <t>Patents</t>
  </si>
  <si>
    <t>Fixed costs</t>
  </si>
  <si>
    <t>Equities</t>
  </si>
  <si>
    <t>Employee retirement</t>
  </si>
  <si>
    <t>Stocks</t>
  </si>
  <si>
    <t>ETF's</t>
  </si>
  <si>
    <t>Preferred stock</t>
  </si>
  <si>
    <t>Bank fees &amp; interest</t>
  </si>
  <si>
    <t>Derivatives</t>
  </si>
  <si>
    <t>Futures</t>
  </si>
  <si>
    <t>Other Liabilities</t>
  </si>
  <si>
    <t>OTC</t>
  </si>
  <si>
    <t>Collateral/Margin</t>
  </si>
  <si>
    <t>Beginning investments</t>
  </si>
  <si>
    <t>Alternative Investments</t>
  </si>
  <si>
    <t>Beginning debt</t>
  </si>
  <si>
    <t>Commercial Real Estate</t>
  </si>
  <si>
    <t>Net change</t>
  </si>
  <si>
    <t>Private Equity</t>
  </si>
  <si>
    <t>Hedge Funds</t>
  </si>
  <si>
    <t>Total</t>
  </si>
  <si>
    <t>Weighted average expected liquidity (days)</t>
  </si>
  <si>
    <t>Investment mix for a financial institution</t>
  </si>
  <si>
    <t>INSURER SUMMARY BALANCE SHEET</t>
  </si>
  <si>
    <t>INSURER 2019 CASH FLOW FORECAST</t>
  </si>
  <si>
    <t>INSURER INVESTMENT MIX</t>
  </si>
  <si>
    <t>Property &amp; casualty premiums</t>
  </si>
  <si>
    <t>Assets for sale</t>
  </si>
  <si>
    <t>Life insurance premiums</t>
  </si>
  <si>
    <t>Reinsurance claims pending</t>
  </si>
  <si>
    <t>Property &amp; equipment</t>
  </si>
  <si>
    <t>Other assets</t>
  </si>
  <si>
    <t>Property &amp; casualty claims</t>
  </si>
  <si>
    <t>Life insurance claims</t>
  </si>
  <si>
    <t>Property &amp; casualty reserve</t>
  </si>
  <si>
    <t>Life insurance reserve</t>
  </si>
  <si>
    <t>Contract-holder funds</t>
  </si>
  <si>
    <t>Claims pending</t>
  </si>
  <si>
    <t>Unearned premiums</t>
  </si>
  <si>
    <t>Other liabilities</t>
  </si>
  <si>
    <t>Mortgage loans</t>
  </si>
  <si>
    <t>Weighted average expected yield (%)</t>
  </si>
  <si>
    <t>Non-financial Sector</t>
  </si>
  <si>
    <t>Financial Sector</t>
  </si>
  <si>
    <t>Checking accounts</t>
  </si>
  <si>
    <t>Payment float</t>
  </si>
  <si>
    <t>Zero coupon bond</t>
  </si>
  <si>
    <t>Interest Bearing</t>
  </si>
  <si>
    <t>Time deposits</t>
  </si>
  <si>
    <t>Repo’s and interbank market</t>
  </si>
  <si>
    <t>Discount window </t>
  </si>
  <si>
    <t>Short term bank debt</t>
  </si>
  <si>
    <t>Commercial paper</t>
  </si>
  <si>
    <t>Supplier credit and pre-payments</t>
  </si>
  <si>
    <t>Long term bank debt</t>
  </si>
  <si>
    <t>Bond issuance</t>
  </si>
  <si>
    <t>Leasing</t>
  </si>
  <si>
    <t>Revolving credit lines</t>
  </si>
  <si>
    <t>Incorporate costs, benefits and risks in the pricing and performance</t>
  </si>
  <si>
    <t>Actively monitor and control exposure and funding needs</t>
  </si>
  <si>
    <t>Actively manage intraday liquidity/risk to meet payment/settlement</t>
  </si>
  <si>
    <t>Actively manage collateral positions</t>
  </si>
  <si>
    <t>Conduct stress tests on regular basis to identify potential strain</t>
  </si>
  <si>
    <t>Publicly disclose information on regular basis</t>
  </si>
  <si>
    <t>Solvency</t>
  </si>
  <si>
    <t>Ability to pay now</t>
  </si>
  <si>
    <t>Ability to pay later</t>
  </si>
  <si>
    <t>How to Manage Liquidity</t>
  </si>
  <si>
    <t>Liquidity Metrics</t>
  </si>
  <si>
    <t>Describe drivers of funding liquidity</t>
  </si>
  <si>
    <t>Identify types of liquidity risk</t>
  </si>
  <si>
    <t>Design a funding mix for an industrial company</t>
  </si>
  <si>
    <t>Design a funding mix of a financial institution</t>
  </si>
  <si>
    <t>Choose liquidity risk metrics</t>
  </si>
  <si>
    <t>Low bank deposits</t>
  </si>
  <si>
    <t>Insuffient planning</t>
  </si>
  <si>
    <t>Low perceived creditworthyness</t>
  </si>
  <si>
    <t>Low supply of funding</t>
  </si>
  <si>
    <t>Lines of Credit</t>
  </si>
  <si>
    <t>Prepaid services e.g. insurance premium</t>
  </si>
  <si>
    <t>Non-Interest Bearing</t>
  </si>
  <si>
    <t>Sources of Liquidity</t>
  </si>
  <si>
    <t>Liquidity Risk Drivers</t>
  </si>
  <si>
    <t>Plan</t>
  </si>
  <si>
    <t>Define risk tolerance</t>
  </si>
  <si>
    <t>Define best practices</t>
  </si>
  <si>
    <t>Establish controls: identify, measure, monitor.</t>
  </si>
  <si>
    <t>Diversify funding sources</t>
  </si>
  <si>
    <t>Have a formal contingency funding plan (CFP)</t>
  </si>
  <si>
    <t>Maintain a cushion of unencumbered high quality liquid assets</t>
  </si>
  <si>
    <t>Basel III</t>
  </si>
  <si>
    <t>Liquidity Coverage Ratio (high quality liquid assets / net cash outflows in a 30-day period)</t>
  </si>
  <si>
    <t>Net Stable Funding Ratio (amount of stable funding / required amount of stable funding)</t>
  </si>
  <si>
    <t>Lots of conclusions for banks at the end of the chapter</t>
  </si>
  <si>
    <t>COMPANY H 2020 CASH FLOW FORECAST</t>
  </si>
  <si>
    <t>Risk Management and Financial Institutions</t>
  </si>
  <si>
    <t>Liquidity Risk Chapter</t>
  </si>
  <si>
    <t>Liquidity VaR</t>
  </si>
  <si>
    <t>Chapter 2, 4, 7</t>
  </si>
  <si>
    <t>Liquidity Risk Management</t>
  </si>
  <si>
    <t>Exhibit 2.6</t>
  </si>
  <si>
    <t>Simplified Contractual Cash-Flow Gap</t>
  </si>
  <si>
    <t>Month</t>
  </si>
  <si>
    <t>Months</t>
  </si>
  <si>
    <t>3-11</t>
  </si>
  <si>
    <t>US Treasuries, AFS</t>
  </si>
  <si>
    <t>US Agencies, AFS (non-MBS)</t>
  </si>
  <si>
    <t>Municipal securities (AFS)</t>
  </si>
  <si>
    <t>All other</t>
  </si>
  <si>
    <t>Personal Loans (contractual)</t>
  </si>
  <si>
    <t>Personal Line of Credit Payments (Contractual)</t>
  </si>
  <si>
    <t>Mortgage Payments (Contractual)</t>
  </si>
  <si>
    <t>Payments (Contractual)</t>
  </si>
  <si>
    <t>Insured CDs — contractual maturities</t>
  </si>
  <si>
    <t>Uninsured CDs — contractual maturities</t>
  </si>
  <si>
    <t>NET CASH FLOW</t>
  </si>
  <si>
    <t>Exhibit 2.7</t>
  </si>
  <si>
    <t>Simplified Cash-Flow Gap Forecast with Assumptions</t>
  </si>
  <si>
    <t>Forecast</t>
  </si>
  <si>
    <t>with Assumptions?</t>
  </si>
  <si>
    <t xml:space="preserve">     Net Securities</t>
  </si>
  <si>
    <t>New Loans</t>
  </si>
  <si>
    <t xml:space="preserve">     Net Installment Loans</t>
  </si>
  <si>
    <t>Personal Line of Credit Prepayment Estimate</t>
  </si>
  <si>
    <t>Personal Line of Credit Advances</t>
  </si>
  <si>
    <t xml:space="preserve">     Net Personal Line</t>
  </si>
  <si>
    <t>Mortgage Prepayment Estimate</t>
  </si>
  <si>
    <t xml:space="preserve">     Net Mortgage Loans</t>
  </si>
  <si>
    <t>Corporate Loans</t>
  </si>
  <si>
    <t>Estimated Prepayments</t>
  </si>
  <si>
    <t>New Loans and Rollovers</t>
  </si>
  <si>
    <t xml:space="preserve">     Net Corporate Loans - Fixed</t>
  </si>
  <si>
    <t>Corporate Lines of Credit</t>
  </si>
  <si>
    <t>Optional Pay downs</t>
  </si>
  <si>
    <t>Advances under existing lines</t>
  </si>
  <si>
    <t xml:space="preserve">     Net Commerical - Lines of Credit</t>
  </si>
  <si>
    <t>Indeterminate Maturity Deposits</t>
  </si>
  <si>
    <t>Check Accounts (net change)</t>
  </si>
  <si>
    <t>Saving Accounts (net change)</t>
  </si>
  <si>
    <t>MMDAs (net change)</t>
  </si>
  <si>
    <t xml:space="preserve">     Net change in Indeterminate Maturity Deposits</t>
  </si>
  <si>
    <t>Time Deposits</t>
  </si>
  <si>
    <t>Insured CDs - new</t>
  </si>
  <si>
    <t>Uninsured CDs — new</t>
  </si>
  <si>
    <t>Exhibit 2.9</t>
  </si>
  <si>
    <t>Simplified Contractual Cash Flow Gap in the Proper Format</t>
  </si>
  <si>
    <t>Compare</t>
  </si>
  <si>
    <t>2.7 (if it’s different)</t>
  </si>
  <si>
    <t>Personal Loans Prepayment</t>
  </si>
  <si>
    <t>`</t>
  </si>
  <si>
    <t>FORWARD CASH EXPOSURE</t>
  </si>
  <si>
    <t>Investment Securities</t>
  </si>
  <si>
    <t>CHANGE IN COUNTER BALANCING CAPACITY</t>
  </si>
  <si>
    <t>face</t>
  </si>
  <si>
    <t>couponrate</t>
  </si>
  <si>
    <t>pmt</t>
  </si>
  <si>
    <t>pmtperyear</t>
  </si>
  <si>
    <t>p</t>
  </si>
  <si>
    <t>years</t>
  </si>
  <si>
    <t>n</t>
  </si>
  <si>
    <t>pmts</t>
  </si>
  <si>
    <t>Tenor</t>
  </si>
  <si>
    <t>2D</t>
  </si>
  <si>
    <t>1W</t>
  </si>
  <si>
    <t>2W</t>
  </si>
  <si>
    <t>1M</t>
  </si>
  <si>
    <t>2M</t>
  </si>
  <si>
    <t>3M</t>
  </si>
  <si>
    <t>6M</t>
  </si>
  <si>
    <t>1Y</t>
  </si>
  <si>
    <t>2Y</t>
  </si>
  <si>
    <t>3Y</t>
  </si>
  <si>
    <t>ASSETS</t>
  </si>
  <si>
    <t>Product1</t>
  </si>
  <si>
    <t>Product2</t>
  </si>
  <si>
    <t>Product3</t>
  </si>
  <si>
    <t>Product4</t>
  </si>
  <si>
    <t>Product5</t>
  </si>
  <si>
    <t>Net Asset</t>
  </si>
  <si>
    <t>LIABILITIES</t>
  </si>
  <si>
    <t>Product6</t>
  </si>
  <si>
    <t>Product7</t>
  </si>
  <si>
    <t>Product8</t>
  </si>
  <si>
    <t>Product9</t>
  </si>
  <si>
    <t>Product10</t>
  </si>
  <si>
    <t>Net Liability</t>
  </si>
  <si>
    <t>Liquidity Gap</t>
  </si>
  <si>
    <t>Treasury - Purchase</t>
  </si>
  <si>
    <t>Corporate Bond - Issue</t>
  </si>
  <si>
    <t>Maturity Transformation</t>
  </si>
  <si>
    <t>The Cassandra Effect</t>
  </si>
  <si>
    <t>Please make comments on this week's discussion.</t>
  </si>
  <si>
    <t>Terminology</t>
  </si>
  <si>
    <t>8 Steps of Stress Testing</t>
  </si>
  <si>
    <t>Rates</t>
  </si>
  <si>
    <t>BorrowingAbility</t>
  </si>
  <si>
    <t>LoanUtilization</t>
  </si>
  <si>
    <t>Scenario A</t>
  </si>
  <si>
    <t>Stress Level 1</t>
  </si>
  <si>
    <t>good</t>
  </si>
  <si>
    <t>okay</t>
  </si>
  <si>
    <t>Stress Level 2</t>
  </si>
  <si>
    <t>bad</t>
  </si>
  <si>
    <t>Stress Level 3</t>
  </si>
  <si>
    <t>worse</t>
  </si>
  <si>
    <t>For each scenario and stress …</t>
  </si>
  <si>
    <t>Scenario B</t>
  </si>
  <si>
    <t>Scenario C</t>
  </si>
  <si>
    <t>Compare the quantity of forecasted need to the quantity of forecasted funds available.</t>
  </si>
  <si>
    <t>Communicate to management</t>
  </si>
  <si>
    <t>Retail Deposits</t>
  </si>
  <si>
    <t>Retail Mortgage Prepayment</t>
  </si>
  <si>
    <t>Non-discretionary Treasury Cash Flows</t>
  </si>
  <si>
    <r>
      <t xml:space="preserve">For each scenario, define </t>
    </r>
    <r>
      <rPr>
        <sz val="16"/>
        <color rgb="FF7030A0"/>
        <rFont val="Calibri (Body)"/>
      </rPr>
      <t>stresses</t>
    </r>
  </si>
  <si>
    <r>
      <t xml:space="preserve">Estimate cash flows from </t>
    </r>
    <r>
      <rPr>
        <sz val="16"/>
        <color theme="5" tint="-0.499984740745262"/>
        <rFont val="Calibri (Body)"/>
      </rPr>
      <t>customer behavior</t>
    </r>
  </si>
  <si>
    <r>
      <t xml:space="preserve">Add </t>
    </r>
    <r>
      <rPr>
        <sz val="16"/>
        <color rgb="FF00B0F0"/>
        <rFont val="Calibri (Body)"/>
      </rPr>
      <t>non-discretionary treasury cash flows</t>
    </r>
  </si>
  <si>
    <r>
      <t xml:space="preserve">Total the above two -&gt; </t>
    </r>
    <r>
      <rPr>
        <sz val="16"/>
        <color rgb="FFFFC000"/>
        <rFont val="Calibri (Body)"/>
      </rPr>
      <t>forecasted liquidity requirement</t>
    </r>
  </si>
  <si>
    <t>Forecasted Liquidity Requirement</t>
  </si>
  <si>
    <t>Standby Liquidity Available</t>
  </si>
  <si>
    <r>
      <t xml:space="preserve">Determine the amount of </t>
    </r>
    <r>
      <rPr>
        <sz val="16"/>
        <color rgb="FF00B050"/>
        <rFont val="Calibri (Body)"/>
      </rPr>
      <t>standby liquidity available</t>
    </r>
    <r>
      <rPr>
        <sz val="16"/>
        <color theme="1"/>
        <rFont val="Calibri"/>
        <family val="2"/>
        <scheme val="minor"/>
      </rPr>
      <t xml:space="preserve"> -&gt; counter balancing capacity</t>
    </r>
  </si>
  <si>
    <r>
      <rPr>
        <sz val="16"/>
        <rFont val="Calibri (Body)"/>
      </rPr>
      <t xml:space="preserve">Define </t>
    </r>
    <r>
      <rPr>
        <sz val="16"/>
        <color rgb="FFC00000"/>
        <rFont val="Calibri (Body)"/>
      </rPr>
      <t>scenarios</t>
    </r>
  </si>
  <si>
    <t>"Overindebtedness"</t>
  </si>
  <si>
    <t>Overnight</t>
  </si>
  <si>
    <t xml:space="preserve">     Net Personal Lines</t>
  </si>
  <si>
    <t>Purchase $50m Treasury bond with annual coupon of 4% maturing on 03/31/2030</t>
  </si>
  <si>
    <t>Issue $100m Corporate bond semi-annual coupon with 2% maturing on 04/30/2024</t>
  </si>
  <si>
    <t>Purchase $50m Mortgage Back Security (MBS) 4% with semi-annual payments maturing on 06/30/2029</t>
  </si>
  <si>
    <t>Now</t>
  </si>
  <si>
    <t>Liquidity Risk</t>
  </si>
  <si>
    <t>Hull Chapter 24</t>
  </si>
  <si>
    <t>What principles and concepts guide your decisions?  Offer 3 ideas, breifly summarized.</t>
  </si>
  <si>
    <t>In the yellow shaded cells, enter the amount which you think is suitable for each type of investment based on its expected liquidity. 
Answer the questions below.</t>
  </si>
  <si>
    <t>What additional information would you like to ask from your risk analyst in order to help make your decisions?</t>
  </si>
  <si>
    <t>You are a bank analyst working for the bank's treasury department.</t>
  </si>
  <si>
    <t>Purchase $100m 5 years GS CDS (2% premium paid semi-annually) maturing on 06/30/2024</t>
  </si>
  <si>
    <t>Sell forward, settling on 03/31/2022, $50m 5-year Treasury bond</t>
  </si>
  <si>
    <t>Its' the start of Q1.</t>
  </si>
  <si>
    <t>Net Cashflow</t>
  </si>
  <si>
    <t>Net Installment Loans</t>
  </si>
  <si>
    <t>Net Personal Lines</t>
  </si>
  <si>
    <t>Net Mortgage Loans</t>
  </si>
  <si>
    <t>Net Corporate Loans - Fixed</t>
  </si>
  <si>
    <t>Net Commerical - Lines of Credit</t>
  </si>
  <si>
    <t>Net change in Indeterminate Maturity Deposits</t>
  </si>
  <si>
    <t>Month1</t>
  </si>
  <si>
    <t>Month2</t>
  </si>
  <si>
    <t>Month3</t>
  </si>
  <si>
    <t>Month4</t>
  </si>
  <si>
    <t>Month5</t>
  </si>
  <si>
    <t>Month6</t>
  </si>
  <si>
    <t>Month7</t>
  </si>
  <si>
    <t>Month8</t>
  </si>
  <si>
    <t>Month9</t>
  </si>
  <si>
    <t>Month10</t>
  </si>
  <si>
    <t>Month11</t>
  </si>
  <si>
    <t>Month12</t>
  </si>
  <si>
    <t>Your manager has presented you with the set of major current and upcoming fixed income transactions below.</t>
  </si>
  <si>
    <t>For this analysis, forward transactions are considered as cashflows since price and intention are set.</t>
  </si>
  <si>
    <t>Sell forward, settling on 07/31/2022, $50m 5-year Treasury bond</t>
  </si>
  <si>
    <t>Purchase $500m 5 years GS Bond, semi annual coupon of 4% , maturing on 06/30/2024</t>
  </si>
  <si>
    <t>Consider the sum of these treasury cash flows to be Counter Balancing Capacity.</t>
  </si>
  <si>
    <t>Scenario - Highest Stress Level</t>
  </si>
  <si>
    <t>Base Cash Flows</t>
  </si>
  <si>
    <t>In the section on the right, breifly describe the scenario first in general then and how it impacts each line item.</t>
  </si>
  <si>
    <t>Installment Loans</t>
  </si>
  <si>
    <t>Personal Lines</t>
  </si>
  <si>
    <t>Mortgage Loans</t>
  </si>
  <si>
    <t>IMDA</t>
  </si>
  <si>
    <t>Commerical LoC</t>
  </si>
  <si>
    <t>Scenario Description</t>
  </si>
  <si>
    <t>Forward Cash Exposures</t>
  </si>
  <si>
    <t>You are an investment analyst at a property, casualty and life insurer. This financial institution thrives on maturity transformation and has significant investing expertise.  You work on an investments team and currently you are collaborating with the treasury department of your company.  
The company’s annual cash flow forecast has just been updated.  You have been asked to review the liquidity profile of the current investment portfolio and recommend any changes which could maintain or improve its liquidity without reducing the portfolio’s current yield.
While not necessary, the risk management function prefers an average liquidity of 10 days.</t>
  </si>
  <si>
    <t>You are a financial analyst at the Treasury Department of Company H, a bio-engineering firm which has just completed its initial public stock offering. You are asked to recommend an investment mix for the company’s pool of $250M cash resulting from the public stock offering.  Decide how much and when to deploy the investments.
The company will receive the money at the start of the year.  For the first quarter of the year, Q1, the funds will just be invested in treasury bonds while your team decides how to allocate the capital.
This company has no expertise in investing. The cost of borrowing for the company is around 5% after taxes.
Allocated capital into investments as you deem appropriate.  Borrow if you think that helps.
And note that this particular view is an accounting view that does not track the investments.
Explain your decisions and explain why your allocation is best even if this accounting view does not show it.</t>
  </si>
  <si>
    <t xml:space="preserve">In the yellow shaded cells, in the IMix1Calc tab, enter the amount which you think is suitable for each type of investment based on its expected liquidity.  
In the text box below the yellow cells, enter your reasoning for your investment selections.
Answer the question below.
</t>
  </si>
  <si>
    <t>Populate a high stress level scenario (2nd yellow block of cells).</t>
  </si>
  <si>
    <t>You are asked to post the cash flows to the corresponding time buckets (1st yellow block of cells).</t>
  </si>
  <si>
    <t>Additional notes:</t>
  </si>
  <si>
    <t>Sources of Liquidity — Instrument Comparisons</t>
  </si>
  <si>
    <t>Understand these products in depth so you can manage their risks effectively (note: VaR doesn't work well with such instruments).</t>
  </si>
  <si>
    <t>1.  Commercial Paper vs. Short-Term Bank Debt</t>
  </si>
  <si>
    <t>Feature</t>
  </si>
  <si>
    <t>Commercial Paper</t>
  </si>
  <si>
    <t>Short-Term Bank Debt</t>
  </si>
  <si>
    <t>Issuer</t>
  </si>
  <si>
    <t>Corporations (any type)</t>
  </si>
  <si>
    <t>Banks only</t>
  </si>
  <si>
    <t>Typical maturity</t>
  </si>
  <si>
    <t>1–90 days</t>
  </si>
  <si>
    <t>1 month – 1 year</t>
  </si>
  <si>
    <t>Structure</t>
  </si>
  <si>
    <t>Discount instrument</t>
  </si>
  <si>
    <t>Interest-bearing or discount</t>
  </si>
  <si>
    <t>Security</t>
  </si>
  <si>
    <t>Unsecured</t>
  </si>
  <si>
    <t>Can be secured or unsecured</t>
  </si>
  <si>
    <t>Regulation</t>
  </si>
  <si>
    <t>SEC exempt if &lt; 270 days</t>
  </si>
  <si>
    <t>Banking regulations apply</t>
  </si>
  <si>
    <t>Insurance</t>
  </si>
  <si>
    <t>None</t>
  </si>
  <si>
    <t>CDs may have FDIC insurance</t>
  </si>
  <si>
    <t>Purpose</t>
  </si>
  <si>
    <t>Corporate working capital</t>
  </si>
  <si>
    <t>Bank funding operations</t>
  </si>
  <si>
    <t>Market size</t>
  </si>
  <si>
    <t>~$1 trillion (US)</t>
  </si>
  <si>
    <t>Varies by instrument</t>
  </si>
  <si>
    <t>Credit risk</t>
  </si>
  <si>
    <t>Corporate credit</t>
  </si>
  <si>
    <t>Bank credit</t>
  </si>
  <si>
    <t>2.  Time Deposits vs. Certificates of Deposit (CDs)</t>
  </si>
  <si>
    <t>CDs are actually a TYPE of time deposit, but the terms are used differently in practice.</t>
  </si>
  <si>
    <t>Generic Time Deposit</t>
  </si>
  <si>
    <t>Certificate of Deposit</t>
  </si>
  <si>
    <t>Documentation</t>
  </si>
  <si>
    <t>Account-based</t>
  </si>
  <si>
    <t>Certificate issued (physical or electronic)</t>
  </si>
  <si>
    <t>Negotiability</t>
  </si>
  <si>
    <t>Usually non-negotiable</t>
  </si>
  <si>
    <t>Can be negotiable (especially jumbo CDs)</t>
  </si>
  <si>
    <t>Size</t>
  </si>
  <si>
    <t>Any amount</t>
  </si>
  <si>
    <t>Often specific minimums ($1k, $100k, $1M+)</t>
  </si>
  <si>
    <t>Standardization</t>
  </si>
  <si>
    <t>Custom terms possible</t>
  </si>
  <si>
    <t>Standardized maturities and terms</t>
  </si>
  <si>
    <t>Market</t>
  </si>
  <si>
    <t>Retail and wholesale</t>
  </si>
  <si>
    <t>Primarily retail, but also wholesale</t>
  </si>
  <si>
    <t>Trading</t>
  </si>
  <si>
    <t>Cannot be sold / transferred</t>
  </si>
  <si>
    <t>More common internationally</t>
  </si>
  <si>
    <t>US-specific term primarily</t>
  </si>
  <si>
    <t>3.  Large / Wholesale Time Deposit vs. Negotiable CD</t>
  </si>
  <si>
    <t>The distinction becomes more meaningful for large / wholesale time deposits.</t>
  </si>
  <si>
    <t>Dimension</t>
  </si>
  <si>
    <t>Large Time Deposit</t>
  </si>
  <si>
    <t>Negotiable CD</t>
  </si>
  <si>
    <t>Nature</t>
  </si>
  <si>
    <t>Relationship-based</t>
  </si>
  <si>
    <t>Security-like instrument</t>
  </si>
  <si>
    <t>Transferability</t>
  </si>
  <si>
    <t>Cannot transfer</t>
  </si>
  <si>
    <t>Can sell to another investor</t>
  </si>
  <si>
    <t>Terms</t>
  </si>
  <si>
    <t>Custom terms</t>
  </si>
  <si>
    <t>Standardized</t>
  </si>
  <si>
    <t>Less liquid</t>
  </si>
  <si>
    <t>More liquid</t>
  </si>
  <si>
    <t>Classification</t>
  </si>
  <si>
    <t>Pure deposit</t>
  </si>
  <si>
    <t>Tradable instrument</t>
  </si>
  <si>
    <t>Negotiable CDs pay lower rates than large time deposits because they are more liquid (can be sold in the secondary market).</t>
  </si>
  <si>
    <t>4.  Key Definitions</t>
  </si>
  <si>
    <t>Short-term borrowing/lending transaction where one party sells securities to another with an agreement to repurchase them at a specified future date and price — essentially a collateralized loan disguised as a simultaneous sale and purchase.</t>
  </si>
  <si>
    <t>The Federal Reserve's lending facility where banks can borrow directly from the Fed, typically short term (usually overnight), against collateral — the Fed's emergency lending counter for banks.</t>
  </si>
  <si>
    <t>Discount window:</t>
  </si>
  <si>
    <t>Repo: (repurchase agreement)</t>
  </si>
  <si>
    <t>Think of it as renting out securities in exchange for a borrowing fee and valuable collateral - like lending you car, but with stocks or bonds.</t>
  </si>
  <si>
    <t xml:space="preserve">Securities lending is when the owner of securities (stock, bonds, etc.) temporarily lends them to another party (borrower) in exchange for a fee, with the agreement that the borrower will return equivalent securities at a later date </t>
  </si>
  <si>
    <t>Securities lending</t>
  </si>
  <si>
    <r>
      <t xml:space="preserve">Another source of short-term funding liquidity: </t>
    </r>
    <r>
      <rPr>
        <i/>
        <sz val="20"/>
        <color rgb="FFFF0000"/>
        <rFont val="Calibri (Body)"/>
      </rPr>
      <t>Securities lending</t>
    </r>
  </si>
  <si>
    <t>Short-term securities risks</t>
  </si>
  <si>
    <r>
      <rPr>
        <sz val="20"/>
        <color rgb="FFFF0000"/>
        <rFont val="Calibri (Body)"/>
      </rPr>
      <t>• Liquidity risk:</t>
    </r>
    <r>
      <rPr>
        <sz val="20"/>
        <color theme="1"/>
        <rFont val="Calibri"/>
        <family val="2"/>
        <scheme val="minor"/>
      </rPr>
      <t xml:space="preserve"> market can freeze, bid-ask spreads explode </t>
    </r>
  </si>
  <si>
    <r>
      <rPr>
        <sz val="20"/>
        <color rgb="FFFF0000"/>
        <rFont val="Calibri (Body)"/>
      </rPr>
      <t>• Credit risk:</t>
    </r>
    <r>
      <rPr>
        <sz val="20"/>
        <color theme="1"/>
        <rFont val="Calibri"/>
        <family val="2"/>
        <scheme val="minor"/>
      </rPr>
      <t xml:space="preserve"> Even short term, issuers can default (Lehman CP was 30-90 days)</t>
    </r>
  </si>
  <si>
    <r>
      <rPr>
        <sz val="20"/>
        <color rgb="FFFF0000"/>
        <rFont val="Calibri (Body)"/>
      </rPr>
      <t>• Rollover risk:</t>
    </r>
    <r>
      <rPr>
        <sz val="20"/>
        <color theme="1"/>
        <rFont val="Calibri"/>
        <family val="2"/>
        <scheme val="minor"/>
      </rPr>
      <t xml:space="preserve"> If you need to sell before maturity, price may have moved</t>
    </r>
  </si>
  <si>
    <r>
      <rPr>
        <sz val="20"/>
        <color rgb="FFFF0000"/>
        <rFont val="Calibri (Body)"/>
      </rPr>
      <t xml:space="preserve">• Spread widening: </t>
    </r>
    <r>
      <rPr>
        <sz val="20"/>
        <color theme="1"/>
        <rFont val="Calibri"/>
        <family val="2"/>
        <scheme val="minor"/>
      </rPr>
      <t>Credit spread can spike even for near-term paper</t>
    </r>
  </si>
  <si>
    <r>
      <rPr>
        <sz val="20"/>
        <color rgb="FFFF0000"/>
        <rFont val="Calibri (Body)"/>
      </rPr>
      <t>• Flight to quality:</t>
    </r>
    <r>
      <rPr>
        <sz val="20"/>
        <color theme="1"/>
        <rFont val="Calibri"/>
        <family val="2"/>
        <scheme val="minor"/>
      </rPr>
      <t xml:space="preserve"> Non-Treasury short-term paper can become illiquid in crisis</t>
    </r>
  </si>
  <si>
    <t>Credit spread shock</t>
  </si>
  <si>
    <t>Downgrades</t>
  </si>
  <si>
    <t>Liquidity stress (need to liquidate quickly)</t>
  </si>
  <si>
    <t>Credit event</t>
  </si>
  <si>
    <t>Interest rate risk</t>
  </si>
  <si>
    <t>Rollover risk</t>
  </si>
  <si>
    <t>1.  What is a cash-flow gap forecast?</t>
  </si>
  <si>
    <t>In the context of Enterprise Risk Management (ERM) and Asset-Liability Management (ALM), a Cash Flow Gap Forecast is a forward-looking analytical tool used to identify mismatches between the timing of expected cash inflows and outflows.</t>
  </si>
  <si>
    <t>For a financial institution or a large corporation, it isn't just about "money in vs. money out" — it is a mapping of liquidity risk across specific time horizons.</t>
  </si>
  <si>
    <t>2.  The core structure: "Time Buckets"</t>
  </si>
  <si>
    <t>Unlike a standard cash flow statement, a gap forecast categorizes all cash movements into incremental Time Buckets (e.g., Overnight, 1–7 Days, 1 Month, 3 Months, 1 Year, 5 Years+).</t>
  </si>
  <si>
    <t>Maturing assets (loans being paid back), coupon payments, and expected asset sales.</t>
  </si>
  <si>
    <t>Maturing liabilities (CDs, wholesale funding), deposit withdrawals, and operating expenses.</t>
  </si>
  <si>
    <t>The Gap</t>
  </si>
  <si>
    <t>For each bucket:   Periodic Gap  =  Total Inflows  −  Total Outflows</t>
  </si>
  <si>
    <t>Cumulative Gap</t>
  </si>
  <si>
    <t>The running total of gaps across all buckets — shows the Net Liquidity Position at any future point in time.</t>
  </si>
  <si>
    <t>3.  Why risk managers use it</t>
  </si>
  <si>
    <t>Liquidity Coverage Ratio (LCR)</t>
  </si>
  <si>
    <t>Regulators (Basel III) use 30-day gap forecasts to ensure banks hold enough High-Quality Liquid Assets (HQLA) to survive a "stress" gap.</t>
  </si>
  <si>
    <t>Interest Rate Risk (IRRBB)</t>
  </si>
  <si>
    <t>If a bank has a "negative gap" (more liabilities maturing/repricing than assets) in a rising rate environment, its net interest margin (NIM) will be squeezed.</t>
  </si>
  <si>
    <t>Contingency Funding Plan (CFP)</t>
  </si>
  <si>
    <t>If the forecast shows a massive cumulative deficit in the "3-month" bucket, the bank knows it needs to secure wholesale funding or liquidate assets now to prevent a crisis later.</t>
  </si>
  <si>
    <t>Large CDs can be traded in secondary market</t>
  </si>
  <si>
    <t>x</t>
  </si>
  <si>
    <t>Stress testing short-term securities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</si>
</sst>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6" formatCode="&quot;$&quot;#,##0_);[Red]\(&quot;$&quot;#,##0\)"/>
    <numFmt numFmtId="44" formatCode="_(&quot;$&quot;* #,##0.00_);_(&quot;$&quot;* \(#,##0.00\);_(&quot;$&quot;* &quot;-&quot;??_);_(@_)"/>
    <numFmt numFmtId="43" formatCode="_(* #,##0.00_);_(* \(#,##0.00\);_(* &quot;-&quot;??_);_(@_)"/>
    <numFmt numFmtId="164" formatCode="0.0"/>
    <numFmt numFmtId="165" formatCode="0.0%"/>
    <numFmt numFmtId="166" formatCode="0_);\(0\)"/>
    <numFmt numFmtId="167" formatCode="_(* #,##0_);_(* \(#,##0\);_(* &quot;-&quot;??_);_(@_)"/>
    <numFmt numFmtId="168" formatCode="_(&quot;$&quot;* #,##0_);_(&quot;$&quot;* \(#,##0\);_(&quot;$&quot;* &quot;-&quot;??_);_(@_)"/>
  </numFmts>
  <fonts count="53"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20"/>
      <color theme="1"/>
      <name val="Calibri"/>
      <family val="2"/>
      <scheme val="minor"/>
    </font>
    <font>
      <sz val="22"/>
      <color theme="1"/>
      <name val="Calibri"/>
      <family val="2"/>
      <scheme val="minor"/>
    </font>
    <font>
      <u/>
      <sz val="11"/>
      <color theme="10"/>
      <name val="Calibri"/>
      <family val="2"/>
      <scheme val="minor"/>
    </font>
    <font>
      <sz val="18"/>
      <color theme="1"/>
      <name val="Calibri"/>
      <family val="2"/>
      <scheme val="minor"/>
    </font>
    <font>
      <sz val="11"/>
      <color rgb="FFFF0000"/>
      <name val="Calibri"/>
      <family val="2"/>
      <scheme val="minor"/>
    </font>
    <font>
      <b/>
      <sz val="11"/>
      <color theme="1"/>
      <name val="Calibri"/>
      <family val="2"/>
      <scheme val="minor"/>
    </font>
    <font>
      <sz val="11"/>
      <color rgb="FF0033CC"/>
      <name val="Calibri"/>
      <family val="2"/>
      <scheme val="minor"/>
    </font>
    <font>
      <i/>
      <sz val="11"/>
      <color rgb="FF0033CC"/>
      <name val="Calibri"/>
      <family val="2"/>
      <scheme val="minor"/>
    </font>
    <font>
      <i/>
      <sz val="11"/>
      <color rgb="FFFF0000"/>
      <name val="Calibri"/>
      <family val="2"/>
      <scheme val="minor"/>
    </font>
    <font>
      <sz val="11"/>
      <name val="Calibri"/>
      <family val="2"/>
      <scheme val="minor"/>
    </font>
    <font>
      <u/>
      <sz val="20"/>
      <color theme="1"/>
      <name val="Calibri"/>
      <family val="2"/>
      <scheme val="minor"/>
    </font>
    <font>
      <b/>
      <sz val="20"/>
      <color theme="1"/>
      <name val="Calibri"/>
      <family val="2"/>
      <scheme val="minor"/>
    </font>
    <font>
      <sz val="11"/>
      <color theme="1"/>
      <name val="Calibri"/>
      <family val="2"/>
      <scheme val="minor"/>
    </font>
    <font>
      <b/>
      <sz val="20"/>
      <color rgb="FF333333"/>
      <name val="Calibri"/>
      <family val="2"/>
    </font>
    <font>
      <sz val="20"/>
      <color rgb="FF333333"/>
      <name val="Calibri"/>
      <family val="2"/>
    </font>
    <font>
      <sz val="20"/>
      <name val="Calibri"/>
      <family val="2"/>
    </font>
    <font>
      <sz val="16"/>
      <color theme="1"/>
      <name val="Calibri"/>
      <family val="2"/>
      <scheme val="minor"/>
    </font>
    <font>
      <sz val="16"/>
      <color rgb="FFFF0000"/>
      <name val="Calibri"/>
      <family val="2"/>
      <scheme val="minor"/>
    </font>
    <font>
      <sz val="16"/>
      <name val="Calibri (Body)"/>
    </font>
    <font>
      <sz val="16"/>
      <color rgb="FF7030A0"/>
      <name val="Calibri (Body)"/>
    </font>
    <font>
      <sz val="16"/>
      <color theme="5" tint="-0.499984740745262"/>
      <name val="Calibri (Body)"/>
    </font>
    <font>
      <sz val="16"/>
      <color theme="5" tint="-0.499984740745262"/>
      <name val="Calibri"/>
      <family val="2"/>
      <scheme val="minor"/>
    </font>
    <font>
      <sz val="16"/>
      <color rgb="FF7030A0"/>
      <name val="Calibri"/>
      <family val="2"/>
      <scheme val="minor"/>
    </font>
    <font>
      <sz val="16"/>
      <color rgb="FF00B0F0"/>
      <name val="Calibri (Body)"/>
    </font>
    <font>
      <sz val="16"/>
      <color rgb="FF00B0F0"/>
      <name val="Calibri"/>
      <family val="2"/>
      <scheme val="minor"/>
    </font>
    <font>
      <sz val="16"/>
      <color rgb="FFFFC000"/>
      <name val="Calibri (Body)"/>
    </font>
    <font>
      <sz val="16"/>
      <color rgb="FF00B050"/>
      <name val="Calibri (Body)"/>
    </font>
    <font>
      <sz val="16"/>
      <color rgb="FF00B050"/>
      <name val="Calibri"/>
      <family val="2"/>
      <scheme val="minor"/>
    </font>
    <font>
      <sz val="16"/>
      <color rgb="FFC00000"/>
      <name val="Calibri (Body)"/>
    </font>
    <font>
      <sz val="16"/>
      <color rgb="FFFF0000"/>
      <name val="Calibri (Body)"/>
    </font>
    <font>
      <sz val="16"/>
      <color rgb="FFC00000"/>
      <name val="Calibri"/>
      <family val="2"/>
      <scheme val="minor"/>
    </font>
    <font>
      <sz val="8"/>
      <name val="Calibri"/>
      <family val="2"/>
      <scheme val="minor"/>
    </font>
    <font>
      <i/>
      <sz val="20"/>
      <color theme="1"/>
      <name val="Calibri"/>
      <family val="2"/>
      <scheme val="minor"/>
    </font>
    <font>
      <i/>
      <sz val="20"/>
      <color rgb="FFFF0000"/>
      <name val="Calibri (Body)"/>
    </font>
    <font>
      <sz val="20"/>
      <color rgb="FFFF0000"/>
      <name val="Calibri (Body)"/>
    </font>
    <font>
      <b/>
      <sz val="20"/>
      <color rgb="FFC00000"/>
      <name val="Calibri"/>
      <family val="2"/>
      <scheme val="minor"/>
    </font>
    <font>
      <sz val="20"/>
      <color rgb="FF008000"/>
      <name val="Calibri"/>
      <family val="2"/>
      <scheme val="minor"/>
    </font>
    <font>
      <b/>
      <sz val="20"/>
      <color rgb="FF1F3864"/>
      <name val="Calibri"/>
      <family val="2"/>
      <scheme val="minor"/>
    </font>
    <font>
      <i/>
      <sz val="18"/>
      <color theme="1"/>
      <name val="Calibri"/>
      <family val="2"/>
      <scheme val="minor"/>
    </font>
    <font>
      <b/>
      <sz val="18"/>
      <color rgb="FFFF0000"/>
      <name val="Calibri"/>
      <family val="2"/>
      <scheme val="minor"/>
    </font>
    <font>
      <b/>
      <sz val="18"/>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0" tint="-0.34998626667073579"/>
        <bgColor indexed="64"/>
      </patternFill>
    </fill>
    <fill>
      <patternFill patternType="solid">
        <fgColor theme="9"/>
        <bgColor indexed="64"/>
      </patternFill>
    </fill>
    <fill>
      <patternFill patternType="solid">
        <fgColor theme="2" tint="-0.249977111117893"/>
        <bgColor indexed="64"/>
      </patternFill>
    </fill>
    <fill>
      <patternFill patternType="solid">
        <fgColor theme="0"/>
        <bgColor indexed="64"/>
      </patternFill>
    </fill>
    <fill>
      <patternFill patternType="solid">
        <fgColor rgb="FF0070C0"/>
        <bgColor indexed="64"/>
      </patternFill>
    </fill>
    <fill>
      <patternFill patternType="solid">
        <fgColor theme="4" tint="0.79998168889431442"/>
        <bgColor indexed="64"/>
      </patternFill>
    </fill>
    <fill>
      <patternFill patternType="solid">
        <fgColor rgb="FFFFFFFF"/>
        <bgColor indexed="64"/>
      </patternFill>
    </fill>
  </fills>
  <borders count="63">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right/>
      <top style="thin">
        <color theme="2" tint="-0.249977111117893"/>
      </top>
      <bottom style="thin">
        <color theme="2" tint="-0.249977111117893"/>
      </bottom>
      <diagonal/>
    </border>
    <border>
      <left/>
      <right style="thin">
        <color theme="2" tint="-0.249977111117893"/>
      </right>
      <top style="thin">
        <color theme="2" tint="-0.249977111117893"/>
      </top>
      <bottom style="thin">
        <color theme="2" tint="-0.249977111117893"/>
      </bottom>
      <diagonal/>
    </border>
    <border>
      <left style="thin">
        <color theme="2" tint="-0.249977111117893"/>
      </left>
      <right/>
      <top/>
      <bottom style="thin">
        <color theme="2" tint="-0.249977111117893"/>
      </bottom>
      <diagonal/>
    </border>
    <border>
      <left/>
      <right/>
      <top/>
      <bottom style="thin">
        <color theme="2" tint="-0.249977111117893"/>
      </bottom>
      <diagonal/>
    </border>
    <border>
      <left/>
      <right style="thin">
        <color theme="2" tint="-0.249977111117893"/>
      </right>
      <top/>
      <bottom style="thin">
        <color theme="2" tint="-0.249977111117893"/>
      </bottom>
      <diagonal/>
    </border>
    <border>
      <left style="thin">
        <color theme="2" tint="-0.249977111117893"/>
      </left>
      <right style="thin">
        <color theme="2" tint="-0.249977111117893"/>
      </right>
      <top/>
      <bottom/>
      <diagonal/>
    </border>
    <border>
      <left style="thin">
        <color theme="2" tint="-0.249977111117893"/>
      </left>
      <right style="thin">
        <color theme="2" tint="-0.249977111117893"/>
      </right>
      <top/>
      <bottom style="thin">
        <color theme="2" tint="-0.249977111117893"/>
      </bottom>
      <diagonal/>
    </border>
    <border>
      <left style="thin">
        <color indexed="64"/>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diagonal/>
    </border>
    <border>
      <left/>
      <right/>
      <top style="thin">
        <color theme="2" tint="-0.249977111117893"/>
      </top>
      <bottom/>
      <diagonal/>
    </border>
    <border>
      <left/>
      <right style="thin">
        <color theme="2" tint="-0.249977111117893"/>
      </right>
      <top style="thin">
        <color theme="2" tint="-0.249977111117893"/>
      </top>
      <bottom/>
      <diagonal/>
    </border>
    <border>
      <left/>
      <right style="thin">
        <color theme="2" tint="-0.249977111117893"/>
      </right>
      <top/>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bottom/>
      <diagonal/>
    </border>
  </borders>
  <cellStyleXfs count="14">
    <xf numFmtId="0" fontId="0" fillId="0" borderId="0"/>
    <xf numFmtId="0" fontId="11" fillId="0" borderId="0"/>
    <xf numFmtId="9" fontId="11" fillId="0" borderId="0" applyFont="0" applyFill="0" applyBorder="0" applyAlignment="0" applyProtection="0"/>
    <xf numFmtId="0" fontId="10" fillId="0" borderId="0"/>
    <xf numFmtId="0" fontId="9" fillId="0" borderId="0"/>
    <xf numFmtId="0" fontId="8" fillId="0" borderId="0"/>
    <xf numFmtId="0" fontId="14" fillId="0" borderId="0" applyNumberFormat="0" applyFill="0" applyBorder="0" applyAlignment="0" applyProtection="0"/>
    <xf numFmtId="0" fontId="6" fillId="0" borderId="0"/>
    <xf numFmtId="0" fontId="5" fillId="0" borderId="0"/>
    <xf numFmtId="0" fontId="3" fillId="0" borderId="0"/>
    <xf numFmtId="43" fontId="24" fillId="0" borderId="0" applyFont="0" applyFill="0" applyBorder="0" applyAlignment="0" applyProtection="0"/>
    <xf numFmtId="44" fontId="24" fillId="0" borderId="0" applyFont="0" applyFill="0" applyBorder="0" applyAlignment="0" applyProtection="0"/>
    <xf numFmtId="0" fontId="2" fillId="0" borderId="0"/>
    <xf numFmtId="0" fontId="1" fillId="0" borderId="0"/>
  </cellStyleXfs>
  <cellXfs count="274">
    <xf numFmtId="0" fontId="0" fillId="0" borderId="0" xfId="0"/>
    <xf numFmtId="0" fontId="0" fillId="2" borderId="0" xfId="0" applyFill="1"/>
    <xf numFmtId="0" fontId="10" fillId="3" borderId="0" xfId="3" applyFill="1"/>
    <xf numFmtId="0" fontId="12" fillId="2" borderId="0" xfId="0" applyFont="1" applyFill="1"/>
    <xf numFmtId="0" fontId="9" fillId="3" borderId="0" xfId="4" applyFill="1"/>
    <xf numFmtId="0" fontId="12" fillId="3" borderId="0" xfId="3" applyFont="1" applyFill="1"/>
    <xf numFmtId="0" fontId="12" fillId="3" borderId="0" xfId="0" applyFont="1" applyFill="1"/>
    <xf numFmtId="0" fontId="13" fillId="3" borderId="0" xfId="5" applyFont="1" applyFill="1"/>
    <xf numFmtId="0" fontId="13" fillId="3" borderId="0" xfId="0" applyFont="1" applyFill="1"/>
    <xf numFmtId="0" fontId="7" fillId="3" borderId="0" xfId="3" applyFont="1" applyFill="1"/>
    <xf numFmtId="0" fontId="15" fillId="3" borderId="0" xfId="3" applyFont="1" applyFill="1"/>
    <xf numFmtId="0" fontId="14" fillId="2" borderId="0" xfId="6" applyFill="1"/>
    <xf numFmtId="0" fontId="12" fillId="3" borderId="0" xfId="7" applyFont="1" applyFill="1"/>
    <xf numFmtId="0" fontId="12" fillId="3" borderId="0" xfId="7" applyFont="1" applyFill="1" applyAlignment="1">
      <alignment wrapText="1"/>
    </xf>
    <xf numFmtId="0" fontId="17" fillId="0" borderId="0" xfId="0" applyFont="1"/>
    <xf numFmtId="0" fontId="0" fillId="0" borderId="0" xfId="0" applyAlignment="1">
      <alignment horizontal="center"/>
    </xf>
    <xf numFmtId="0" fontId="18" fillId="0" borderId="0" xfId="0" applyFont="1" applyAlignment="1">
      <alignment horizontal="center"/>
    </xf>
    <xf numFmtId="0" fontId="17" fillId="0" borderId="0" xfId="0" applyFont="1" applyAlignment="1">
      <alignment horizontal="center"/>
    </xf>
    <xf numFmtId="15" fontId="0" fillId="0" borderId="0" xfId="0" applyNumberFormat="1" applyAlignment="1">
      <alignment horizontal="center"/>
    </xf>
    <xf numFmtId="15" fontId="17" fillId="0" borderId="0" xfId="0" applyNumberFormat="1" applyFont="1" applyAlignment="1">
      <alignment horizontal="center"/>
    </xf>
    <xf numFmtId="0" fontId="18" fillId="0" borderId="0" xfId="0" applyFont="1"/>
    <xf numFmtId="0" fontId="0" fillId="0" borderId="6" xfId="0" applyBorder="1" applyAlignment="1">
      <alignment horizontal="center"/>
    </xf>
    <xf numFmtId="0" fontId="17" fillId="0" borderId="0" xfId="0" applyFont="1" applyAlignment="1">
      <alignment horizontal="left"/>
    </xf>
    <xf numFmtId="0" fontId="19" fillId="0" borderId="0" xfId="0" applyFont="1"/>
    <xf numFmtId="0" fontId="19" fillId="0" borderId="7" xfId="0" applyFon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20" fillId="0" borderId="0" xfId="0" applyFont="1" applyAlignment="1">
      <alignment horizontal="center"/>
    </xf>
    <xf numFmtId="164" fontId="19" fillId="0" borderId="0" xfId="0" applyNumberFormat="1" applyFont="1" applyAlignment="1">
      <alignment horizontal="center"/>
    </xf>
    <xf numFmtId="0" fontId="19" fillId="0" borderId="0" xfId="0" applyFont="1" applyAlignment="1">
      <alignment horizontal="center"/>
    </xf>
    <xf numFmtId="165" fontId="19" fillId="0" borderId="0" xfId="0" applyNumberFormat="1" applyFont="1" applyAlignment="1">
      <alignment horizontal="center"/>
    </xf>
    <xf numFmtId="9" fontId="16" fillId="0" borderId="6" xfId="0" applyNumberFormat="1" applyFont="1" applyBorder="1" applyAlignment="1">
      <alignment horizontal="center"/>
    </xf>
    <xf numFmtId="9" fontId="19" fillId="0" borderId="0" xfId="0" applyNumberFormat="1" applyFont="1" applyAlignment="1">
      <alignment horizontal="center"/>
    </xf>
    <xf numFmtId="9" fontId="16" fillId="0" borderId="7" xfId="0" applyNumberFormat="1" applyFont="1" applyBorder="1" applyAlignment="1">
      <alignment horizontal="center"/>
    </xf>
    <xf numFmtId="166" fontId="0" fillId="0" borderId="0" xfId="0" applyNumberFormat="1" applyAlignment="1">
      <alignment horizontal="center"/>
    </xf>
    <xf numFmtId="166" fontId="19" fillId="0" borderId="0" xfId="0" applyNumberFormat="1" applyFont="1" applyAlignment="1">
      <alignment horizontal="center"/>
    </xf>
    <xf numFmtId="0" fontId="21" fillId="0" borderId="0" xfId="0" applyFont="1"/>
    <xf numFmtId="0" fontId="21" fillId="0" borderId="7" xfId="0" applyFont="1" applyBorder="1" applyAlignment="1">
      <alignment horizontal="center"/>
    </xf>
    <xf numFmtId="0" fontId="21" fillId="0" borderId="8" xfId="0" applyFont="1" applyBorder="1" applyAlignment="1">
      <alignment horizontal="center"/>
    </xf>
    <xf numFmtId="0" fontId="21" fillId="0" borderId="6" xfId="0" applyFont="1" applyBorder="1" applyAlignment="1">
      <alignment horizontal="center"/>
    </xf>
    <xf numFmtId="0" fontId="22" fillId="2" borderId="0" xfId="0" applyFont="1" applyFill="1"/>
    <xf numFmtId="0" fontId="23" fillId="2" borderId="0" xfId="0" applyFont="1" applyFill="1"/>
    <xf numFmtId="0" fontId="15" fillId="2" borderId="0" xfId="0" applyFont="1" applyFill="1"/>
    <xf numFmtId="0" fontId="12" fillId="2" borderId="0" xfId="8" applyFont="1" applyFill="1"/>
    <xf numFmtId="0" fontId="0" fillId="4" borderId="7" xfId="0" applyFill="1" applyBorder="1" applyAlignment="1">
      <alignment horizontal="center"/>
    </xf>
    <xf numFmtId="0" fontId="4" fillId="3" borderId="0" xfId="4" applyFont="1" applyFill="1"/>
    <xf numFmtId="0" fontId="12" fillId="2" borderId="0" xfId="9" applyFont="1" applyFill="1"/>
    <xf numFmtId="0" fontId="12" fillId="2" borderId="0" xfId="3" applyFont="1" applyFill="1"/>
    <xf numFmtId="0" fontId="12" fillId="0" borderId="0" xfId="0" applyFont="1"/>
    <xf numFmtId="0" fontId="12" fillId="0" borderId="0" xfId="0" applyFont="1" applyAlignment="1">
      <alignment wrapText="1"/>
    </xf>
    <xf numFmtId="0" fontId="23" fillId="0" borderId="0" xfId="0" applyFont="1"/>
    <xf numFmtId="0" fontId="12" fillId="5" borderId="13" xfId="0" applyFont="1" applyFill="1" applyBorder="1" applyAlignment="1">
      <alignment wrapText="1"/>
    </xf>
    <xf numFmtId="0" fontId="12" fillId="5" borderId="14" xfId="0" applyFont="1" applyFill="1" applyBorder="1" applyAlignment="1">
      <alignment horizontal="center"/>
    </xf>
    <xf numFmtId="0" fontId="12" fillId="5" borderId="15" xfId="0" applyFont="1" applyFill="1" applyBorder="1" applyAlignment="1">
      <alignment horizontal="center"/>
    </xf>
    <xf numFmtId="0" fontId="12" fillId="5" borderId="16" xfId="0" applyFont="1" applyFill="1" applyBorder="1" applyAlignment="1">
      <alignment wrapText="1"/>
    </xf>
    <xf numFmtId="0" fontId="12" fillId="5" borderId="17" xfId="0" applyFont="1" applyFill="1" applyBorder="1" applyAlignment="1">
      <alignment horizontal="center"/>
    </xf>
    <xf numFmtId="16" fontId="12" fillId="5" borderId="17" xfId="0" quotePrefix="1" applyNumberFormat="1" applyFont="1" applyFill="1" applyBorder="1" applyAlignment="1">
      <alignment horizontal="center"/>
    </xf>
    <xf numFmtId="0" fontId="12" fillId="5" borderId="18" xfId="0" applyFont="1" applyFill="1" applyBorder="1" applyAlignment="1">
      <alignment horizontal="center"/>
    </xf>
    <xf numFmtId="0" fontId="12" fillId="0" borderId="19" xfId="0" applyFont="1" applyBorder="1" applyAlignment="1">
      <alignment wrapText="1"/>
    </xf>
    <xf numFmtId="37" fontId="12" fillId="0" borderId="20" xfId="10" applyNumberFormat="1" applyFont="1" applyBorder="1"/>
    <xf numFmtId="37" fontId="12" fillId="0" borderId="21" xfId="10" applyNumberFormat="1" applyFont="1" applyBorder="1"/>
    <xf numFmtId="0" fontId="12" fillId="0" borderId="22" xfId="0" applyFont="1" applyBorder="1" applyAlignment="1">
      <alignment wrapText="1"/>
    </xf>
    <xf numFmtId="37" fontId="12" fillId="0" borderId="23" xfId="10" applyNumberFormat="1" applyFont="1" applyBorder="1"/>
    <xf numFmtId="37" fontId="12" fillId="0" borderId="24" xfId="10" applyNumberFormat="1" applyFont="1" applyBorder="1"/>
    <xf numFmtId="0" fontId="12" fillId="0" borderId="25" xfId="0" applyFont="1" applyBorder="1" applyAlignment="1">
      <alignment wrapText="1"/>
    </xf>
    <xf numFmtId="37" fontId="12" fillId="0" borderId="26" xfId="10" applyNumberFormat="1" applyFont="1" applyBorder="1"/>
    <xf numFmtId="37" fontId="12" fillId="0" borderId="27" xfId="10" applyNumberFormat="1" applyFont="1" applyBorder="1"/>
    <xf numFmtId="0" fontId="12" fillId="0" borderId="28" xfId="0" applyFont="1" applyBorder="1" applyAlignment="1">
      <alignment wrapText="1"/>
    </xf>
    <xf numFmtId="37" fontId="12" fillId="0" borderId="8" xfId="10" applyNumberFormat="1" applyFont="1" applyBorder="1"/>
    <xf numFmtId="37" fontId="12" fillId="0" borderId="29" xfId="10" applyNumberFormat="1" applyFont="1" applyBorder="1"/>
    <xf numFmtId="0" fontId="12" fillId="0" borderId="30" xfId="0" applyFont="1" applyBorder="1" applyAlignment="1">
      <alignment wrapText="1"/>
    </xf>
    <xf numFmtId="37" fontId="12" fillId="0" borderId="6" xfId="10" applyNumberFormat="1" applyFont="1" applyBorder="1"/>
    <xf numFmtId="37" fontId="12" fillId="0" borderId="31" xfId="10" applyNumberFormat="1" applyFont="1" applyBorder="1"/>
    <xf numFmtId="0" fontId="23" fillId="0" borderId="32" xfId="0" applyFont="1" applyBorder="1" applyAlignment="1">
      <alignment wrapText="1"/>
    </xf>
    <xf numFmtId="37" fontId="23" fillId="0" borderId="33" xfId="10" applyNumberFormat="1" applyFont="1" applyBorder="1"/>
    <xf numFmtId="37" fontId="23" fillId="0" borderId="34" xfId="10" applyNumberFormat="1" applyFont="1" applyBorder="1"/>
    <xf numFmtId="167" fontId="12" fillId="0" borderId="0" xfId="10" applyNumberFormat="1" applyFont="1"/>
    <xf numFmtId="37" fontId="12" fillId="0" borderId="11" xfId="10" applyNumberFormat="1" applyFont="1" applyBorder="1"/>
    <xf numFmtId="0" fontId="12" fillId="0" borderId="5" xfId="0" applyFont="1" applyBorder="1"/>
    <xf numFmtId="37" fontId="12" fillId="0" borderId="35" xfId="10" applyNumberFormat="1" applyFont="1" applyBorder="1"/>
    <xf numFmtId="0" fontId="12" fillId="0" borderId="4" xfId="0" applyFont="1" applyBorder="1"/>
    <xf numFmtId="37" fontId="12" fillId="0" borderId="9" xfId="10" applyNumberFormat="1" applyFont="1" applyBorder="1"/>
    <xf numFmtId="0" fontId="12" fillId="2" borderId="32" xfId="0" applyFont="1" applyFill="1" applyBorder="1" applyAlignment="1">
      <alignment wrapText="1"/>
    </xf>
    <xf numFmtId="37" fontId="12" fillId="2" borderId="33" xfId="10" applyNumberFormat="1" applyFont="1" applyFill="1" applyBorder="1"/>
    <xf numFmtId="37" fontId="12" fillId="2" borderId="36" xfId="10" applyNumberFormat="1" applyFont="1" applyFill="1" applyBorder="1"/>
    <xf numFmtId="0" fontId="12" fillId="6" borderId="4" xfId="0" applyFont="1" applyFill="1" applyBorder="1"/>
    <xf numFmtId="0" fontId="23" fillId="0" borderId="22" xfId="0" applyFont="1" applyBorder="1" applyAlignment="1">
      <alignment wrapText="1"/>
    </xf>
    <xf numFmtId="0" fontId="12" fillId="0" borderId="3" xfId="0" applyFont="1" applyBorder="1"/>
    <xf numFmtId="0" fontId="12" fillId="5" borderId="5" xfId="0" applyFont="1" applyFill="1" applyBorder="1" applyAlignment="1">
      <alignment horizontal="center"/>
    </xf>
    <xf numFmtId="0" fontId="12" fillId="5" borderId="3" xfId="0" applyFont="1" applyFill="1" applyBorder="1" applyAlignment="1">
      <alignment horizontal="center"/>
    </xf>
    <xf numFmtId="0" fontId="2" fillId="3" borderId="0" xfId="3" applyFont="1" applyFill="1"/>
    <xf numFmtId="167" fontId="2" fillId="3" borderId="0" xfId="10" applyNumberFormat="1" applyFont="1" applyFill="1"/>
    <xf numFmtId="0" fontId="2" fillId="2" borderId="0" xfId="3" applyFont="1" applyFill="1"/>
    <xf numFmtId="168" fontId="2" fillId="2" borderId="0" xfId="11" applyNumberFormat="1" applyFont="1" applyFill="1"/>
    <xf numFmtId="0" fontId="2" fillId="7" borderId="39" xfId="3" applyFont="1" applyFill="1" applyBorder="1"/>
    <xf numFmtId="10" fontId="2" fillId="2" borderId="0" xfId="3" applyNumberFormat="1" applyFont="1" applyFill="1"/>
    <xf numFmtId="6" fontId="2" fillId="2" borderId="0" xfId="3" applyNumberFormat="1" applyFont="1" applyFill="1"/>
    <xf numFmtId="14" fontId="2" fillId="7" borderId="40" xfId="3" applyNumberFormat="1" applyFont="1" applyFill="1" applyBorder="1"/>
    <xf numFmtId="14" fontId="2" fillId="7" borderId="17" xfId="10" applyNumberFormat="1" applyFont="1" applyFill="1" applyBorder="1"/>
    <xf numFmtId="0" fontId="2" fillId="3" borderId="9" xfId="3" applyFont="1" applyFill="1" applyBorder="1"/>
    <xf numFmtId="0" fontId="2" fillId="3" borderId="10" xfId="3" applyFont="1" applyFill="1" applyBorder="1"/>
    <xf numFmtId="167" fontId="2" fillId="3" borderId="7" xfId="10" applyNumberFormat="1" applyFont="1" applyFill="1" applyBorder="1"/>
    <xf numFmtId="0" fontId="2" fillId="3" borderId="11" xfId="3" applyFont="1" applyFill="1" applyBorder="1"/>
    <xf numFmtId="0" fontId="2" fillId="3" borderId="12" xfId="3" applyFont="1" applyFill="1" applyBorder="1"/>
    <xf numFmtId="167" fontId="2" fillId="3" borderId="8" xfId="10" applyNumberFormat="1" applyFont="1" applyFill="1" applyBorder="1"/>
    <xf numFmtId="0" fontId="2" fillId="2" borderId="0" xfId="3" applyFont="1" applyFill="1" applyAlignment="1">
      <alignment horizontal="right"/>
    </xf>
    <xf numFmtId="0" fontId="2" fillId="7" borderId="0" xfId="3" applyFont="1" applyFill="1"/>
    <xf numFmtId="167" fontId="2" fillId="7" borderId="7" xfId="10" applyNumberFormat="1" applyFont="1" applyFill="1" applyBorder="1"/>
    <xf numFmtId="167" fontId="2" fillId="3" borderId="6" xfId="10" applyNumberFormat="1" applyFont="1" applyFill="1" applyBorder="1"/>
    <xf numFmtId="167" fontId="2" fillId="7" borderId="14" xfId="10" applyNumberFormat="1" applyFont="1" applyFill="1" applyBorder="1" applyAlignment="1">
      <alignment horizontal="right"/>
    </xf>
    <xf numFmtId="0" fontId="28" fillId="8" borderId="0" xfId="12" applyFont="1" applyFill="1"/>
    <xf numFmtId="0" fontId="28" fillId="8" borderId="0" xfId="12" applyFont="1" applyFill="1" applyAlignment="1">
      <alignment horizontal="center"/>
    </xf>
    <xf numFmtId="0" fontId="33" fillId="8" borderId="0" xfId="12" applyFont="1" applyFill="1" applyAlignment="1">
      <alignment horizontal="center"/>
    </xf>
    <xf numFmtId="0" fontId="34" fillId="8" borderId="0" xfId="12" applyFont="1" applyFill="1"/>
    <xf numFmtId="0" fontId="28" fillId="8" borderId="5" xfId="12" applyFont="1" applyFill="1" applyBorder="1" applyAlignment="1">
      <alignment horizontal="center"/>
    </xf>
    <xf numFmtId="0" fontId="33" fillId="8" borderId="5" xfId="12" applyFont="1" applyFill="1" applyBorder="1" applyAlignment="1">
      <alignment horizontal="center"/>
    </xf>
    <xf numFmtId="0" fontId="28" fillId="8" borderId="4" xfId="12" applyFont="1" applyFill="1" applyBorder="1" applyAlignment="1">
      <alignment horizontal="center"/>
    </xf>
    <xf numFmtId="0" fontId="33" fillId="8" borderId="4" xfId="12" applyFont="1" applyFill="1" applyBorder="1" applyAlignment="1">
      <alignment horizontal="center"/>
    </xf>
    <xf numFmtId="0" fontId="28" fillId="8" borderId="3" xfId="12" applyFont="1" applyFill="1" applyBorder="1" applyAlignment="1">
      <alignment horizontal="center"/>
    </xf>
    <xf numFmtId="0" fontId="33" fillId="8" borderId="3" xfId="12" applyFont="1" applyFill="1" applyBorder="1" applyAlignment="1">
      <alignment horizontal="center"/>
    </xf>
    <xf numFmtId="0" fontId="36" fillId="8" borderId="0" xfId="12" applyFont="1" applyFill="1" applyAlignment="1">
      <alignment horizontal="center"/>
    </xf>
    <xf numFmtId="2" fontId="36" fillId="8" borderId="5" xfId="12" applyNumberFormat="1" applyFont="1" applyFill="1" applyBorder="1" applyAlignment="1">
      <alignment horizontal="center"/>
    </xf>
    <xf numFmtId="2" fontId="36" fillId="8" borderId="4" xfId="12" applyNumberFormat="1" applyFont="1" applyFill="1" applyBorder="1" applyAlignment="1">
      <alignment horizontal="center"/>
    </xf>
    <xf numFmtId="2" fontId="36" fillId="8" borderId="3" xfId="12" applyNumberFormat="1" applyFont="1" applyFill="1" applyBorder="1" applyAlignment="1">
      <alignment horizontal="center"/>
    </xf>
    <xf numFmtId="0" fontId="39" fillId="8" borderId="0" xfId="12" applyFont="1" applyFill="1"/>
    <xf numFmtId="2" fontId="39" fillId="8" borderId="5" xfId="12" applyNumberFormat="1" applyFont="1" applyFill="1" applyBorder="1" applyAlignment="1">
      <alignment horizontal="center"/>
    </xf>
    <xf numFmtId="2" fontId="39" fillId="8" borderId="4" xfId="12" applyNumberFormat="1" applyFont="1" applyFill="1" applyBorder="1" applyAlignment="1">
      <alignment horizontal="center"/>
    </xf>
    <xf numFmtId="2" fontId="39" fillId="8" borderId="3" xfId="12" applyNumberFormat="1" applyFont="1" applyFill="1" applyBorder="1" applyAlignment="1">
      <alignment horizontal="center"/>
    </xf>
    <xf numFmtId="0" fontId="29" fillId="8" borderId="0" xfId="12" applyFont="1" applyFill="1" applyAlignment="1">
      <alignment horizontal="center"/>
    </xf>
    <xf numFmtId="2" fontId="29" fillId="8" borderId="5" xfId="12" applyNumberFormat="1" applyFont="1" applyFill="1" applyBorder="1" applyAlignment="1">
      <alignment horizontal="center"/>
    </xf>
    <xf numFmtId="2" fontId="29" fillId="8" borderId="4" xfId="12" applyNumberFormat="1" applyFont="1" applyFill="1" applyBorder="1" applyAlignment="1">
      <alignment horizontal="center"/>
    </xf>
    <xf numFmtId="2" fontId="29" fillId="8" borderId="3" xfId="12" applyNumberFormat="1" applyFont="1" applyFill="1" applyBorder="1" applyAlignment="1">
      <alignment horizontal="center"/>
    </xf>
    <xf numFmtId="0" fontId="41" fillId="8" borderId="0" xfId="12" applyFont="1" applyFill="1"/>
    <xf numFmtId="0" fontId="42" fillId="8" borderId="0" xfId="12" applyFont="1" applyFill="1"/>
    <xf numFmtId="167" fontId="1" fillId="7" borderId="14" xfId="10" applyNumberFormat="1" applyFont="1" applyFill="1" applyBorder="1" applyAlignment="1">
      <alignment horizontal="right"/>
    </xf>
    <xf numFmtId="0" fontId="23" fillId="9" borderId="32" xfId="0" applyFont="1" applyFill="1" applyBorder="1" applyAlignment="1">
      <alignment wrapText="1"/>
    </xf>
    <xf numFmtId="37" fontId="23" fillId="9" borderId="33" xfId="10" applyNumberFormat="1" applyFont="1" applyFill="1" applyBorder="1"/>
    <xf numFmtId="37" fontId="23" fillId="9" borderId="36" xfId="10" applyNumberFormat="1" applyFont="1" applyFill="1" applyBorder="1"/>
    <xf numFmtId="0" fontId="0" fillId="4" borderId="8" xfId="0" applyFill="1" applyBorder="1" applyAlignment="1">
      <alignment horizontal="center"/>
    </xf>
    <xf numFmtId="0" fontId="12" fillId="3" borderId="0" xfId="0" applyFont="1" applyFill="1" applyAlignment="1">
      <alignment horizontal="center"/>
    </xf>
    <xf numFmtId="0" fontId="25" fillId="8" borderId="1" xfId="0" applyFont="1" applyFill="1" applyBorder="1" applyAlignment="1">
      <alignment vertical="center" wrapText="1"/>
    </xf>
    <xf numFmtId="0" fontId="27" fillId="8" borderId="2" xfId="0" applyFont="1" applyFill="1" applyBorder="1" applyAlignment="1">
      <alignment vertical="center" wrapText="1"/>
    </xf>
    <xf numFmtId="0" fontId="25" fillId="8" borderId="5" xfId="0" applyFont="1" applyFill="1" applyBorder="1" applyAlignment="1">
      <alignment vertical="center" wrapText="1"/>
    </xf>
    <xf numFmtId="0" fontId="26" fillId="8" borderId="5" xfId="0" applyFont="1" applyFill="1" applyBorder="1" applyAlignment="1">
      <alignment vertical="center" wrapText="1"/>
    </xf>
    <xf numFmtId="0" fontId="26" fillId="8" borderId="2" xfId="0" applyFont="1" applyFill="1" applyBorder="1" applyAlignment="1">
      <alignment vertical="center" wrapText="1"/>
    </xf>
    <xf numFmtId="0" fontId="25" fillId="8" borderId="1" xfId="0" applyFont="1" applyFill="1" applyBorder="1" applyAlignment="1">
      <alignment horizontal="center" vertical="center" wrapText="1"/>
    </xf>
    <xf numFmtId="0" fontId="25" fillId="8" borderId="5" xfId="0" applyFont="1" applyFill="1" applyBorder="1" applyAlignment="1">
      <alignment horizontal="center" vertical="center" wrapText="1"/>
    </xf>
    <xf numFmtId="0" fontId="12" fillId="4" borderId="0" xfId="0" applyFont="1" applyFill="1"/>
    <xf numFmtId="0" fontId="12" fillId="3" borderId="0" xfId="0" applyFont="1" applyFill="1" applyAlignment="1">
      <alignment horizontal="right"/>
    </xf>
    <xf numFmtId="0" fontId="12" fillId="3" borderId="0" xfId="13" applyFont="1" applyFill="1"/>
    <xf numFmtId="167" fontId="12" fillId="3" borderId="0" xfId="10" applyNumberFormat="1" applyFont="1" applyFill="1" applyBorder="1"/>
    <xf numFmtId="167" fontId="12" fillId="7" borderId="0" xfId="10" applyNumberFormat="1" applyFont="1" applyFill="1" applyBorder="1" applyAlignment="1">
      <alignment horizontal="center"/>
    </xf>
    <xf numFmtId="14" fontId="12" fillId="7" borderId="0" xfId="13" applyNumberFormat="1" applyFont="1" applyFill="1"/>
    <xf numFmtId="14" fontId="12" fillId="7" borderId="0" xfId="10" applyNumberFormat="1" applyFont="1" applyFill="1" applyBorder="1" applyAlignment="1">
      <alignment horizontal="center"/>
    </xf>
    <xf numFmtId="0" fontId="12" fillId="2" borderId="0" xfId="13" applyFont="1" applyFill="1"/>
    <xf numFmtId="0" fontId="12" fillId="7" borderId="0" xfId="13" applyFont="1" applyFill="1"/>
    <xf numFmtId="167" fontId="12" fillId="7" borderId="0" xfId="10" applyNumberFormat="1" applyFont="1" applyFill="1" applyBorder="1"/>
    <xf numFmtId="167" fontId="12" fillId="4" borderId="0" xfId="10" applyNumberFormat="1" applyFont="1" applyFill="1" applyBorder="1"/>
    <xf numFmtId="167" fontId="12" fillId="3" borderId="0" xfId="13" applyNumberFormat="1" applyFont="1" applyFill="1"/>
    <xf numFmtId="0" fontId="12" fillId="10" borderId="0" xfId="0" applyFont="1" applyFill="1" applyAlignment="1">
      <alignment wrapText="1"/>
    </xf>
    <xf numFmtId="167" fontId="12" fillId="7" borderId="0" xfId="10" applyNumberFormat="1" applyFont="1" applyFill="1" applyBorder="1" applyAlignment="1">
      <alignment horizontal="left"/>
    </xf>
    <xf numFmtId="0" fontId="19" fillId="4" borderId="0" xfId="0" applyFont="1" applyFill="1" applyAlignment="1">
      <alignment horizontal="center"/>
    </xf>
    <xf numFmtId="0" fontId="12" fillId="2" borderId="0" xfId="0" applyFont="1" applyFill="1" applyAlignment="1">
      <alignment vertical="top" wrapText="1"/>
    </xf>
    <xf numFmtId="0" fontId="12" fillId="2" borderId="41" xfId="8" applyFont="1" applyFill="1" applyBorder="1"/>
    <xf numFmtId="0" fontId="12" fillId="2" borderId="42" xfId="8" applyFont="1" applyFill="1" applyBorder="1"/>
    <xf numFmtId="0" fontId="23" fillId="2" borderId="9" xfId="8" applyFont="1" applyFill="1" applyBorder="1"/>
    <xf numFmtId="0" fontId="12" fillId="2" borderId="10" xfId="8" applyFont="1" applyFill="1" applyBorder="1"/>
    <xf numFmtId="0" fontId="12" fillId="2" borderId="43" xfId="8" applyFont="1" applyFill="1" applyBorder="1"/>
    <xf numFmtId="0" fontId="12" fillId="2" borderId="45" xfId="8" applyFont="1" applyFill="1" applyBorder="1"/>
    <xf numFmtId="0" fontId="12" fillId="2" borderId="0" xfId="8" applyFont="1" applyFill="1" applyAlignment="1">
      <alignment vertical="top" wrapText="1"/>
    </xf>
    <xf numFmtId="0" fontId="12" fillId="2" borderId="46" xfId="8" applyFont="1" applyFill="1" applyBorder="1" applyAlignment="1">
      <alignment vertical="top" wrapText="1"/>
    </xf>
    <xf numFmtId="0" fontId="12" fillId="2" borderId="45" xfId="8" applyFont="1" applyFill="1" applyBorder="1" applyAlignment="1">
      <alignment vertical="top" wrapText="1"/>
    </xf>
    <xf numFmtId="0" fontId="12" fillId="2" borderId="46" xfId="8" applyFont="1" applyFill="1" applyBorder="1"/>
    <xf numFmtId="0" fontId="12" fillId="2" borderId="12" xfId="8" applyFont="1" applyFill="1" applyBorder="1" applyAlignment="1">
      <alignment vertical="top"/>
    </xf>
    <xf numFmtId="0" fontId="12" fillId="2" borderId="44" xfId="8" applyFont="1" applyFill="1" applyBorder="1" applyAlignment="1">
      <alignment vertical="top"/>
    </xf>
    <xf numFmtId="0" fontId="44" fillId="2" borderId="0" xfId="8" applyFont="1" applyFill="1"/>
    <xf numFmtId="0" fontId="12" fillId="2" borderId="11" xfId="8" applyFont="1" applyFill="1" applyBorder="1"/>
    <xf numFmtId="0" fontId="23" fillId="2" borderId="9" xfId="8" applyFont="1" applyFill="1" applyBorder="1" applyAlignment="1">
      <alignment vertical="top"/>
    </xf>
    <xf numFmtId="0" fontId="23" fillId="2" borderId="10" xfId="8" applyFont="1" applyFill="1" applyBorder="1" applyAlignment="1">
      <alignment vertical="top"/>
    </xf>
    <xf numFmtId="0" fontId="12" fillId="2" borderId="43" xfId="8" applyFont="1" applyFill="1" applyBorder="1" applyAlignment="1">
      <alignment vertical="top"/>
    </xf>
    <xf numFmtId="0" fontId="12" fillId="2" borderId="12" xfId="8" applyFont="1" applyFill="1" applyBorder="1"/>
    <xf numFmtId="0" fontId="12" fillId="2" borderId="44" xfId="8" applyFont="1" applyFill="1" applyBorder="1"/>
    <xf numFmtId="0" fontId="12" fillId="2" borderId="35" xfId="8" applyFont="1" applyFill="1" applyBorder="1" applyAlignment="1">
      <alignment vertical="top"/>
    </xf>
    <xf numFmtId="0" fontId="12" fillId="2" borderId="41" xfId="8" applyFont="1" applyFill="1" applyBorder="1" applyAlignment="1">
      <alignment vertical="top"/>
    </xf>
    <xf numFmtId="0" fontId="12" fillId="2" borderId="35" xfId="8" applyFont="1" applyFill="1" applyBorder="1" applyAlignment="1">
      <alignment horizontal="left" vertical="top"/>
    </xf>
    <xf numFmtId="0" fontId="12" fillId="2" borderId="41" xfId="8" applyFont="1" applyFill="1" applyBorder="1" applyAlignment="1">
      <alignment horizontal="left" vertical="top" wrapText="1"/>
    </xf>
    <xf numFmtId="0" fontId="12" fillId="2" borderId="42" xfId="8" applyFont="1" applyFill="1" applyBorder="1" applyAlignment="1">
      <alignment horizontal="left" vertical="top" wrapText="1"/>
    </xf>
    <xf numFmtId="0" fontId="12" fillId="2" borderId="35" xfId="8" applyFont="1" applyFill="1" applyBorder="1"/>
    <xf numFmtId="0" fontId="12" fillId="2" borderId="9" xfId="8" applyFont="1" applyFill="1" applyBorder="1"/>
    <xf numFmtId="0" fontId="12" fillId="11" borderId="0" xfId="0" applyFont="1" applyFill="1" applyAlignment="1">
      <alignment vertical="top" wrapText="1"/>
    </xf>
    <xf numFmtId="0" fontId="51" fillId="2" borderId="0" xfId="0" applyFont="1" applyFill="1"/>
    <xf numFmtId="0" fontId="52" fillId="2" borderId="0" xfId="0" applyFont="1" applyFill="1"/>
    <xf numFmtId="0" fontId="50" fillId="2" borderId="0" xfId="0" applyFont="1" applyFill="1" applyAlignment="1">
      <alignment vertical="top"/>
    </xf>
    <xf numFmtId="0" fontId="15" fillId="2" borderId="0" xfId="0" applyFont="1" applyFill="1" applyAlignment="1">
      <alignment vertical="top" wrapText="1"/>
    </xf>
    <xf numFmtId="0" fontId="52" fillId="2" borderId="48" xfId="0" applyFont="1" applyFill="1" applyBorder="1"/>
    <xf numFmtId="0" fontId="52" fillId="2" borderId="49" xfId="0" applyFont="1" applyFill="1" applyBorder="1"/>
    <xf numFmtId="0" fontId="15" fillId="2" borderId="49" xfId="0" applyFont="1" applyFill="1" applyBorder="1"/>
    <xf numFmtId="0" fontId="15" fillId="2" borderId="50" xfId="0" applyFont="1" applyFill="1" applyBorder="1"/>
    <xf numFmtId="0" fontId="15" fillId="2" borderId="48" xfId="0" applyFont="1" applyFill="1" applyBorder="1"/>
    <xf numFmtId="0" fontId="52" fillId="2" borderId="47" xfId="0" applyFont="1" applyFill="1" applyBorder="1"/>
    <xf numFmtId="0" fontId="15" fillId="2" borderId="47" xfId="0" applyFont="1" applyFill="1" applyBorder="1"/>
    <xf numFmtId="0" fontId="15" fillId="2" borderId="51" xfId="0" applyFont="1" applyFill="1" applyBorder="1"/>
    <xf numFmtId="0" fontId="15" fillId="2" borderId="52" xfId="0" applyFont="1" applyFill="1" applyBorder="1"/>
    <xf numFmtId="0" fontId="15" fillId="2" borderId="53" xfId="0" applyFont="1" applyFill="1" applyBorder="1"/>
    <xf numFmtId="0" fontId="50" fillId="2" borderId="52" xfId="0" applyFont="1" applyFill="1" applyBorder="1"/>
    <xf numFmtId="0" fontId="12" fillId="2" borderId="54" xfId="0" applyFont="1" applyFill="1" applyBorder="1"/>
    <xf numFmtId="0" fontId="52" fillId="2" borderId="50" xfId="0" applyFont="1" applyFill="1" applyBorder="1"/>
    <xf numFmtId="0" fontId="15" fillId="2" borderId="56" xfId="0" applyFont="1" applyFill="1" applyBorder="1"/>
    <xf numFmtId="0" fontId="15" fillId="2" borderId="54" xfId="0" applyFont="1" applyFill="1" applyBorder="1"/>
    <xf numFmtId="0" fontId="15" fillId="2" borderId="55" xfId="0" applyFont="1" applyFill="1" applyBorder="1"/>
    <xf numFmtId="0" fontId="15" fillId="2" borderId="60" xfId="0" applyFont="1" applyFill="1" applyBorder="1"/>
    <xf numFmtId="0" fontId="52" fillId="2" borderId="60" xfId="0" applyFont="1" applyFill="1" applyBorder="1"/>
    <xf numFmtId="0" fontId="12" fillId="2" borderId="62" xfId="0" applyFont="1" applyFill="1" applyBorder="1"/>
    <xf numFmtId="0" fontId="51" fillId="2" borderId="52" xfId="0" applyFont="1" applyFill="1" applyBorder="1"/>
    <xf numFmtId="0" fontId="52" fillId="2" borderId="54" xfId="0" applyFont="1" applyFill="1" applyBorder="1" applyAlignment="1">
      <alignment horizontal="left" vertical="top" wrapText="1"/>
    </xf>
    <xf numFmtId="0" fontId="49" fillId="11" borderId="47" xfId="0" applyFont="1" applyFill="1" applyBorder="1" applyAlignment="1">
      <alignment vertical="top" wrapText="1"/>
    </xf>
    <xf numFmtId="0" fontId="12" fillId="11" borderId="47" xfId="0" applyFont="1" applyFill="1" applyBorder="1" applyAlignment="1">
      <alignment vertical="top" wrapText="1"/>
    </xf>
    <xf numFmtId="0" fontId="44" fillId="11" borderId="47" xfId="0" applyFont="1" applyFill="1" applyBorder="1" applyAlignment="1">
      <alignment vertical="top" wrapText="1"/>
    </xf>
    <xf numFmtId="0" fontId="12" fillId="0" borderId="51" xfId="0" applyFont="1" applyBorder="1"/>
    <xf numFmtId="0" fontId="12" fillId="0" borderId="53" xfId="0" applyFont="1" applyBorder="1"/>
    <xf numFmtId="0" fontId="12" fillId="0" borderId="62" xfId="0" applyFont="1" applyBorder="1"/>
    <xf numFmtId="0" fontId="12" fillId="0" borderId="60" xfId="0" applyFont="1" applyBorder="1"/>
    <xf numFmtId="0" fontId="49" fillId="11" borderId="57" xfId="0" applyFont="1" applyFill="1" applyBorder="1" applyAlignment="1">
      <alignment horizontal="left" vertical="top" wrapText="1"/>
    </xf>
    <xf numFmtId="0" fontId="49" fillId="11" borderId="59" xfId="0" applyFont="1" applyFill="1" applyBorder="1" applyAlignment="1">
      <alignment horizontal="left" vertical="top" wrapText="1"/>
    </xf>
    <xf numFmtId="0" fontId="49" fillId="11" borderId="51" xfId="0" applyFont="1" applyFill="1" applyBorder="1" applyAlignment="1">
      <alignment horizontal="left" vertical="top" wrapText="1"/>
    </xf>
    <xf numFmtId="0" fontId="49" fillId="11" borderId="53" xfId="0" applyFont="1" applyFill="1" applyBorder="1" applyAlignment="1">
      <alignment horizontal="left" vertical="top" wrapText="1"/>
    </xf>
    <xf numFmtId="0" fontId="12" fillId="11" borderId="57" xfId="0" applyFont="1" applyFill="1" applyBorder="1" applyAlignment="1">
      <alignment horizontal="left" vertical="top" wrapText="1"/>
    </xf>
    <xf numFmtId="0" fontId="12" fillId="11" borderId="58" xfId="0" applyFont="1" applyFill="1" applyBorder="1" applyAlignment="1">
      <alignment horizontal="left" vertical="top" wrapText="1"/>
    </xf>
    <xf numFmtId="0" fontId="12" fillId="11" borderId="59" xfId="0" applyFont="1" applyFill="1" applyBorder="1" applyAlignment="1">
      <alignment horizontal="left" vertical="top" wrapText="1"/>
    </xf>
    <xf numFmtId="0" fontId="12" fillId="11" borderId="51" xfId="0" applyFont="1" applyFill="1" applyBorder="1" applyAlignment="1">
      <alignment horizontal="left" vertical="top" wrapText="1"/>
    </xf>
    <xf numFmtId="0" fontId="12" fillId="11" borderId="52" xfId="0" applyFont="1" applyFill="1" applyBorder="1" applyAlignment="1">
      <alignment horizontal="left" vertical="top" wrapText="1"/>
    </xf>
    <xf numFmtId="0" fontId="12" fillId="11" borderId="53" xfId="0" applyFont="1" applyFill="1" applyBorder="1" applyAlignment="1">
      <alignment horizontal="left" vertical="top" wrapText="1"/>
    </xf>
    <xf numFmtId="0" fontId="47" fillId="11" borderId="0" xfId="0" applyFont="1" applyFill="1" applyAlignment="1">
      <alignment horizontal="left" vertical="top" wrapText="1"/>
    </xf>
    <xf numFmtId="0" fontId="47" fillId="11" borderId="0" xfId="0" applyFont="1" applyFill="1" applyAlignment="1">
      <alignment vertical="top" wrapText="1"/>
    </xf>
    <xf numFmtId="0" fontId="12" fillId="11" borderId="0" xfId="0" applyFont="1" applyFill="1" applyAlignment="1">
      <alignment vertical="top" wrapText="1"/>
    </xf>
    <xf numFmtId="0" fontId="12" fillId="11" borderId="48" xfId="0" applyFont="1" applyFill="1" applyBorder="1" applyAlignment="1">
      <alignment vertical="top" wrapText="1"/>
    </xf>
    <xf numFmtId="0" fontId="12" fillId="11" borderId="50" xfId="0" applyFont="1" applyFill="1" applyBorder="1" applyAlignment="1">
      <alignment vertical="top" wrapText="1"/>
    </xf>
    <xf numFmtId="0" fontId="12" fillId="11" borderId="62" xfId="0" applyFont="1" applyFill="1" applyBorder="1" applyAlignment="1">
      <alignment horizontal="left" vertical="top" wrapText="1"/>
    </xf>
    <xf numFmtId="0" fontId="12" fillId="11" borderId="0" xfId="0" applyFont="1" applyFill="1" applyAlignment="1">
      <alignment horizontal="left" vertical="top" wrapText="1"/>
    </xf>
    <xf numFmtId="0" fontId="12" fillId="11" borderId="60" xfId="0" applyFont="1" applyFill="1" applyBorder="1" applyAlignment="1">
      <alignment horizontal="left" vertical="top" wrapText="1"/>
    </xf>
    <xf numFmtId="0" fontId="48" fillId="11" borderId="57" xfId="0" applyFont="1" applyFill="1" applyBorder="1" applyAlignment="1">
      <alignment horizontal="left" vertical="top" wrapText="1"/>
    </xf>
    <xf numFmtId="0" fontId="48" fillId="11" borderId="59" xfId="0" applyFont="1" applyFill="1" applyBorder="1" applyAlignment="1">
      <alignment horizontal="left" vertical="top" wrapText="1"/>
    </xf>
    <xf numFmtId="0" fontId="48" fillId="11" borderId="51" xfId="0" applyFont="1" applyFill="1" applyBorder="1" applyAlignment="1">
      <alignment horizontal="left" vertical="top" wrapText="1"/>
    </xf>
    <xf numFmtId="0" fontId="48" fillId="11" borderId="53" xfId="0" applyFont="1" applyFill="1" applyBorder="1" applyAlignment="1">
      <alignment horizontal="left" vertical="top" wrapText="1"/>
    </xf>
    <xf numFmtId="0" fontId="50" fillId="2" borderId="0" xfId="0" applyFont="1" applyFill="1" applyAlignment="1">
      <alignment horizontal="left" vertical="top" wrapText="1"/>
    </xf>
    <xf numFmtId="0" fontId="15" fillId="2" borderId="0" xfId="0" applyFont="1" applyFill="1" applyAlignment="1">
      <alignment horizontal="left" vertical="top" wrapText="1"/>
    </xf>
    <xf numFmtId="0" fontId="15" fillId="2" borderId="60" xfId="0" applyFont="1" applyFill="1" applyBorder="1" applyAlignment="1">
      <alignment horizontal="left" vertical="top" wrapText="1"/>
    </xf>
    <xf numFmtId="0" fontId="15" fillId="2" borderId="52" xfId="0" applyFont="1" applyFill="1" applyBorder="1" applyAlignment="1">
      <alignment horizontal="left" vertical="top" wrapText="1"/>
    </xf>
    <xf numFmtId="0" fontId="15" fillId="2" borderId="53" xfId="0" applyFont="1" applyFill="1" applyBorder="1" applyAlignment="1">
      <alignment horizontal="left" vertical="top" wrapText="1"/>
    </xf>
    <xf numFmtId="0" fontId="15" fillId="2" borderId="62" xfId="0" applyFont="1" applyFill="1" applyBorder="1" applyAlignment="1">
      <alignment horizontal="left" vertical="top" wrapText="1"/>
    </xf>
    <xf numFmtId="0" fontId="15" fillId="2" borderId="51" xfId="0" applyFont="1" applyFill="1" applyBorder="1" applyAlignment="1">
      <alignment horizontal="left" vertical="top" wrapText="1"/>
    </xf>
    <xf numFmtId="0" fontId="52" fillId="2" borderId="61" xfId="0" applyFont="1" applyFill="1" applyBorder="1" applyAlignment="1">
      <alignment horizontal="left" vertical="top" wrapText="1"/>
    </xf>
    <xf numFmtId="0" fontId="52" fillId="2" borderId="54" xfId="0" applyFont="1" applyFill="1" applyBorder="1" applyAlignment="1">
      <alignment horizontal="left" vertical="top" wrapText="1"/>
    </xf>
    <xf numFmtId="0" fontId="23" fillId="2" borderId="9" xfId="8" applyFont="1" applyFill="1" applyBorder="1" applyAlignment="1">
      <alignment horizontal="left" vertical="top" wrapText="1"/>
    </xf>
    <xf numFmtId="0" fontId="23" fillId="2" borderId="10" xfId="8" applyFont="1" applyFill="1" applyBorder="1" applyAlignment="1">
      <alignment horizontal="left" vertical="top" wrapText="1"/>
    </xf>
    <xf numFmtId="0" fontId="23" fillId="2" borderId="43" xfId="8" applyFont="1" applyFill="1" applyBorder="1" applyAlignment="1">
      <alignment horizontal="left" vertical="top" wrapText="1"/>
    </xf>
    <xf numFmtId="0" fontId="23" fillId="2" borderId="45" xfId="8" applyFont="1" applyFill="1" applyBorder="1" applyAlignment="1">
      <alignment horizontal="left" vertical="top" wrapText="1"/>
    </xf>
    <xf numFmtId="0" fontId="23" fillId="2" borderId="0" xfId="8" applyFont="1" applyFill="1" applyAlignment="1">
      <alignment horizontal="left" vertical="top" wrapText="1"/>
    </xf>
    <xf numFmtId="0" fontId="23" fillId="2" borderId="46" xfId="8" applyFont="1" applyFill="1" applyBorder="1" applyAlignment="1">
      <alignment horizontal="left" vertical="top" wrapText="1"/>
    </xf>
    <xf numFmtId="0" fontId="12" fillId="2" borderId="9" xfId="8" applyFont="1" applyFill="1" applyBorder="1" applyAlignment="1">
      <alignment horizontal="left" vertical="top" wrapText="1"/>
    </xf>
    <xf numFmtId="0" fontId="12" fillId="2" borderId="10" xfId="8" applyFont="1" applyFill="1" applyBorder="1" applyAlignment="1">
      <alignment horizontal="left" vertical="top" wrapText="1"/>
    </xf>
    <xf numFmtId="0" fontId="12" fillId="2" borderId="43" xfId="8" applyFont="1" applyFill="1" applyBorder="1" applyAlignment="1">
      <alignment horizontal="left" vertical="top" wrapText="1"/>
    </xf>
    <xf numFmtId="0" fontId="12" fillId="2" borderId="45" xfId="8" applyFont="1" applyFill="1" applyBorder="1" applyAlignment="1">
      <alignment horizontal="left" vertical="top" wrapText="1"/>
    </xf>
    <xf numFmtId="0" fontId="12" fillId="2" borderId="0" xfId="8" applyFont="1" applyFill="1" applyAlignment="1">
      <alignment horizontal="left" vertical="top" wrapText="1"/>
    </xf>
    <xf numFmtId="0" fontId="12" fillId="2" borderId="46" xfId="8" applyFont="1" applyFill="1" applyBorder="1" applyAlignment="1">
      <alignment horizontal="left" vertical="top" wrapText="1"/>
    </xf>
    <xf numFmtId="0" fontId="23" fillId="6" borderId="13" xfId="0" applyFont="1" applyFill="1" applyBorder="1" applyAlignment="1">
      <alignment horizontal="center" vertical="center" wrapText="1"/>
    </xf>
    <xf numFmtId="0" fontId="12" fillId="6" borderId="16" xfId="0" applyFont="1" applyFill="1" applyBorder="1" applyAlignment="1">
      <alignment horizontal="center" vertical="center" wrapText="1"/>
    </xf>
    <xf numFmtId="37" fontId="23" fillId="6" borderId="14" xfId="0" applyNumberFormat="1" applyFont="1" applyFill="1" applyBorder="1" applyAlignment="1">
      <alignment horizontal="center" vertical="center" wrapText="1"/>
    </xf>
    <xf numFmtId="0" fontId="12" fillId="6" borderId="17" xfId="0" applyFont="1" applyFill="1" applyBorder="1" applyAlignment="1">
      <alignment horizontal="center" vertical="center" wrapText="1"/>
    </xf>
    <xf numFmtId="0" fontId="23" fillId="6" borderId="14" xfId="0" applyFont="1" applyFill="1" applyBorder="1" applyAlignment="1">
      <alignment horizontal="center" vertical="center" wrapText="1"/>
    </xf>
    <xf numFmtId="37" fontId="23" fillId="6" borderId="37" xfId="0" applyNumberFormat="1" applyFont="1" applyFill="1" applyBorder="1" applyAlignment="1">
      <alignment horizontal="center" vertical="center" wrapText="1"/>
    </xf>
    <xf numFmtId="0" fontId="12" fillId="6" borderId="38" xfId="0" applyFont="1" applyFill="1" applyBorder="1" applyAlignment="1">
      <alignment horizontal="center" vertical="center" wrapText="1"/>
    </xf>
    <xf numFmtId="0" fontId="23" fillId="6" borderId="37" xfId="0" applyFont="1" applyFill="1" applyBorder="1" applyAlignment="1">
      <alignment horizontal="center" vertical="center" wrapText="1"/>
    </xf>
    <xf numFmtId="0" fontId="17" fillId="0" borderId="0" xfId="0" applyFont="1" applyAlignment="1">
      <alignment horizontal="center"/>
    </xf>
  </cellXfs>
  <cellStyles count="14">
    <cellStyle name="Comma" xfId="10" builtinId="3"/>
    <cellStyle name="Currency 2" xfId="11" xr:uid="{862B2922-440D-AF4C-9CC6-8F7D5BCE46DB}"/>
    <cellStyle name="Hyperlink" xfId="6" builtinId="8"/>
    <cellStyle name="Normal" xfId="0" builtinId="0"/>
    <cellStyle name="Normal 2" xfId="3" xr:uid="{00000000-0005-0000-0000-000002000000}"/>
    <cellStyle name="Normal 2 2" xfId="5" xr:uid="{00000000-0005-0000-0000-000003000000}"/>
    <cellStyle name="Normal 2 3" xfId="13" xr:uid="{49EAF277-D74F-0943-B9D5-8B00E973B48A}"/>
    <cellStyle name="Normal 3" xfId="1" xr:uid="{00000000-0005-0000-0000-000004000000}"/>
    <cellStyle name="Normal 4" xfId="4" xr:uid="{00000000-0005-0000-0000-000005000000}"/>
    <cellStyle name="Normal 5" xfId="7" xr:uid="{00000000-0005-0000-0000-000006000000}"/>
    <cellStyle name="Normal 6" xfId="8" xr:uid="{93945ADB-214D-BC42-BAE8-C8C1D66B06CD}"/>
    <cellStyle name="Normal 6 2" xfId="12" xr:uid="{5FD72345-ABB9-9F47-9337-FAD00FC2D45B}"/>
    <cellStyle name="Normal 7" xfId="9" xr:uid="{4C66DE0C-695A-1D4F-979E-9960A44C998C}"/>
    <cellStyle name="Percent 2" xfId="2" xr:uid="{00000000-0005-0000-0000-000007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9.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8.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7.xml"/><Relationship Id="rId37"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externalLink" Target="externalLinks/externalLink5.xml"/><Relationship Id="rId35" Type="http://schemas.openxmlformats.org/officeDocument/2006/relationships/externalLink" Target="externalLinks/externalLink10.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tiff"/></Relationships>
</file>

<file path=xl/drawings/drawing1.xml><?xml version="1.0" encoding="utf-8"?>
<xdr:wsDr xmlns:xdr="http://schemas.openxmlformats.org/drawingml/2006/spreadsheetDrawing" xmlns:a="http://schemas.openxmlformats.org/drawingml/2006/main">
  <xdr:oneCellAnchor>
    <xdr:from>
      <xdr:col>2</xdr:col>
      <xdr:colOff>28575</xdr:colOff>
      <xdr:row>6</xdr:row>
      <xdr:rowOff>76200</xdr:rowOff>
    </xdr:from>
    <xdr:ext cx="6769100" cy="5978525"/>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775" y="1295400"/>
          <a:ext cx="6769100" cy="5978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47625</xdr:colOff>
      <xdr:row>36</xdr:row>
      <xdr:rowOff>123825</xdr:rowOff>
    </xdr:from>
    <xdr:ext cx="6391275" cy="4933950"/>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93825" y="7439025"/>
          <a:ext cx="6391275" cy="49339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38100</xdr:colOff>
      <xdr:row>63</xdr:row>
      <xdr:rowOff>190500</xdr:rowOff>
    </xdr:from>
    <xdr:ext cx="6902450" cy="5457825"/>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84300" y="12992100"/>
          <a:ext cx="6902450" cy="54578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38100</xdr:colOff>
      <xdr:row>102</xdr:row>
      <xdr:rowOff>161925</xdr:rowOff>
    </xdr:from>
    <xdr:ext cx="5470525" cy="3870325"/>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84300" y="20888325"/>
          <a:ext cx="5470525" cy="3870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47</xdr:row>
      <xdr:rowOff>0</xdr:rowOff>
    </xdr:from>
    <xdr:to>
      <xdr:col>9</xdr:col>
      <xdr:colOff>2491670</xdr:colOff>
      <xdr:row>75</xdr:row>
      <xdr:rowOff>160514</xdr:rowOff>
    </xdr:to>
    <xdr:pic>
      <xdr:nvPicPr>
        <xdr:cNvPr id="2" name="Picture 1">
          <a:extLst>
            <a:ext uri="{FF2B5EF4-FFF2-40B4-BE49-F238E27FC236}">
              <a16:creationId xmlns:a16="http://schemas.microsoft.com/office/drawing/2014/main" id="{0C2EBB75-C702-164F-9E30-20BD2736729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5111" y="12657667"/>
          <a:ext cx="12341226" cy="76676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812800</xdr:colOff>
      <xdr:row>1</xdr:row>
      <xdr:rowOff>25400</xdr:rowOff>
    </xdr:from>
    <xdr:to>
      <xdr:col>13</xdr:col>
      <xdr:colOff>393700</xdr:colOff>
      <xdr:row>46</xdr:row>
      <xdr:rowOff>63500</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812800" y="215900"/>
          <a:ext cx="10312400" cy="861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t>Basel III Calculations</a:t>
          </a:r>
        </a:p>
        <a:p>
          <a:endParaRPr lang="en-US" sz="2000"/>
        </a:p>
        <a:p>
          <a:r>
            <a:rPr lang="en-US" sz="2000"/>
            <a:t>Note whether assets are unencumbered when considering liquidity.</a:t>
          </a:r>
        </a:p>
        <a:p>
          <a:endParaRPr lang="en-US" sz="2000"/>
        </a:p>
        <a:p>
          <a:r>
            <a:rPr lang="en-US" sz="2000"/>
            <a:t>Borrowing short term and investing long term is risky.</a:t>
          </a:r>
        </a:p>
        <a:p>
          <a:endParaRPr lang="en-US" sz="2000"/>
        </a:p>
        <a:p>
          <a:r>
            <a:rPr lang="en-US" sz="2000"/>
            <a:t>Capital during good times is not enough to cover capital required in bad times.</a:t>
          </a:r>
        </a:p>
        <a:p>
          <a:endParaRPr lang="en-US" sz="2000"/>
        </a:p>
        <a:p>
          <a:r>
            <a:rPr lang="en-US" sz="2000"/>
            <a:t>Loan to deposit ratios are not measures of liquidity risk</a:t>
          </a:r>
        </a:p>
        <a:p>
          <a:endParaRPr lang="en-US" sz="2000"/>
        </a:p>
        <a:p>
          <a:r>
            <a:rPr lang="en-US" sz="2000"/>
            <a:t>8 Steps in stress testing	</a:t>
          </a:r>
        </a:p>
        <a:p>
          <a:r>
            <a:rPr lang="en-US" sz="2000"/>
            <a:t>1	Define scenarios and levels.</a:t>
          </a:r>
        </a:p>
        <a:p>
          <a:r>
            <a:rPr lang="en-US" sz="2000"/>
            <a:t>2	For each of them, identify contractual cash flows.</a:t>
          </a:r>
        </a:p>
        <a:p>
          <a:r>
            <a:rPr lang="en-US" sz="2000"/>
            <a:t>3	For each of them, identify cash flows from customers.</a:t>
          </a:r>
        </a:p>
        <a:p>
          <a:r>
            <a:rPr lang="en-US" sz="2000"/>
            <a:t>4	Add treasury cash flows.</a:t>
          </a:r>
        </a:p>
        <a:p>
          <a:r>
            <a:rPr lang="en-US" sz="2000"/>
            <a:t>5	Total the customer cash flows and the treasury cash flows.</a:t>
          </a:r>
        </a:p>
        <a:p>
          <a:r>
            <a:rPr lang="en-US" sz="2000"/>
            <a:t>6	Calculate the amount of liquid funds.</a:t>
          </a:r>
        </a:p>
        <a:p>
          <a:r>
            <a:rPr lang="en-US" sz="2000"/>
            <a:t>7	Compare need to availability.</a:t>
          </a:r>
        </a:p>
        <a:p>
          <a:r>
            <a:rPr lang="en-US" sz="2000"/>
            <a:t>8	Inform management.</a:t>
          </a:r>
        </a:p>
        <a:p>
          <a:endParaRPr lang="en-US" sz="2000"/>
        </a:p>
        <a:p>
          <a:r>
            <a:rPr lang="en-US" sz="2000"/>
            <a:t>Concepts in 'Concepts' tab</a:t>
          </a:r>
        </a:p>
        <a:p>
          <a:endParaRPr lang="en-US" sz="2000"/>
        </a:p>
        <a:p>
          <a:r>
            <a:rPr lang="en-US" sz="2000"/>
            <a:t>Liquidity</a:t>
          </a:r>
          <a:r>
            <a:rPr lang="en-US" sz="2000" baseline="0"/>
            <a:t> VaR can be estimated using historical spreads.</a:t>
          </a:r>
        </a:p>
        <a:p>
          <a:r>
            <a:rPr lang="en-US" sz="2000" baseline="0"/>
            <a:t>Matz would not recommend that.</a:t>
          </a:r>
        </a:p>
        <a:p>
          <a:endParaRPr lang="en-US" sz="2000" baseline="0"/>
        </a:p>
        <a:p>
          <a:r>
            <a:rPr lang="en-US" sz="2000" baseline="0"/>
            <a:t>There are price-copiers in the market.</a:t>
          </a:r>
          <a:endParaRPr lang="en-US" sz="20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2540000</xdr:colOff>
      <xdr:row>18</xdr:row>
      <xdr:rowOff>88900</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825500" y="330200"/>
          <a:ext cx="2540000" cy="53721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C:/Users/djr2132/Downloads/Class7.xlsx" TargetMode="External"/><Relationship Id="rId1" Type="http://schemas.openxmlformats.org/officeDocument/2006/relationships/externalLinkPath" Target="/C:/Users/djr2132/Downloads/Class7.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Google%20Drive/FRM/ClassSet/Class2.xlsx" TargetMode="External"/><Relationship Id="rId1" Type="http://schemas.openxmlformats.org/officeDocument/2006/relationships/externalLinkPath" Target="/Users/davidromoff/Google%20Drive/FRM/ClassSet/Class2.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Google%20Drive/FRM/ClassSet/HW_Temp.xlsx" TargetMode="External"/><Relationship Id="rId1" Type="http://schemas.openxmlformats.org/officeDocument/2006/relationships/externalLinkPath" Target="/Users/davidromoff/Google%20Drive/FRM/ClassSet/HW_Temp.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Google%20Drive/FRM/Fall17/FRMClass4.xlsx" TargetMode="External"/><Relationship Id="rId1" Type="http://schemas.openxmlformats.org/officeDocument/2006/relationships/externalLinkPath" Target="/Users/davidromoff/Google%20Drive/FRM/Fall17/FRMClass4.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Google%20Drive/FRM/Fall17/FRMClass3.xlsx" TargetMode="External"/><Relationship Id="rId1" Type="http://schemas.openxmlformats.org/officeDocument/2006/relationships/externalLinkPath" Target="/Users/davidromoff/Google%20Drive/FRM/Fall17/FRMClass3.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Google%20Drive/FRM/ClassSet/FixedIncome.xlsx" TargetMode="External"/><Relationship Id="rId1" Type="http://schemas.openxmlformats.org/officeDocument/2006/relationships/externalLinkPath" Target="/Users/davidromoff/Google%20Drive/FRM/ClassSet/FixedIncome.xlsx"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Google%20Drive/FRM/Fall17/FRMClass6.xlsx" TargetMode="External"/><Relationship Id="rId1" Type="http://schemas.openxmlformats.org/officeDocument/2006/relationships/externalLinkPath" Target="/Users/davidromoff/Google%20Drive/FRM/Fall17/FRMClass6.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C:/Users/dromoff/Desktop/FRM_Class3/FRM_1_VaR.xlsx" TargetMode="External"/><Relationship Id="rId1" Type="http://schemas.openxmlformats.org/officeDocument/2006/relationships/externalLinkPath" Target="/C:/Users/dromoff/Desktop/FRM_Class3/FRM_1_VaR.xlsx" TargetMode="External"/></Relationships>
</file>

<file path=xl/externalLinks/_rels/externalLink9.xml.rels><?xml version="1.0" encoding="UTF-8" standalone="yes"?>
<Relationships xmlns="http://schemas.openxmlformats.org/package/2006/relationships"><Relationship Id="rId2" Type="http://schemas.openxmlformats.org/officeDocument/2006/relationships/externalLinkPath" Target="../../../justinhon/Downloads/FRMClass9.xlsx" TargetMode="External"/><Relationship Id="rId1" Type="http://schemas.openxmlformats.org/officeDocument/2006/relationships/externalLinkPath" Target="/Users/justinhon/Downloads/FRMClass9.xlsx"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FRMClass9.xlsx" TargetMode="External"/><Relationship Id="rId1" Type="http://schemas.openxmlformats.org/officeDocument/2006/relationships/externalLinkPath" Target="/Users/davidromoff/Downloads/FRMClass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row r="20">
          <cell r="F20">
            <v>0.97530991202833262</v>
          </cell>
        </row>
        <row r="21">
          <cell r="F21">
            <v>0.95122942450071402</v>
          </cell>
        </row>
        <row r="22">
          <cell r="F22">
            <v>0.92774348632855286</v>
          </cell>
        </row>
        <row r="23">
          <cell r="F23">
            <v>0.90483741803595952</v>
          </cell>
        </row>
        <row r="24">
          <cell r="F24">
            <v>0.88249690258459546</v>
          </cell>
        </row>
        <row r="25">
          <cell r="F25">
            <v>0.86070797642505781</v>
          </cell>
        </row>
        <row r="26">
          <cell r="F26">
            <v>0.83945702076920736</v>
          </cell>
        </row>
        <row r="27">
          <cell r="F27">
            <v>0.81873075307798182</v>
          </cell>
        </row>
        <row r="28">
          <cell r="F28">
            <v>0.79851621875937706</v>
          </cell>
        </row>
        <row r="29">
          <cell r="F29">
            <v>0.77880078307140488</v>
          </cell>
        </row>
        <row r="40">
          <cell r="B40">
            <v>0.5</v>
          </cell>
          <cell r="C40">
            <v>106.72870921346704</v>
          </cell>
          <cell r="D40">
            <v>40</v>
          </cell>
          <cell r="E40">
            <v>66.728709213467042</v>
          </cell>
          <cell r="F40">
            <v>0.97530991202833262</v>
          </cell>
        </row>
        <row r="41">
          <cell r="B41">
            <v>1.5</v>
          </cell>
          <cell r="C41">
            <v>105.97104849893799</v>
          </cell>
          <cell r="D41">
            <v>40</v>
          </cell>
          <cell r="E41">
            <v>65.971048498937989</v>
          </cell>
          <cell r="F41">
            <v>0.92774348632855286</v>
          </cell>
        </row>
        <row r="42">
          <cell r="B42">
            <v>2.5</v>
          </cell>
          <cell r="C42">
            <v>105.17454168889401</v>
          </cell>
          <cell r="D42">
            <v>40</v>
          </cell>
          <cell r="E42">
            <v>65.17454168889401</v>
          </cell>
          <cell r="F42">
            <v>0.88249690258459546</v>
          </cell>
        </row>
        <row r="43">
          <cell r="B43">
            <v>3.5</v>
          </cell>
          <cell r="C43">
            <v>104.33719710142807</v>
          </cell>
          <cell r="D43">
            <v>40</v>
          </cell>
          <cell r="E43">
            <v>64.337197101428075</v>
          </cell>
          <cell r="F43">
            <v>0.83945702076920736</v>
          </cell>
        </row>
        <row r="44">
          <cell r="B44">
            <v>4.5</v>
          </cell>
          <cell r="C44">
            <v>103.45692093891826</v>
          </cell>
          <cell r="D44">
            <v>40</v>
          </cell>
          <cell r="E44">
            <v>63.456920938918259</v>
          </cell>
          <cell r="F44">
            <v>0.79851621875937706</v>
          </cell>
        </row>
        <row r="45">
          <cell r="G45">
            <v>288.4814055773889</v>
          </cell>
        </row>
      </sheetData>
      <sheetData sheetId="6">
        <row r="7">
          <cell r="B7">
            <v>0.02</v>
          </cell>
          <cell r="C7">
            <v>0.05</v>
          </cell>
        </row>
        <row r="11">
          <cell r="B11">
            <v>1</v>
          </cell>
          <cell r="C11">
            <v>0.98019867330675525</v>
          </cell>
          <cell r="E11">
            <v>0.95122942450071402</v>
          </cell>
        </row>
        <row r="12">
          <cell r="B12">
            <v>2</v>
          </cell>
          <cell r="C12">
            <v>0.96078943915232318</v>
          </cell>
          <cell r="E12">
            <v>0.90483741803595952</v>
          </cell>
        </row>
        <row r="13">
          <cell r="B13">
            <v>3</v>
          </cell>
          <cell r="C13">
            <v>0.94176453358424872</v>
          </cell>
          <cell r="E13">
            <v>0.86070797642505781</v>
          </cell>
        </row>
        <row r="14">
          <cell r="B14">
            <v>4</v>
          </cell>
          <cell r="C14">
            <v>0.92311634638663576</v>
          </cell>
          <cell r="E14">
            <v>0.81873075307798182</v>
          </cell>
        </row>
        <row r="15">
          <cell r="B15">
            <v>5</v>
          </cell>
          <cell r="C15">
            <v>0.90483741803595952</v>
          </cell>
          <cell r="E15">
            <v>0.77880078307140488</v>
          </cell>
        </row>
        <row r="21">
          <cell r="B21">
            <v>0.5</v>
          </cell>
          <cell r="C21">
            <v>1.9801326693244747E-2</v>
          </cell>
          <cell r="D21">
            <v>0.4</v>
          </cell>
          <cell r="E21">
            <v>1.1880796015946849E-2</v>
          </cell>
          <cell r="F21">
            <v>0.97530991202833262</v>
          </cell>
          <cell r="I21">
            <v>9.9006633466223737E-3</v>
          </cell>
          <cell r="J21">
            <v>9.6562150976164038E-3</v>
          </cell>
        </row>
        <row r="22">
          <cell r="B22">
            <v>1.5</v>
          </cell>
          <cell r="C22">
            <v>1.9409234154432076E-2</v>
          </cell>
          <cell r="D22">
            <v>0.4</v>
          </cell>
          <cell r="E22">
            <v>1.1645540492659244E-2</v>
          </cell>
          <cell r="F22">
            <v>0.92774348632855286</v>
          </cell>
          <cell r="I22">
            <v>9.7046170772160378E-3</v>
          </cell>
          <cell r="J22">
            <v>9.0033952807000179E-3</v>
          </cell>
        </row>
        <row r="23">
          <cell r="B23">
            <v>2.5</v>
          </cell>
          <cell r="C23">
            <v>1.9024905568074457E-2</v>
          </cell>
          <cell r="D23">
            <v>0.4</v>
          </cell>
          <cell r="E23">
            <v>1.1414943340844674E-2</v>
          </cell>
          <cell r="F23">
            <v>0.88249690258459546</v>
          </cell>
          <cell r="I23">
            <v>9.5124527840372286E-3</v>
          </cell>
          <cell r="J23">
            <v>8.3947101178950666E-3</v>
          </cell>
        </row>
        <row r="24">
          <cell r="B24">
            <v>3.5</v>
          </cell>
          <cell r="C24">
            <v>1.8648187197612964E-2</v>
          </cell>
          <cell r="D24">
            <v>0.4</v>
          </cell>
          <cell r="E24">
            <v>1.1188912318567779E-2</v>
          </cell>
          <cell r="F24">
            <v>0.83945702076920736</v>
          </cell>
          <cell r="I24">
            <v>9.3240935988064821E-3</v>
          </cell>
          <cell r="J24">
            <v>7.8271758338273271E-3</v>
          </cell>
        </row>
        <row r="25">
          <cell r="B25">
            <v>4.5</v>
          </cell>
          <cell r="C25">
            <v>1.8278928350676238E-2</v>
          </cell>
          <cell r="D25">
            <v>0.4</v>
          </cell>
          <cell r="E25">
            <v>1.0967357010405743E-2</v>
          </cell>
          <cell r="F25">
            <v>0.79851621875937706</v>
          </cell>
          <cell r="I25">
            <v>9.1394641753381189E-3</v>
          </cell>
          <cell r="J25">
            <v>7.2980103747777832E-3</v>
          </cell>
        </row>
      </sheetData>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 val="Excel"/>
      <sheetName val="VaR0"/>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row>
      </sheetData>
      <sheetData sheetId="12">
        <row r="4">
          <cell r="E4">
            <v>5.0000000000000001E-3</v>
          </cell>
        </row>
      </sheetData>
      <sheetData sheetId="13"/>
      <sheetData sheetId="14"/>
      <sheetData sheetId="15"/>
      <sheetData sheetId="16" refreshError="1"/>
      <sheetData sheetId="1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4"/>
      <sheetName val="Options0"/>
      <sheetName val="Options1"/>
      <sheetName val="Options2"/>
      <sheetName val="Futures"/>
      <sheetName val="Swaps"/>
      <sheetName val="OptimalHedging"/>
      <sheetName val="QuizBan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Prep"/>
      <sheetName val="Bond"/>
      <sheetName val="InstallmentLoan"/>
      <sheetName val="Duration"/>
      <sheetName val="Dur2"/>
      <sheetName val="Dur3"/>
      <sheetName val="Curve0"/>
      <sheetName val="Remember"/>
      <sheetName val="Bond2"/>
      <sheetName val="Bond3"/>
      <sheetName val="FX_Intro"/>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 sheetId="8"/>
      <sheetData sheetId="9"/>
      <sheetData sheetId="1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N"/>
      <sheetName val="CreditMatrix"/>
      <sheetName val="CreditMatrix_Weighted"/>
      <sheetName val="CreditMatrix_Loss"/>
      <sheetName val="MertonModel"/>
      <sheetName val="Homework"/>
      <sheetName val="QuizBank"/>
      <sheetName val="O_Material"/>
      <sheetName val="O_Discussion"/>
    </sheetNames>
    <sheetDataSet>
      <sheetData sheetId="0"/>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C</v>
          </cell>
          <cell r="E10" t="str">
            <v>C</v>
          </cell>
        </row>
        <row r="11">
          <cell r="D11" t="str">
            <v>B</v>
          </cell>
          <cell r="E11" t="str">
            <v>C</v>
          </cell>
        </row>
        <row r="12">
          <cell r="D12" t="str">
            <v>A</v>
          </cell>
          <cell r="E12" t="str">
            <v>C</v>
          </cell>
        </row>
        <row r="13">
          <cell r="D13" t="str">
            <v>D</v>
          </cell>
          <cell r="E13" t="str">
            <v>E</v>
          </cell>
        </row>
        <row r="14">
          <cell r="D14" t="str">
            <v>A</v>
          </cell>
          <cell r="E14" t="str">
            <v>A</v>
          </cell>
        </row>
        <row r="15">
          <cell r="D15" t="str">
            <v>B</v>
          </cell>
          <cell r="E15" t="str">
            <v>B</v>
          </cell>
        </row>
        <row r="16">
          <cell r="D16" t="str">
            <v>B</v>
          </cell>
          <cell r="E16" t="str">
            <v>D</v>
          </cell>
        </row>
        <row r="17">
          <cell r="D17" t="str">
            <v>A</v>
          </cell>
          <cell r="E17" t="str">
            <v>A</v>
          </cell>
        </row>
        <row r="18">
          <cell r="D18" t="str">
            <v>C</v>
          </cell>
          <cell r="E18" t="str">
            <v>E</v>
          </cell>
        </row>
        <row r="19">
          <cell r="D19" t="str">
            <v>D</v>
          </cell>
          <cell r="E19" t="str">
            <v>E</v>
          </cell>
        </row>
        <row r="20">
          <cell r="D20" t="str">
            <v>B</v>
          </cell>
          <cell r="E20" t="str">
            <v>A</v>
          </cell>
        </row>
        <row r="21">
          <cell r="D21" t="str">
            <v>B</v>
          </cell>
          <cell r="E21" t="str">
            <v>B</v>
          </cell>
        </row>
        <row r="22">
          <cell r="D22" t="str">
            <v>D</v>
          </cell>
          <cell r="E22" t="str">
            <v>E</v>
          </cell>
        </row>
        <row r="23">
          <cell r="D23" t="str">
            <v>C</v>
          </cell>
          <cell r="E23" t="str">
            <v>D</v>
          </cell>
        </row>
        <row r="24">
          <cell r="D24" t="str">
            <v>D</v>
          </cell>
          <cell r="E24" t="str">
            <v>D</v>
          </cell>
        </row>
        <row r="25">
          <cell r="D25" t="str">
            <v>A</v>
          </cell>
          <cell r="E25" t="str">
            <v>B</v>
          </cell>
        </row>
        <row r="26">
          <cell r="D26" t="str">
            <v>B</v>
          </cell>
          <cell r="E26" t="str">
            <v>A</v>
          </cell>
        </row>
        <row r="27">
          <cell r="D27" t="str">
            <v>E</v>
          </cell>
          <cell r="E27" t="str">
            <v>F</v>
          </cell>
        </row>
        <row r="28">
          <cell r="D28" t="str">
            <v>A</v>
          </cell>
          <cell r="E28" t="str">
            <v>A</v>
          </cell>
        </row>
        <row r="29">
          <cell r="D29" t="str">
            <v>A</v>
          </cell>
          <cell r="E29" t="str">
            <v>A</v>
          </cell>
        </row>
        <row r="30">
          <cell r="D30" t="str">
            <v>E</v>
          </cell>
          <cell r="E30" t="str">
            <v>F</v>
          </cell>
        </row>
        <row r="31">
          <cell r="D31" t="str">
            <v>B</v>
          </cell>
          <cell r="E31" t="str">
            <v>C</v>
          </cell>
        </row>
        <row r="32">
          <cell r="D32" t="str">
            <v>B</v>
          </cell>
          <cell r="E32" t="str">
            <v>D</v>
          </cell>
        </row>
        <row r="33">
          <cell r="D33" t="str">
            <v>C</v>
          </cell>
          <cell r="E33" t="str">
            <v>C</v>
          </cell>
        </row>
        <row r="34">
          <cell r="D34" t="str">
            <v>A</v>
          </cell>
          <cell r="E34" t="str">
            <v>A</v>
          </cell>
        </row>
        <row r="35">
          <cell r="D35" t="str">
            <v>E</v>
          </cell>
          <cell r="E35" t="str">
            <v>D</v>
          </cell>
        </row>
        <row r="36">
          <cell r="D36" t="str">
            <v>C</v>
          </cell>
          <cell r="E36" t="str">
            <v>E</v>
          </cell>
        </row>
        <row r="37">
          <cell r="D37" t="str">
            <v>C</v>
          </cell>
          <cell r="E37" t="str">
            <v>C</v>
          </cell>
        </row>
        <row r="38">
          <cell r="D38" t="str">
            <v>E</v>
          </cell>
          <cell r="E38" t="str">
            <v>E</v>
          </cell>
        </row>
        <row r="39">
          <cell r="D39" t="str">
            <v>A</v>
          </cell>
          <cell r="E39" t="str">
            <v>C</v>
          </cell>
        </row>
        <row r="40">
          <cell r="D40" t="str">
            <v>B</v>
          </cell>
          <cell r="E40" t="str">
            <v>B</v>
          </cell>
        </row>
        <row r="41">
          <cell r="D41" t="str">
            <v>B</v>
          </cell>
          <cell r="E41" t="str">
            <v>C</v>
          </cell>
        </row>
        <row r="42">
          <cell r="D42" t="str">
            <v>D</v>
          </cell>
          <cell r="E42" t="str">
            <v>E</v>
          </cell>
        </row>
        <row r="43">
          <cell r="D43" t="str">
            <v>C</v>
          </cell>
          <cell r="E43" t="str">
            <v>D</v>
          </cell>
        </row>
        <row r="44">
          <cell r="D44" t="str">
            <v>C</v>
          </cell>
          <cell r="E44" t="str">
            <v>B</v>
          </cell>
        </row>
        <row r="45">
          <cell r="D45" t="str">
            <v>A</v>
          </cell>
          <cell r="E45" t="str">
            <v>A</v>
          </cell>
        </row>
        <row r="46">
          <cell r="D46" t="str">
            <v>D</v>
          </cell>
          <cell r="E46" t="str">
            <v>F</v>
          </cell>
        </row>
        <row r="47">
          <cell r="D47" t="str">
            <v>D</v>
          </cell>
          <cell r="E47" t="str">
            <v>E</v>
          </cell>
        </row>
        <row r="48">
          <cell r="D48" t="str">
            <v>D</v>
          </cell>
          <cell r="E48" t="str">
            <v>F</v>
          </cell>
        </row>
        <row r="49">
          <cell r="D49" t="str">
            <v>B</v>
          </cell>
          <cell r="E49" t="str">
            <v>C</v>
          </cell>
        </row>
        <row r="50">
          <cell r="D50" t="str">
            <v>E</v>
          </cell>
          <cell r="E50" t="str">
            <v>F</v>
          </cell>
        </row>
        <row r="51">
          <cell r="D51" t="str">
            <v>E</v>
          </cell>
          <cell r="E51" t="str">
            <v>E</v>
          </cell>
        </row>
        <row r="52">
          <cell r="D52" t="str">
            <v>D</v>
          </cell>
          <cell r="E52" t="str">
            <v>C</v>
          </cell>
        </row>
        <row r="53">
          <cell r="D53" t="str">
            <v>B</v>
          </cell>
          <cell r="E53" t="str">
            <v>A</v>
          </cell>
        </row>
        <row r="54">
          <cell r="D54" t="str">
            <v>B</v>
          </cell>
          <cell r="E54" t="str">
            <v>C</v>
          </cell>
        </row>
        <row r="55">
          <cell r="D55" t="str">
            <v>D</v>
          </cell>
          <cell r="E55" t="str">
            <v>F</v>
          </cell>
        </row>
        <row r="56">
          <cell r="D56" t="str">
            <v>C</v>
          </cell>
          <cell r="E56" t="str">
            <v>D</v>
          </cell>
        </row>
        <row r="57">
          <cell r="D57" t="str">
            <v>B</v>
          </cell>
          <cell r="E57" t="str">
            <v>C</v>
          </cell>
        </row>
        <row r="58">
          <cell r="D58" t="str">
            <v>E</v>
          </cell>
          <cell r="E58" t="str">
            <v>D</v>
          </cell>
        </row>
        <row r="59">
          <cell r="D59" t="str">
            <v>A</v>
          </cell>
          <cell r="E59" t="str">
            <v>B</v>
          </cell>
        </row>
        <row r="60">
          <cell r="D60" t="str">
            <v>D</v>
          </cell>
          <cell r="E60" t="str">
            <v>D</v>
          </cell>
        </row>
        <row r="61">
          <cell r="D61" t="str">
            <v>D</v>
          </cell>
          <cell r="E61" t="str">
            <v>D</v>
          </cell>
        </row>
        <row r="62">
          <cell r="D62" t="str">
            <v>E</v>
          </cell>
          <cell r="E62" t="str">
            <v>F</v>
          </cell>
        </row>
        <row r="63">
          <cell r="D63" t="str">
            <v>A</v>
          </cell>
          <cell r="E63" t="str">
            <v>A</v>
          </cell>
        </row>
        <row r="64">
          <cell r="D64" t="str">
            <v>B</v>
          </cell>
          <cell r="E64" t="str">
            <v>B</v>
          </cell>
        </row>
        <row r="65">
          <cell r="D65" t="str">
            <v>B</v>
          </cell>
          <cell r="E65" t="str">
            <v>B</v>
          </cell>
        </row>
        <row r="66">
          <cell r="D66" t="str">
            <v>B</v>
          </cell>
          <cell r="E66" t="str">
            <v>D</v>
          </cell>
        </row>
        <row r="67">
          <cell r="D67" t="str">
            <v>B</v>
          </cell>
          <cell r="E67" t="str">
            <v>D</v>
          </cell>
        </row>
        <row r="68">
          <cell r="D68" t="str">
            <v>E</v>
          </cell>
          <cell r="E68" t="str">
            <v>F</v>
          </cell>
        </row>
        <row r="69">
          <cell r="D69" t="str">
            <v>E</v>
          </cell>
          <cell r="E69" t="str">
            <v>F</v>
          </cell>
        </row>
        <row r="70">
          <cell r="D70" t="str">
            <v>C</v>
          </cell>
          <cell r="E70" t="str">
            <v>D</v>
          </cell>
        </row>
        <row r="71">
          <cell r="D71" t="str">
            <v>D</v>
          </cell>
          <cell r="E71" t="str">
            <v>C</v>
          </cell>
        </row>
        <row r="72">
          <cell r="D72" t="str">
            <v>E</v>
          </cell>
          <cell r="E72" t="str">
            <v>F</v>
          </cell>
        </row>
        <row r="73">
          <cell r="D73" t="str">
            <v>B</v>
          </cell>
          <cell r="E73" t="str">
            <v>D</v>
          </cell>
        </row>
        <row r="74">
          <cell r="D74" t="str">
            <v>B</v>
          </cell>
          <cell r="E74" t="str">
            <v>C</v>
          </cell>
        </row>
        <row r="75">
          <cell r="D75" t="str">
            <v>B</v>
          </cell>
          <cell r="E75" t="str">
            <v>B</v>
          </cell>
        </row>
        <row r="76">
          <cell r="D76" t="str">
            <v>C</v>
          </cell>
          <cell r="E76" t="str">
            <v>E</v>
          </cell>
        </row>
        <row r="77">
          <cell r="D77" t="str">
            <v>A</v>
          </cell>
          <cell r="E77" t="str">
            <v>C</v>
          </cell>
        </row>
        <row r="78">
          <cell r="D78" t="str">
            <v>C</v>
          </cell>
          <cell r="E78" t="str">
            <v>E</v>
          </cell>
        </row>
        <row r="79">
          <cell r="D79" t="str">
            <v>D</v>
          </cell>
          <cell r="E79" t="str">
            <v>D</v>
          </cell>
        </row>
        <row r="80">
          <cell r="D80" t="str">
            <v>A</v>
          </cell>
          <cell r="E80" t="str">
            <v>B</v>
          </cell>
        </row>
        <row r="81">
          <cell r="D81" t="str">
            <v>B</v>
          </cell>
          <cell r="E81" t="str">
            <v>C</v>
          </cell>
        </row>
        <row r="82">
          <cell r="D82" t="str">
            <v>B</v>
          </cell>
          <cell r="E82" t="str">
            <v>B</v>
          </cell>
        </row>
        <row r="83">
          <cell r="D83" t="str">
            <v>D</v>
          </cell>
          <cell r="E83" t="str">
            <v>E</v>
          </cell>
        </row>
        <row r="84">
          <cell r="D84" t="str">
            <v>E</v>
          </cell>
          <cell r="E84" t="str">
            <v>F</v>
          </cell>
        </row>
        <row r="85">
          <cell r="D85" t="str">
            <v>C</v>
          </cell>
          <cell r="E85" t="str">
            <v>C</v>
          </cell>
        </row>
        <row r="86">
          <cell r="D86" t="str">
            <v>C</v>
          </cell>
          <cell r="E86" t="str">
            <v>D</v>
          </cell>
        </row>
        <row r="87">
          <cell r="D87" t="str">
            <v>D</v>
          </cell>
          <cell r="E87" t="str">
            <v>E</v>
          </cell>
        </row>
        <row r="88">
          <cell r="D88" t="str">
            <v>A</v>
          </cell>
          <cell r="E88" t="str">
            <v>C</v>
          </cell>
        </row>
        <row r="89">
          <cell r="D89" t="str">
            <v>A</v>
          </cell>
          <cell r="E89" t="str">
            <v>A</v>
          </cell>
        </row>
        <row r="90">
          <cell r="D90" t="str">
            <v>A</v>
          </cell>
          <cell r="E90" t="str">
            <v>B</v>
          </cell>
        </row>
        <row r="91">
          <cell r="D91" t="str">
            <v>B</v>
          </cell>
          <cell r="E91" t="str">
            <v>C</v>
          </cell>
        </row>
        <row r="92">
          <cell r="D92" t="str">
            <v>E</v>
          </cell>
          <cell r="E92" t="str">
            <v>F</v>
          </cell>
        </row>
        <row r="93">
          <cell r="D93" t="str">
            <v>A</v>
          </cell>
          <cell r="E93" t="str">
            <v>B</v>
          </cell>
        </row>
        <row r="94">
          <cell r="D94" t="str">
            <v>C</v>
          </cell>
          <cell r="E94" t="str">
            <v>C</v>
          </cell>
        </row>
        <row r="95">
          <cell r="D95" t="str">
            <v>B</v>
          </cell>
          <cell r="E95" t="str">
            <v>C</v>
          </cell>
        </row>
        <row r="96">
          <cell r="D96" t="str">
            <v>A</v>
          </cell>
          <cell r="E96" t="str">
            <v>B</v>
          </cell>
        </row>
        <row r="97">
          <cell r="D97" t="str">
            <v>D</v>
          </cell>
          <cell r="E97" t="str">
            <v>F</v>
          </cell>
        </row>
        <row r="98">
          <cell r="D98" t="str">
            <v>A</v>
          </cell>
          <cell r="E98" t="str">
            <v>B</v>
          </cell>
        </row>
        <row r="99">
          <cell r="D99" t="str">
            <v>A</v>
          </cell>
          <cell r="E99" t="str">
            <v>C</v>
          </cell>
        </row>
        <row r="100">
          <cell r="D100" t="str">
            <v>D</v>
          </cell>
          <cell r="E100" t="str">
            <v>E</v>
          </cell>
        </row>
        <row r="101">
          <cell r="D101" t="str">
            <v>C</v>
          </cell>
          <cell r="E101" t="str">
            <v>D</v>
          </cell>
        </row>
        <row r="102">
          <cell r="D102" t="str">
            <v>E</v>
          </cell>
          <cell r="E102" t="str">
            <v>E</v>
          </cell>
        </row>
        <row r="103">
          <cell r="D103" t="str">
            <v>A</v>
          </cell>
          <cell r="E103" t="str">
            <v>A</v>
          </cell>
        </row>
        <row r="104">
          <cell r="D104" t="str">
            <v>C</v>
          </cell>
          <cell r="E104" t="str">
            <v>B</v>
          </cell>
        </row>
        <row r="105">
          <cell r="D105" t="str">
            <v>B</v>
          </cell>
          <cell r="E105" t="str">
            <v>C</v>
          </cell>
        </row>
        <row r="106">
          <cell r="D106" t="str">
            <v>E</v>
          </cell>
          <cell r="E106" t="str">
            <v>F</v>
          </cell>
        </row>
        <row r="107">
          <cell r="D107" t="str">
            <v>C</v>
          </cell>
          <cell r="E107" t="str">
            <v>D</v>
          </cell>
        </row>
        <row r="108">
          <cell r="D108" t="str">
            <v>B</v>
          </cell>
          <cell r="E108" t="str">
            <v>A</v>
          </cell>
        </row>
        <row r="109">
          <cell r="D109" t="str">
            <v>A</v>
          </cell>
          <cell r="E109" t="str">
            <v>A</v>
          </cell>
        </row>
      </sheetData>
      <sheetData sheetId="2">
        <row r="10">
          <cell r="F10">
            <v>33</v>
          </cell>
        </row>
        <row r="11">
          <cell r="F11">
            <v>72</v>
          </cell>
        </row>
        <row r="12">
          <cell r="F12">
            <v>80</v>
          </cell>
        </row>
        <row r="13">
          <cell r="F13">
            <v>100</v>
          </cell>
        </row>
        <row r="14">
          <cell r="F14">
            <v>85</v>
          </cell>
        </row>
        <row r="15">
          <cell r="F15">
            <v>74</v>
          </cell>
        </row>
        <row r="16">
          <cell r="F16">
            <v>20</v>
          </cell>
        </row>
        <row r="17">
          <cell r="F17">
            <v>66</v>
          </cell>
        </row>
        <row r="18">
          <cell r="F18">
            <v>45</v>
          </cell>
        </row>
        <row r="19">
          <cell r="F19">
            <v>99</v>
          </cell>
        </row>
        <row r="20">
          <cell r="F20">
            <v>54</v>
          </cell>
        </row>
        <row r="21">
          <cell r="F21">
            <v>37</v>
          </cell>
        </row>
        <row r="22">
          <cell r="F22">
            <v>29</v>
          </cell>
        </row>
        <row r="23">
          <cell r="F23">
            <v>71</v>
          </cell>
        </row>
        <row r="24">
          <cell r="F24">
            <v>30</v>
          </cell>
        </row>
        <row r="25">
          <cell r="F25">
            <v>39</v>
          </cell>
        </row>
        <row r="26">
          <cell r="F26">
            <v>44</v>
          </cell>
        </row>
        <row r="27">
          <cell r="F27">
            <v>31</v>
          </cell>
        </row>
        <row r="28">
          <cell r="F28">
            <v>61</v>
          </cell>
        </row>
        <row r="29">
          <cell r="F29">
            <v>44</v>
          </cell>
        </row>
        <row r="30">
          <cell r="F30">
            <v>25</v>
          </cell>
        </row>
        <row r="31">
          <cell r="F31">
            <v>33</v>
          </cell>
        </row>
        <row r="32">
          <cell r="F32">
            <v>87</v>
          </cell>
        </row>
        <row r="33">
          <cell r="F33">
            <v>68</v>
          </cell>
        </row>
        <row r="34">
          <cell r="F34">
            <v>81</v>
          </cell>
        </row>
        <row r="35">
          <cell r="F35">
            <v>69</v>
          </cell>
        </row>
        <row r="36">
          <cell r="F36">
            <v>22</v>
          </cell>
        </row>
        <row r="37">
          <cell r="F37">
            <v>54</v>
          </cell>
        </row>
        <row r="38">
          <cell r="F38">
            <v>71</v>
          </cell>
        </row>
        <row r="39">
          <cell r="F39">
            <v>61</v>
          </cell>
        </row>
        <row r="40">
          <cell r="F40">
            <v>46</v>
          </cell>
        </row>
        <row r="41">
          <cell r="F41">
            <v>98</v>
          </cell>
        </row>
        <row r="42">
          <cell r="F42">
            <v>62</v>
          </cell>
        </row>
        <row r="43">
          <cell r="F43">
            <v>47</v>
          </cell>
        </row>
        <row r="44">
          <cell r="F44">
            <v>49</v>
          </cell>
        </row>
        <row r="45">
          <cell r="F45">
            <v>91</v>
          </cell>
        </row>
        <row r="46">
          <cell r="F46">
            <v>88</v>
          </cell>
        </row>
        <row r="47">
          <cell r="F47">
            <v>23</v>
          </cell>
        </row>
        <row r="48">
          <cell r="F48">
            <v>92</v>
          </cell>
        </row>
        <row r="49">
          <cell r="F49">
            <v>48</v>
          </cell>
        </row>
        <row r="50">
          <cell r="F50">
            <v>47</v>
          </cell>
        </row>
        <row r="51">
          <cell r="F51">
            <v>64</v>
          </cell>
        </row>
        <row r="52">
          <cell r="F52">
            <v>22</v>
          </cell>
        </row>
        <row r="53">
          <cell r="F53">
            <v>81</v>
          </cell>
        </row>
        <row r="54">
          <cell r="F54">
            <v>28</v>
          </cell>
        </row>
        <row r="55">
          <cell r="F55">
            <v>70</v>
          </cell>
        </row>
        <row r="56">
          <cell r="F56">
            <v>58</v>
          </cell>
        </row>
        <row r="57">
          <cell r="F57">
            <v>32</v>
          </cell>
        </row>
        <row r="58">
          <cell r="F58">
            <v>92</v>
          </cell>
        </row>
        <row r="59">
          <cell r="F59">
            <v>67</v>
          </cell>
        </row>
        <row r="60">
          <cell r="F60">
            <v>52</v>
          </cell>
        </row>
        <row r="61">
          <cell r="F61">
            <v>67</v>
          </cell>
        </row>
        <row r="62">
          <cell r="F62">
            <v>98</v>
          </cell>
        </row>
        <row r="63">
          <cell r="F63">
            <v>23</v>
          </cell>
        </row>
        <row r="64">
          <cell r="F64">
            <v>81</v>
          </cell>
        </row>
        <row r="65">
          <cell r="F65">
            <v>58</v>
          </cell>
        </row>
        <row r="66">
          <cell r="F66">
            <v>97</v>
          </cell>
        </row>
        <row r="67">
          <cell r="F67">
            <v>96</v>
          </cell>
        </row>
        <row r="68">
          <cell r="F68">
            <v>30</v>
          </cell>
        </row>
        <row r="69">
          <cell r="F69">
            <v>72</v>
          </cell>
        </row>
        <row r="70">
          <cell r="F70">
            <v>76</v>
          </cell>
        </row>
        <row r="71">
          <cell r="F71">
            <v>27</v>
          </cell>
        </row>
        <row r="72">
          <cell r="F72">
            <v>66</v>
          </cell>
        </row>
        <row r="73">
          <cell r="F73">
            <v>63</v>
          </cell>
        </row>
        <row r="74">
          <cell r="F74">
            <v>95</v>
          </cell>
        </row>
        <row r="75">
          <cell r="F75">
            <v>71</v>
          </cell>
        </row>
        <row r="76">
          <cell r="F76">
            <v>49</v>
          </cell>
        </row>
        <row r="77">
          <cell r="F77">
            <v>54</v>
          </cell>
        </row>
        <row r="78">
          <cell r="F78">
            <v>35</v>
          </cell>
        </row>
        <row r="79">
          <cell r="F79">
            <v>79</v>
          </cell>
        </row>
        <row r="80">
          <cell r="F80">
            <v>29</v>
          </cell>
        </row>
        <row r="81">
          <cell r="F81">
            <v>47</v>
          </cell>
        </row>
        <row r="82">
          <cell r="F82">
            <v>71</v>
          </cell>
        </row>
        <row r="83">
          <cell r="F83">
            <v>44</v>
          </cell>
        </row>
        <row r="84">
          <cell r="F84">
            <v>68</v>
          </cell>
        </row>
        <row r="85">
          <cell r="F85">
            <v>99</v>
          </cell>
        </row>
        <row r="86">
          <cell r="F86">
            <v>85</v>
          </cell>
        </row>
        <row r="87">
          <cell r="F87">
            <v>89</v>
          </cell>
        </row>
        <row r="88">
          <cell r="F88">
            <v>95</v>
          </cell>
        </row>
        <row r="89">
          <cell r="F89">
            <v>93</v>
          </cell>
        </row>
        <row r="90">
          <cell r="F90">
            <v>63</v>
          </cell>
        </row>
        <row r="91">
          <cell r="F91">
            <v>53</v>
          </cell>
        </row>
        <row r="92">
          <cell r="F92">
            <v>50</v>
          </cell>
        </row>
        <row r="93">
          <cell r="F93">
            <v>32</v>
          </cell>
        </row>
        <row r="94">
          <cell r="F94">
            <v>66</v>
          </cell>
        </row>
        <row r="95">
          <cell r="F95">
            <v>68</v>
          </cell>
        </row>
        <row r="96">
          <cell r="F96">
            <v>35</v>
          </cell>
        </row>
        <row r="97">
          <cell r="F97">
            <v>31</v>
          </cell>
        </row>
        <row r="98">
          <cell r="F98">
            <v>64</v>
          </cell>
        </row>
        <row r="99">
          <cell r="F99">
            <v>43</v>
          </cell>
        </row>
        <row r="100">
          <cell r="F100">
            <v>39</v>
          </cell>
        </row>
        <row r="101">
          <cell r="F101">
            <v>44</v>
          </cell>
        </row>
        <row r="102">
          <cell r="F102">
            <v>33</v>
          </cell>
        </row>
        <row r="103">
          <cell r="F103">
            <v>93</v>
          </cell>
        </row>
        <row r="104">
          <cell r="F104">
            <v>62</v>
          </cell>
        </row>
        <row r="105">
          <cell r="F105">
            <v>43</v>
          </cell>
        </row>
        <row r="106">
          <cell r="F106">
            <v>37</v>
          </cell>
        </row>
        <row r="107">
          <cell r="F107">
            <v>47</v>
          </cell>
        </row>
        <row r="108">
          <cell r="F108">
            <v>28</v>
          </cell>
        </row>
        <row r="109">
          <cell r="F109">
            <v>75</v>
          </cell>
        </row>
      </sheetData>
      <sheetData sheetId="3"/>
      <sheetData sheetId="4"/>
      <sheetData sheetId="5"/>
      <sheetData sheetId="6"/>
      <sheetData sheetId="7"/>
      <sheetData sheetId="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VaR1"/>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9"/>
      <sheetName val="LiquidiyRiskManagement"/>
      <sheetName val="Definition"/>
      <sheetName val="Basel III"/>
      <sheetName val="Basel III LCR"/>
      <sheetName val="Basel III NSFR"/>
      <sheetName val="Basel III NSFR Example"/>
      <sheetName val="Laddering"/>
      <sheetName val="Matz_Ch4"/>
      <sheetName val="Matz_Ch4_TextExample"/>
      <sheetName val="Q1_FundingMix"/>
      <sheetName val="Q1_FundingMixCalcs"/>
      <sheetName val="Q2_FundingMix4Bank"/>
      <sheetName val="Q2_FundingMix4BankCalcs"/>
      <sheetName val="LCR"/>
      <sheetName val="LCR_Calc"/>
      <sheetName val="NSFR"/>
      <sheetName val="ASF"/>
      <sheetName val="RS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1">
          <cell r="C31">
            <v>1</v>
          </cell>
          <cell r="D31" t="str">
            <v>Amount</v>
          </cell>
        </row>
        <row r="32">
          <cell r="C32">
            <v>2</v>
          </cell>
          <cell r="D32" t="str">
            <v>of</v>
          </cell>
        </row>
        <row r="33">
          <cell r="C33">
            <v>3</v>
          </cell>
          <cell r="D33" t="str">
            <v>Stable</v>
          </cell>
        </row>
        <row r="34">
          <cell r="C34">
            <v>4</v>
          </cell>
          <cell r="D34" t="str">
            <v>Funding</v>
          </cell>
        </row>
      </sheetData>
      <sheetData sheetId="18"/>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lass9"/>
      <sheetName val="LiquidiyRiskManagement"/>
      <sheetName val="Definition"/>
      <sheetName val="Basel III"/>
      <sheetName val="Basel III LCR"/>
      <sheetName val="Basel III NSFR"/>
      <sheetName val="Basel III NSFR Example"/>
      <sheetName val="Laddering"/>
      <sheetName val="Matz_Ch4"/>
      <sheetName val="Matz_Ch4_TextExample"/>
      <sheetName val="Q1_FundingMix"/>
      <sheetName val="Q1_FundingMixCalcs"/>
      <sheetName val="Q2_FundingMix4Bank"/>
      <sheetName val="Q2_FundingMix4BankCalcs"/>
      <sheetName val="LCR"/>
      <sheetName val="LCR_Calc"/>
      <sheetName val="NSFR"/>
      <sheetName val="ASF"/>
      <sheetName val="RS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1">
          <cell r="C31">
            <v>1</v>
          </cell>
          <cell r="D31" t="str">
            <v>Amount</v>
          </cell>
        </row>
        <row r="32">
          <cell r="C32">
            <v>2</v>
          </cell>
          <cell r="D32" t="str">
            <v>of</v>
          </cell>
        </row>
        <row r="33">
          <cell r="C33">
            <v>3</v>
          </cell>
          <cell r="D33" t="str">
            <v>Stable</v>
          </cell>
        </row>
        <row r="34">
          <cell r="C34">
            <v>4</v>
          </cell>
          <cell r="D34" t="str">
            <v>Funding</v>
          </cell>
        </row>
      </sheetData>
      <sheetData sheetId="1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hyperlink" Target="https://www.investopedia.com/terms/c/capital-buffer.asp"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hyperlink" Target="http://www.investopedia.com/terms/c/cashconversioncycle.asp"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3:C10"/>
  <sheetViews>
    <sheetView tabSelected="1" workbookViewId="0"/>
  </sheetViews>
  <sheetFormatPr baseColWidth="10" defaultColWidth="10.83203125" defaultRowHeight="26" x14ac:dyDescent="0.3"/>
  <cols>
    <col min="1" max="16384" width="10.83203125" style="3"/>
  </cols>
  <sheetData>
    <row r="3" spans="2:3" x14ac:dyDescent="0.3">
      <c r="B3" s="3" t="s">
        <v>0</v>
      </c>
    </row>
    <row r="5" spans="2:3" x14ac:dyDescent="0.3">
      <c r="B5" s="3" t="s">
        <v>101</v>
      </c>
    </row>
    <row r="7" spans="2:3" x14ac:dyDescent="0.3">
      <c r="B7" s="3" t="s">
        <v>94</v>
      </c>
    </row>
    <row r="8" spans="2:3" x14ac:dyDescent="0.3">
      <c r="C8" s="3" t="s">
        <v>96</v>
      </c>
    </row>
    <row r="9" spans="2:3" x14ac:dyDescent="0.3">
      <c r="C9" s="3" t="s">
        <v>97</v>
      </c>
    </row>
    <row r="10" spans="2:3" x14ac:dyDescent="0.3">
      <c r="C10" s="3" t="s">
        <v>98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2:C6"/>
  <sheetViews>
    <sheetView workbookViewId="0"/>
  </sheetViews>
  <sheetFormatPr baseColWidth="10" defaultColWidth="8.83203125" defaultRowHeight="26" x14ac:dyDescent="0.3"/>
  <cols>
    <col min="1" max="2" width="8.83203125" style="3"/>
    <col min="3" max="3" width="8.83203125" style="42"/>
    <col min="4" max="16384" width="8.83203125" style="3"/>
  </cols>
  <sheetData>
    <row r="2" spans="2:2" x14ac:dyDescent="0.3">
      <c r="B2" s="3" t="s">
        <v>236</v>
      </c>
    </row>
    <row r="3" spans="2:2" x14ac:dyDescent="0.3">
      <c r="B3" s="3" t="s">
        <v>237</v>
      </c>
    </row>
    <row r="4" spans="2:2" x14ac:dyDescent="0.3">
      <c r="B4" s="3" t="s">
        <v>238</v>
      </c>
    </row>
    <row r="5" spans="2:2" x14ac:dyDescent="0.3">
      <c r="B5" s="3" t="s">
        <v>239</v>
      </c>
    </row>
    <row r="6" spans="2:2" x14ac:dyDescent="0.3">
      <c r="B6" s="3" t="s">
        <v>240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B2:D37"/>
  <sheetViews>
    <sheetView zoomScale="90" workbookViewId="0"/>
  </sheetViews>
  <sheetFormatPr baseColWidth="10" defaultColWidth="8.83203125" defaultRowHeight="26" x14ac:dyDescent="0.3"/>
  <cols>
    <col min="1" max="16384" width="8.83203125" style="3"/>
  </cols>
  <sheetData>
    <row r="2" spans="2:4" x14ac:dyDescent="0.3">
      <c r="B2" s="3" t="s">
        <v>359</v>
      </c>
    </row>
    <row r="3" spans="2:4" x14ac:dyDescent="0.3">
      <c r="C3" s="3" t="s">
        <v>153</v>
      </c>
    </row>
    <row r="4" spans="2:4" x14ac:dyDescent="0.3">
      <c r="D4" s="3" t="s">
        <v>232</v>
      </c>
    </row>
    <row r="5" spans="2:4" x14ac:dyDescent="0.3">
      <c r="C5" s="3" t="s">
        <v>231</v>
      </c>
    </row>
    <row r="6" spans="2:4" x14ac:dyDescent="0.3">
      <c r="D6" s="3" t="s">
        <v>233</v>
      </c>
    </row>
    <row r="7" spans="2:4" x14ac:dyDescent="0.3">
      <c r="D7" s="3" t="s">
        <v>388</v>
      </c>
    </row>
    <row r="9" spans="2:4" x14ac:dyDescent="0.3">
      <c r="B9" s="3" t="s">
        <v>235</v>
      </c>
    </row>
    <row r="10" spans="2:4" x14ac:dyDescent="0.3">
      <c r="C10" s="3" t="s">
        <v>146</v>
      </c>
    </row>
    <row r="11" spans="2:4" x14ac:dyDescent="0.3">
      <c r="C11" s="3" t="s">
        <v>147</v>
      </c>
    </row>
    <row r="13" spans="2:4" x14ac:dyDescent="0.3">
      <c r="B13" s="3" t="s">
        <v>1</v>
      </c>
    </row>
    <row r="15" spans="2:4" x14ac:dyDescent="0.3">
      <c r="B15" s="3" t="s">
        <v>16</v>
      </c>
    </row>
    <row r="16" spans="2:4" x14ac:dyDescent="0.3">
      <c r="C16" s="11" t="s">
        <v>108</v>
      </c>
    </row>
    <row r="17" spans="2:4" x14ac:dyDescent="0.3">
      <c r="D17" s="11"/>
    </row>
    <row r="18" spans="2:4" x14ac:dyDescent="0.3">
      <c r="B18" s="3" t="s">
        <v>2</v>
      </c>
    </row>
    <row r="19" spans="2:4" x14ac:dyDescent="0.3">
      <c r="C19" s="3" t="s">
        <v>3</v>
      </c>
    </row>
    <row r="20" spans="2:4" x14ac:dyDescent="0.3">
      <c r="C20" s="3" t="s">
        <v>17</v>
      </c>
    </row>
    <row r="22" spans="2:4" x14ac:dyDescent="0.3">
      <c r="B22" s="3" t="s">
        <v>356</v>
      </c>
    </row>
    <row r="23" spans="2:4" x14ac:dyDescent="0.3">
      <c r="C23" s="3" t="s">
        <v>18</v>
      </c>
    </row>
    <row r="24" spans="2:4" x14ac:dyDescent="0.3">
      <c r="C24" s="3" t="s">
        <v>11</v>
      </c>
    </row>
    <row r="25" spans="2:4" x14ac:dyDescent="0.3">
      <c r="D25" s="3" t="s">
        <v>12</v>
      </c>
    </row>
    <row r="27" spans="2:4" x14ac:dyDescent="0.3">
      <c r="B27" s="3" t="s">
        <v>4</v>
      </c>
    </row>
    <row r="28" spans="2:4" x14ac:dyDescent="0.3">
      <c r="C28" s="3" t="s">
        <v>5</v>
      </c>
    </row>
    <row r="29" spans="2:4" x14ac:dyDescent="0.3">
      <c r="C29" s="3" t="s">
        <v>6</v>
      </c>
    </row>
    <row r="30" spans="2:4" x14ac:dyDescent="0.3">
      <c r="C30" s="3" t="s">
        <v>7</v>
      </c>
    </row>
    <row r="31" spans="2:4" x14ac:dyDescent="0.3">
      <c r="D31" s="3" t="s">
        <v>8</v>
      </c>
    </row>
    <row r="32" spans="2:4" x14ac:dyDescent="0.3">
      <c r="D32" s="3" t="s">
        <v>9</v>
      </c>
    </row>
    <row r="33" spans="2:4" x14ac:dyDescent="0.3">
      <c r="D33" s="3" t="s">
        <v>10</v>
      </c>
    </row>
    <row r="35" spans="2:4" x14ac:dyDescent="0.3">
      <c r="B35" s="3" t="s">
        <v>13</v>
      </c>
    </row>
    <row r="36" spans="2:4" x14ac:dyDescent="0.3">
      <c r="C36" s="3" t="s">
        <v>14</v>
      </c>
    </row>
    <row r="37" spans="2:4" x14ac:dyDescent="0.3">
      <c r="C37" s="3" t="s">
        <v>15</v>
      </c>
    </row>
  </sheetData>
  <hyperlinks>
    <hyperlink ref="C16" r:id="rId1" xr:uid="{00000000-0004-0000-06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B2:B7"/>
  <sheetViews>
    <sheetView zoomScaleNormal="100" workbookViewId="0"/>
  </sheetViews>
  <sheetFormatPr baseColWidth="10" defaultColWidth="8.83203125" defaultRowHeight="26" x14ac:dyDescent="0.3"/>
  <cols>
    <col min="1" max="16384" width="8.83203125" style="3"/>
  </cols>
  <sheetData>
    <row r="2" spans="2:2" x14ac:dyDescent="0.3">
      <c r="B2" s="3" t="s">
        <v>249</v>
      </c>
    </row>
    <row r="4" spans="2:2" x14ac:dyDescent="0.3">
      <c r="B4" s="3" t="s">
        <v>244</v>
      </c>
    </row>
    <row r="5" spans="2:2" x14ac:dyDescent="0.3">
      <c r="B5" s="3" t="s">
        <v>243</v>
      </c>
    </row>
    <row r="6" spans="2:2" x14ac:dyDescent="0.3">
      <c r="B6" s="3" t="s">
        <v>242</v>
      </c>
    </row>
    <row r="7" spans="2:2" x14ac:dyDescent="0.3">
      <c r="B7" s="3" t="s">
        <v>241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A2:Q102"/>
  <sheetViews>
    <sheetView zoomScaleNormal="100" workbookViewId="0"/>
  </sheetViews>
  <sheetFormatPr baseColWidth="10" defaultColWidth="8.83203125" defaultRowHeight="26" x14ac:dyDescent="0.3"/>
  <cols>
    <col min="1" max="1" width="8.83203125" style="3"/>
    <col min="2" max="2" width="32.33203125" style="3" customWidth="1"/>
    <col min="3" max="3" width="49" style="3" customWidth="1"/>
    <col min="4" max="7" width="8.83203125" style="3"/>
    <col min="8" max="8" width="20.1640625" style="3" customWidth="1"/>
    <col min="9" max="9" width="8.33203125" style="3" customWidth="1"/>
    <col min="10" max="10" width="27" style="3" customWidth="1"/>
    <col min="11" max="11" width="27.6640625" style="3" customWidth="1"/>
    <col min="12" max="14" width="8.83203125" style="3"/>
    <col min="15" max="15" width="6.6640625" style="3" customWidth="1"/>
    <col min="16" max="16" width="5.6640625" style="3" customWidth="1"/>
    <col min="17" max="16384" width="8.83203125" style="3"/>
  </cols>
  <sheetData>
    <row r="2" spans="2:4" x14ac:dyDescent="0.3">
      <c r="B2" s="41" t="s">
        <v>248</v>
      </c>
    </row>
    <row r="3" spans="2:4" x14ac:dyDescent="0.3">
      <c r="D3" s="11"/>
    </row>
    <row r="4" spans="2:4" x14ac:dyDescent="0.3">
      <c r="D4" s="11"/>
    </row>
    <row r="5" spans="2:4" x14ac:dyDescent="0.3">
      <c r="B5" s="40" t="s">
        <v>209</v>
      </c>
      <c r="C5" s="40" t="s">
        <v>210</v>
      </c>
    </row>
    <row r="7" spans="2:4" x14ac:dyDescent="0.3">
      <c r="B7" s="3" t="s">
        <v>218</v>
      </c>
      <c r="C7" s="3" t="s">
        <v>247</v>
      </c>
    </row>
    <row r="8" spans="2:4" x14ac:dyDescent="0.3">
      <c r="B8" s="3" t="s">
        <v>219</v>
      </c>
      <c r="D8" s="3" t="s">
        <v>211</v>
      </c>
    </row>
    <row r="9" spans="2:4" x14ac:dyDescent="0.3">
      <c r="B9" s="3" t="s">
        <v>220</v>
      </c>
      <c r="D9" s="3" t="s">
        <v>212</v>
      </c>
    </row>
    <row r="10" spans="2:4" x14ac:dyDescent="0.3">
      <c r="B10" s="3" t="s">
        <v>221</v>
      </c>
      <c r="D10" s="3" t="s">
        <v>246</v>
      </c>
    </row>
    <row r="11" spans="2:4" x14ac:dyDescent="0.3">
      <c r="B11" s="3" t="s">
        <v>222</v>
      </c>
      <c r="D11" s="3" t="s">
        <v>213</v>
      </c>
    </row>
    <row r="12" spans="2:4" x14ac:dyDescent="0.3">
      <c r="B12" s="3" t="s">
        <v>223</v>
      </c>
    </row>
    <row r="13" spans="2:4" x14ac:dyDescent="0.3">
      <c r="B13" s="3" t="s">
        <v>224</v>
      </c>
      <c r="C13" s="3" t="s">
        <v>214</v>
      </c>
    </row>
    <row r="14" spans="2:4" x14ac:dyDescent="0.3">
      <c r="D14" s="3" t="s">
        <v>215</v>
      </c>
    </row>
    <row r="15" spans="2:4" x14ac:dyDescent="0.3">
      <c r="D15" s="3" t="s">
        <v>10</v>
      </c>
    </row>
    <row r="16" spans="2:4" x14ac:dyDescent="0.3">
      <c r="D16" s="3" t="s">
        <v>216</v>
      </c>
    </row>
    <row r="17" spans="4:4" x14ac:dyDescent="0.3">
      <c r="D17" s="3" t="s">
        <v>85</v>
      </c>
    </row>
    <row r="18" spans="4:4" x14ac:dyDescent="0.3">
      <c r="D18" s="3" t="s">
        <v>245</v>
      </c>
    </row>
    <row r="19" spans="4:4" x14ac:dyDescent="0.3">
      <c r="D19" s="3" t="s">
        <v>139</v>
      </c>
    </row>
    <row r="20" spans="4:4" x14ac:dyDescent="0.3">
      <c r="D20" s="3" t="s">
        <v>217</v>
      </c>
    </row>
    <row r="45" spans="1:16" x14ac:dyDescent="0.3">
      <c r="A45" s="42" t="s">
        <v>443</v>
      </c>
      <c r="C45" s="42"/>
      <c r="D45" s="42"/>
      <c r="E45" s="42"/>
      <c r="F45" s="42"/>
      <c r="G45" s="42"/>
      <c r="H45" s="42"/>
      <c r="I45" s="42"/>
      <c r="J45" s="42"/>
      <c r="K45" s="42"/>
      <c r="L45" s="42"/>
    </row>
    <row r="46" spans="1:16" x14ac:dyDescent="0.3">
      <c r="B46" s="42" t="s">
        <v>444</v>
      </c>
      <c r="C46" s="42"/>
      <c r="D46" s="42"/>
      <c r="E46" s="42"/>
      <c r="F46" s="42"/>
      <c r="G46" s="42"/>
      <c r="H46" s="42"/>
      <c r="I46" s="42"/>
      <c r="J46" s="42"/>
      <c r="K46" s="42"/>
      <c r="L46" s="42"/>
    </row>
    <row r="47" spans="1:16" x14ac:dyDescent="0.3">
      <c r="B47" s="192" t="s">
        <v>445</v>
      </c>
      <c r="C47" s="42"/>
      <c r="D47" s="42"/>
      <c r="E47" s="42"/>
      <c r="F47" s="42"/>
      <c r="G47" s="42"/>
      <c r="H47" s="42"/>
      <c r="I47" s="42"/>
      <c r="J47" s="42"/>
      <c r="K47" s="42"/>
      <c r="L47" s="42"/>
    </row>
    <row r="48" spans="1:16" ht="26" customHeight="1" x14ac:dyDescent="0.3">
      <c r="B48" s="190" t="s">
        <v>446</v>
      </c>
      <c r="C48" s="191"/>
      <c r="D48" s="191"/>
      <c r="E48" s="42"/>
      <c r="F48" s="42"/>
      <c r="G48" s="42"/>
      <c r="H48" s="42"/>
      <c r="J48" s="190" t="s">
        <v>500</v>
      </c>
      <c r="K48" s="42"/>
      <c r="L48" s="42"/>
      <c r="M48" s="42"/>
      <c r="N48" s="42"/>
      <c r="O48" s="42"/>
      <c r="P48" s="42"/>
    </row>
    <row r="49" spans="2:16" x14ac:dyDescent="0.3">
      <c r="B49" s="199" t="s">
        <v>447</v>
      </c>
      <c r="C49" s="199" t="s">
        <v>448</v>
      </c>
      <c r="D49" s="194" t="s">
        <v>449</v>
      </c>
      <c r="E49" s="195"/>
      <c r="F49" s="195"/>
      <c r="G49" s="195"/>
      <c r="H49" s="197"/>
      <c r="J49" s="204" t="s">
        <v>501</v>
      </c>
      <c r="K49" s="202"/>
      <c r="L49" s="202"/>
      <c r="M49" s="202"/>
      <c r="N49" s="202"/>
      <c r="O49" s="202"/>
      <c r="P49" s="202"/>
    </row>
    <row r="50" spans="2:16" x14ac:dyDescent="0.3">
      <c r="B50" s="200" t="s">
        <v>450</v>
      </c>
      <c r="C50" s="200" t="s">
        <v>451</v>
      </c>
      <c r="D50" s="198" t="s">
        <v>452</v>
      </c>
      <c r="E50" s="196"/>
      <c r="F50" s="196"/>
      <c r="G50" s="196"/>
      <c r="H50" s="197"/>
      <c r="J50" s="206" t="s">
        <v>502</v>
      </c>
      <c r="K50" s="206" t="s">
        <v>503</v>
      </c>
      <c r="L50" s="195" t="s">
        <v>504</v>
      </c>
      <c r="M50" s="195"/>
      <c r="N50" s="195"/>
      <c r="O50" s="195"/>
      <c r="P50" s="197"/>
    </row>
    <row r="51" spans="2:16" x14ac:dyDescent="0.3">
      <c r="B51" s="200" t="s">
        <v>453</v>
      </c>
      <c r="C51" s="200" t="s">
        <v>454</v>
      </c>
      <c r="D51" s="198" t="s">
        <v>455</v>
      </c>
      <c r="E51" s="196"/>
      <c r="F51" s="196"/>
      <c r="G51" s="196"/>
      <c r="H51" s="197"/>
      <c r="J51" s="197" t="s">
        <v>505</v>
      </c>
      <c r="K51" s="197" t="s">
        <v>506</v>
      </c>
      <c r="L51" s="196" t="s">
        <v>507</v>
      </c>
      <c r="M51" s="196"/>
      <c r="N51" s="196"/>
      <c r="O51" s="196"/>
      <c r="P51" s="197"/>
    </row>
    <row r="52" spans="2:16" x14ac:dyDescent="0.3">
      <c r="B52" s="200" t="s">
        <v>456</v>
      </c>
      <c r="C52" s="200" t="s">
        <v>457</v>
      </c>
      <c r="D52" s="198" t="s">
        <v>458</v>
      </c>
      <c r="E52" s="196"/>
      <c r="F52" s="196"/>
      <c r="G52" s="196"/>
      <c r="H52" s="197"/>
      <c r="I52" s="205"/>
      <c r="J52" s="200" t="s">
        <v>508</v>
      </c>
      <c r="K52" s="197" t="s">
        <v>509</v>
      </c>
      <c r="L52" s="196" t="s">
        <v>510</v>
      </c>
      <c r="M52" s="196"/>
      <c r="N52" s="196"/>
      <c r="O52" s="196"/>
      <c r="P52" s="197"/>
    </row>
    <row r="53" spans="2:16" x14ac:dyDescent="0.3">
      <c r="B53" s="200" t="s">
        <v>459</v>
      </c>
      <c r="C53" s="200" t="s">
        <v>460</v>
      </c>
      <c r="D53" s="198" t="s">
        <v>461</v>
      </c>
      <c r="E53" s="196"/>
      <c r="F53" s="196"/>
      <c r="G53" s="196"/>
      <c r="H53" s="197"/>
      <c r="I53" s="205"/>
      <c r="J53" s="200" t="s">
        <v>511</v>
      </c>
      <c r="K53" s="197" t="s">
        <v>512</v>
      </c>
      <c r="L53" s="196" t="s">
        <v>513</v>
      </c>
      <c r="M53" s="196"/>
      <c r="N53" s="196"/>
      <c r="O53" s="196"/>
      <c r="P53" s="197"/>
    </row>
    <row r="54" spans="2:16" x14ac:dyDescent="0.3">
      <c r="B54" s="200" t="s">
        <v>462</v>
      </c>
      <c r="C54" s="200" t="s">
        <v>463</v>
      </c>
      <c r="D54" s="198" t="s">
        <v>464</v>
      </c>
      <c r="E54" s="196"/>
      <c r="F54" s="196"/>
      <c r="G54" s="196"/>
      <c r="H54" s="197"/>
      <c r="I54" s="205"/>
      <c r="J54" s="200" t="s">
        <v>153</v>
      </c>
      <c r="K54" s="197" t="s">
        <v>514</v>
      </c>
      <c r="L54" s="196" t="s">
        <v>515</v>
      </c>
      <c r="M54" s="196"/>
      <c r="N54" s="196"/>
      <c r="O54" s="196"/>
      <c r="P54" s="197"/>
    </row>
    <row r="55" spans="2:16" x14ac:dyDescent="0.3">
      <c r="B55" s="200" t="s">
        <v>465</v>
      </c>
      <c r="C55" s="200" t="s">
        <v>466</v>
      </c>
      <c r="D55" s="201" t="s">
        <v>467</v>
      </c>
      <c r="E55" s="202"/>
      <c r="F55" s="202"/>
      <c r="G55" s="202"/>
      <c r="H55" s="203"/>
      <c r="I55" s="205"/>
      <c r="J55" s="200" t="s">
        <v>516</v>
      </c>
      <c r="K55" s="197" t="s">
        <v>517</v>
      </c>
      <c r="L55" s="196" t="s">
        <v>518</v>
      </c>
      <c r="M55" s="196"/>
      <c r="N55" s="196"/>
      <c r="O55" s="196"/>
      <c r="P55" s="197"/>
    </row>
    <row r="56" spans="2:16" x14ac:dyDescent="0.3">
      <c r="B56" s="200" t="s">
        <v>468</v>
      </c>
      <c r="C56" s="200" t="s">
        <v>469</v>
      </c>
      <c r="D56" s="198" t="s">
        <v>470</v>
      </c>
      <c r="E56" s="196"/>
      <c r="F56" s="196"/>
      <c r="G56" s="196"/>
      <c r="H56" s="197"/>
      <c r="J56" s="244" t="s">
        <v>519</v>
      </c>
      <c r="K56" s="244"/>
      <c r="L56" s="244"/>
      <c r="M56" s="244"/>
      <c r="N56" s="244"/>
      <c r="O56" s="244"/>
      <c r="P56" s="244"/>
    </row>
    <row r="57" spans="2:16" x14ac:dyDescent="0.3">
      <c r="B57" s="200" t="s">
        <v>471</v>
      </c>
      <c r="C57" s="200" t="s">
        <v>472</v>
      </c>
      <c r="D57" s="198" t="s">
        <v>473</v>
      </c>
      <c r="E57" s="196"/>
      <c r="F57" s="196"/>
      <c r="G57" s="196"/>
      <c r="H57" s="197"/>
      <c r="I57" s="42"/>
      <c r="J57" s="244"/>
      <c r="K57" s="244"/>
      <c r="L57" s="244"/>
      <c r="M57" s="244"/>
      <c r="N57" s="244"/>
      <c r="O57" s="244"/>
      <c r="P57" s="244"/>
    </row>
    <row r="58" spans="2:16" x14ac:dyDescent="0.3">
      <c r="B58" s="200" t="s">
        <v>474</v>
      </c>
      <c r="C58" s="200" t="s">
        <v>475</v>
      </c>
      <c r="D58" s="198" t="s">
        <v>476</v>
      </c>
      <c r="E58" s="202"/>
      <c r="F58" s="202"/>
      <c r="G58" s="202"/>
      <c r="H58" s="202"/>
      <c r="I58" s="42"/>
      <c r="J58" s="42"/>
      <c r="K58" s="42"/>
      <c r="L58" s="42"/>
    </row>
    <row r="59" spans="2:16" x14ac:dyDescent="0.3">
      <c r="B59" s="190" t="s">
        <v>477</v>
      </c>
      <c r="C59" s="42"/>
      <c r="D59" s="42"/>
      <c r="E59" s="42"/>
      <c r="F59" s="42"/>
      <c r="G59" s="42"/>
      <c r="H59" s="42"/>
      <c r="I59" s="42"/>
      <c r="J59" s="213" t="s">
        <v>520</v>
      </c>
      <c r="K59" s="202"/>
      <c r="L59" s="202"/>
      <c r="M59" s="202"/>
      <c r="N59" s="202"/>
      <c r="O59" s="202"/>
      <c r="P59" s="42"/>
    </row>
    <row r="60" spans="2:16" x14ac:dyDescent="0.3">
      <c r="B60" s="204" t="s">
        <v>478</v>
      </c>
      <c r="C60" s="202"/>
      <c r="D60" s="42"/>
      <c r="E60" s="42"/>
      <c r="F60" s="42"/>
      <c r="G60" s="42"/>
      <c r="H60" s="42"/>
      <c r="I60" s="42"/>
      <c r="J60" s="251" t="s">
        <v>524</v>
      </c>
      <c r="K60" s="245" t="s">
        <v>521</v>
      </c>
      <c r="L60" s="245"/>
      <c r="M60" s="245"/>
      <c r="N60" s="245"/>
      <c r="O60" s="245"/>
      <c r="P60" s="246"/>
    </row>
    <row r="61" spans="2:16" x14ac:dyDescent="0.3">
      <c r="B61" s="199" t="s">
        <v>447</v>
      </c>
      <c r="C61" s="206" t="s">
        <v>479</v>
      </c>
      <c r="D61" s="194" t="s">
        <v>480</v>
      </c>
      <c r="E61" s="195"/>
      <c r="F61" s="195"/>
      <c r="G61" s="196"/>
      <c r="H61" s="197"/>
      <c r="I61" s="42"/>
      <c r="J61" s="252"/>
      <c r="K61" s="245"/>
      <c r="L61" s="245"/>
      <c r="M61" s="245"/>
      <c r="N61" s="245"/>
      <c r="O61" s="245"/>
      <c r="P61" s="246"/>
    </row>
    <row r="62" spans="2:16" x14ac:dyDescent="0.3">
      <c r="B62" s="207" t="s">
        <v>481</v>
      </c>
      <c r="C62" s="197" t="s">
        <v>482</v>
      </c>
      <c r="D62" s="198" t="s">
        <v>483</v>
      </c>
      <c r="E62" s="196"/>
      <c r="F62" s="196"/>
      <c r="G62" s="196"/>
      <c r="H62" s="197"/>
      <c r="I62" s="42"/>
      <c r="J62" s="252"/>
      <c r="K62" s="245"/>
      <c r="L62" s="245"/>
      <c r="M62" s="245"/>
      <c r="N62" s="245"/>
      <c r="O62" s="245"/>
      <c r="P62" s="246"/>
    </row>
    <row r="63" spans="2:16" x14ac:dyDescent="0.3">
      <c r="B63" s="207" t="s">
        <v>484</v>
      </c>
      <c r="C63" s="197" t="s">
        <v>485</v>
      </c>
      <c r="D63" s="198" t="s">
        <v>486</v>
      </c>
      <c r="E63" s="196"/>
      <c r="F63" s="196"/>
      <c r="G63" s="196"/>
      <c r="H63" s="197"/>
      <c r="I63" s="42"/>
      <c r="J63" s="214"/>
      <c r="K63" s="245"/>
      <c r="L63" s="245"/>
      <c r="M63" s="245"/>
      <c r="N63" s="245"/>
      <c r="O63" s="245"/>
      <c r="P63" s="246"/>
    </row>
    <row r="64" spans="2:16" ht="25" customHeight="1" x14ac:dyDescent="0.3">
      <c r="B64" s="207" t="s">
        <v>487</v>
      </c>
      <c r="C64" s="197" t="s">
        <v>488</v>
      </c>
      <c r="D64" s="198" t="s">
        <v>489</v>
      </c>
      <c r="E64" s="196"/>
      <c r="F64" s="196"/>
      <c r="G64" s="196"/>
      <c r="H64" s="197"/>
      <c r="I64" s="42"/>
      <c r="J64" s="209"/>
      <c r="K64" s="247"/>
      <c r="L64" s="247"/>
      <c r="M64" s="247"/>
      <c r="N64" s="247"/>
      <c r="O64" s="247"/>
      <c r="P64" s="248"/>
    </row>
    <row r="65" spans="1:17" x14ac:dyDescent="0.3">
      <c r="B65" s="207" t="s">
        <v>490</v>
      </c>
      <c r="C65" s="197" t="s">
        <v>491</v>
      </c>
      <c r="D65" s="198" t="s">
        <v>492</v>
      </c>
      <c r="E65" s="196"/>
      <c r="F65" s="196"/>
      <c r="G65" s="196"/>
      <c r="H65" s="197"/>
      <c r="I65" s="208"/>
      <c r="J65" s="211" t="s">
        <v>523</v>
      </c>
      <c r="K65" s="249" t="s">
        <v>522</v>
      </c>
      <c r="L65" s="245"/>
      <c r="M65" s="245"/>
      <c r="N65" s="245"/>
      <c r="O65" s="245"/>
      <c r="P65" s="245"/>
      <c r="Q65" s="212"/>
    </row>
    <row r="66" spans="1:17" x14ac:dyDescent="0.3">
      <c r="B66" s="207" t="s">
        <v>493</v>
      </c>
      <c r="C66" s="197" t="s">
        <v>494</v>
      </c>
      <c r="D66" s="198" t="s">
        <v>495</v>
      </c>
      <c r="E66" s="196"/>
      <c r="F66" s="196"/>
      <c r="G66" s="196"/>
      <c r="H66" s="197"/>
      <c r="I66" s="208"/>
      <c r="J66" s="210"/>
      <c r="K66" s="249"/>
      <c r="L66" s="245"/>
      <c r="M66" s="245"/>
      <c r="N66" s="245"/>
      <c r="O66" s="245"/>
      <c r="P66" s="245"/>
      <c r="Q66" s="212"/>
    </row>
    <row r="67" spans="1:17" x14ac:dyDescent="0.3">
      <c r="B67" s="207" t="s">
        <v>496</v>
      </c>
      <c r="C67" s="197" t="s">
        <v>497</v>
      </c>
      <c r="D67" s="198" t="s">
        <v>559</v>
      </c>
      <c r="E67" s="196"/>
      <c r="F67" s="196"/>
      <c r="G67" s="196"/>
      <c r="H67" s="197"/>
      <c r="I67" s="208"/>
      <c r="J67" s="210"/>
      <c r="K67" s="249"/>
      <c r="L67" s="245"/>
      <c r="M67" s="245"/>
      <c r="N67" s="245"/>
      <c r="O67" s="245"/>
      <c r="P67" s="245"/>
      <c r="Q67" s="212"/>
    </row>
    <row r="68" spans="1:17" x14ac:dyDescent="0.3">
      <c r="B68" s="207" t="s">
        <v>359</v>
      </c>
      <c r="C68" s="197" t="s">
        <v>498</v>
      </c>
      <c r="D68" s="198" t="s">
        <v>499</v>
      </c>
      <c r="E68" s="196"/>
      <c r="F68" s="196"/>
      <c r="G68" s="196"/>
      <c r="H68" s="197"/>
      <c r="I68" s="208"/>
      <c r="J68" s="209"/>
      <c r="K68" s="250"/>
      <c r="L68" s="247"/>
      <c r="M68" s="247"/>
      <c r="N68" s="247"/>
      <c r="O68" s="247"/>
      <c r="P68" s="247"/>
      <c r="Q68" s="212"/>
    </row>
    <row r="69" spans="1:17" x14ac:dyDescent="0.3">
      <c r="I69" s="42"/>
      <c r="J69" s="42"/>
      <c r="K69" s="42"/>
      <c r="L69" s="42"/>
    </row>
    <row r="70" spans="1:17" x14ac:dyDescent="0.3">
      <c r="A70" s="3" t="s">
        <v>560</v>
      </c>
      <c r="B70" s="190"/>
      <c r="C70" s="42"/>
      <c r="D70" s="42"/>
      <c r="E70" s="42"/>
      <c r="F70" s="42"/>
      <c r="G70" s="42"/>
      <c r="H70" s="42"/>
      <c r="I70" s="42"/>
      <c r="J70" s="42"/>
      <c r="K70" s="42"/>
    </row>
    <row r="71" spans="1:17" x14ac:dyDescent="0.3">
      <c r="B71" s="191"/>
      <c r="C71" s="42"/>
      <c r="D71" s="42"/>
      <c r="E71" s="42"/>
      <c r="F71" s="42"/>
      <c r="G71" s="42"/>
      <c r="H71" s="42"/>
      <c r="I71" s="42"/>
      <c r="J71" s="42"/>
      <c r="K71" s="42"/>
    </row>
    <row r="72" spans="1:17" x14ac:dyDescent="0.3">
      <c r="C72" s="191"/>
      <c r="D72" s="191"/>
      <c r="E72" s="191"/>
      <c r="F72" s="191"/>
      <c r="G72" s="191"/>
      <c r="H72" s="42"/>
      <c r="I72" s="42"/>
      <c r="J72" s="42"/>
      <c r="K72" s="42"/>
    </row>
    <row r="73" spans="1:17" x14ac:dyDescent="0.3">
      <c r="B73" s="42"/>
      <c r="C73" s="42"/>
      <c r="D73" s="42"/>
      <c r="E73" s="42"/>
      <c r="F73" s="42"/>
      <c r="G73" s="42"/>
      <c r="H73" s="42"/>
      <c r="I73" s="42"/>
      <c r="J73" s="42"/>
      <c r="K73" s="42"/>
      <c r="L73" s="42"/>
    </row>
    <row r="74" spans="1:17" x14ac:dyDescent="0.3">
      <c r="B74" s="42"/>
      <c r="C74" s="42"/>
      <c r="D74" s="42"/>
      <c r="E74" s="42"/>
      <c r="F74" s="42"/>
      <c r="G74" s="42"/>
      <c r="H74" s="42"/>
      <c r="I74" s="42"/>
      <c r="J74" s="42"/>
      <c r="K74" s="42"/>
      <c r="L74" s="42"/>
    </row>
    <row r="75" spans="1:17" x14ac:dyDescent="0.3">
      <c r="B75" s="42"/>
      <c r="C75" s="42"/>
      <c r="D75" s="42"/>
      <c r="E75" s="42"/>
      <c r="F75" s="42"/>
      <c r="G75" s="42"/>
      <c r="H75" s="42"/>
      <c r="I75" s="42"/>
      <c r="J75" s="42"/>
      <c r="K75" s="42"/>
      <c r="L75" s="42"/>
    </row>
    <row r="76" spans="1:17" x14ac:dyDescent="0.3">
      <c r="B76" s="42"/>
      <c r="C76" s="42"/>
      <c r="D76" s="42"/>
      <c r="E76" s="42"/>
      <c r="F76" s="42"/>
      <c r="G76" s="42"/>
      <c r="H76" s="42"/>
      <c r="I76" s="42"/>
      <c r="J76" s="42"/>
      <c r="K76" s="42"/>
      <c r="L76" s="42"/>
    </row>
    <row r="77" spans="1:17" x14ac:dyDescent="0.3">
      <c r="B77" s="42"/>
      <c r="C77" s="42"/>
      <c r="D77" s="42"/>
      <c r="E77" s="42"/>
      <c r="F77" s="42"/>
      <c r="G77" s="42"/>
      <c r="H77" s="42"/>
      <c r="I77" s="42"/>
      <c r="J77" s="42"/>
      <c r="K77" s="42"/>
      <c r="L77" s="42"/>
    </row>
    <row r="78" spans="1:17" x14ac:dyDescent="0.3">
      <c r="B78" s="192"/>
      <c r="C78" s="192"/>
      <c r="D78" s="192"/>
      <c r="E78" s="192"/>
      <c r="F78" s="192"/>
      <c r="G78" s="192"/>
      <c r="H78" s="192"/>
      <c r="I78" s="192"/>
      <c r="J78" s="192"/>
      <c r="K78" s="192"/>
      <c r="L78" s="42"/>
    </row>
    <row r="79" spans="1:17" x14ac:dyDescent="0.3">
      <c r="B79" s="190"/>
      <c r="C79" s="42"/>
      <c r="D79" s="42"/>
      <c r="E79" s="42"/>
      <c r="F79" s="42"/>
      <c r="G79" s="42"/>
      <c r="H79" s="42"/>
      <c r="I79" s="42"/>
      <c r="J79" s="42"/>
      <c r="K79" s="42"/>
      <c r="L79" s="42"/>
    </row>
    <row r="80" spans="1:17" ht="26" customHeight="1" x14ac:dyDescent="0.3">
      <c r="B80" s="191"/>
      <c r="C80" s="193"/>
      <c r="D80" s="193"/>
      <c r="E80" s="193"/>
      <c r="F80" s="193"/>
      <c r="G80" s="193"/>
      <c r="H80" s="193"/>
      <c r="I80" s="193"/>
      <c r="J80" s="193"/>
      <c r="K80" s="193"/>
      <c r="L80" s="193"/>
      <c r="M80" s="162"/>
      <c r="N80" s="162"/>
      <c r="O80" s="162"/>
      <c r="P80" s="162"/>
      <c r="Q80" s="162"/>
    </row>
    <row r="81" spans="2:17" x14ac:dyDescent="0.3">
      <c r="B81" s="42"/>
      <c r="C81" s="193"/>
      <c r="D81" s="193"/>
      <c r="E81" s="193"/>
      <c r="F81" s="193"/>
      <c r="G81" s="193"/>
      <c r="H81" s="193"/>
      <c r="I81" s="193"/>
      <c r="J81" s="193"/>
      <c r="K81" s="193"/>
      <c r="L81" s="193"/>
      <c r="M81" s="162"/>
      <c r="N81" s="162"/>
      <c r="O81" s="162"/>
      <c r="P81" s="162"/>
      <c r="Q81" s="162"/>
    </row>
    <row r="82" spans="2:17" x14ac:dyDescent="0.3">
      <c r="B82" s="42"/>
      <c r="C82" s="193"/>
      <c r="D82" s="193"/>
      <c r="E82" s="193"/>
      <c r="F82" s="193"/>
      <c r="G82" s="193"/>
      <c r="H82" s="193"/>
      <c r="I82" s="42"/>
      <c r="J82" s="42"/>
      <c r="K82" s="42"/>
      <c r="L82" s="42"/>
    </row>
    <row r="83" spans="2:17" x14ac:dyDescent="0.3">
      <c r="B83" s="42"/>
      <c r="C83" s="193"/>
      <c r="D83" s="193"/>
      <c r="E83" s="193"/>
      <c r="F83" s="193"/>
      <c r="G83" s="193"/>
      <c r="H83" s="193"/>
      <c r="I83" s="42"/>
      <c r="J83" s="42"/>
      <c r="K83" s="42"/>
      <c r="L83" s="42"/>
    </row>
    <row r="84" spans="2:17" x14ac:dyDescent="0.3">
      <c r="B84" s="191"/>
      <c r="C84" s="193"/>
      <c r="D84" s="193"/>
      <c r="E84" s="193"/>
      <c r="F84" s="193"/>
      <c r="G84" s="193"/>
      <c r="H84" s="193"/>
      <c r="I84" s="42"/>
      <c r="J84" s="42"/>
      <c r="K84" s="42"/>
      <c r="L84" s="42"/>
    </row>
    <row r="85" spans="2:17" x14ac:dyDescent="0.3">
      <c r="B85" s="42"/>
      <c r="C85" s="193"/>
      <c r="D85" s="193"/>
      <c r="E85" s="193"/>
      <c r="F85" s="193"/>
      <c r="G85" s="193"/>
      <c r="H85" s="193"/>
      <c r="I85" s="42"/>
      <c r="J85" s="42"/>
      <c r="K85" s="42"/>
      <c r="L85" s="42"/>
    </row>
    <row r="86" spans="2:17" x14ac:dyDescent="0.3">
      <c r="B86" s="42"/>
      <c r="C86" s="193"/>
      <c r="D86" s="193"/>
      <c r="E86" s="193"/>
      <c r="F86" s="193"/>
      <c r="G86" s="193"/>
      <c r="H86" s="193"/>
      <c r="I86" s="42"/>
      <c r="J86" s="42"/>
      <c r="K86" s="42"/>
      <c r="L86" s="42"/>
    </row>
    <row r="87" spans="2:17" ht="11" customHeight="1" x14ac:dyDescent="0.3">
      <c r="B87" s="42"/>
      <c r="C87" s="193"/>
      <c r="D87" s="193"/>
      <c r="E87" s="193"/>
      <c r="F87" s="193"/>
      <c r="G87" s="193"/>
      <c r="H87" s="193"/>
      <c r="I87" s="42"/>
      <c r="J87" s="42"/>
      <c r="K87" s="42"/>
      <c r="L87" s="42"/>
    </row>
    <row r="88" spans="2:17" x14ac:dyDescent="0.3">
      <c r="B88" s="42"/>
      <c r="C88" s="42"/>
      <c r="D88" s="42"/>
      <c r="E88" s="42"/>
      <c r="F88" s="42"/>
      <c r="G88" s="42"/>
      <c r="H88" s="42"/>
      <c r="I88" s="42"/>
      <c r="J88" s="42"/>
      <c r="K88" s="42"/>
      <c r="L88" s="42"/>
    </row>
    <row r="89" spans="2:17" x14ac:dyDescent="0.3">
      <c r="B89" s="42"/>
      <c r="C89" s="42"/>
      <c r="D89" s="42"/>
      <c r="E89" s="42"/>
      <c r="F89" s="42"/>
      <c r="G89" s="42"/>
      <c r="H89" s="42"/>
      <c r="I89" s="42"/>
      <c r="J89" s="42"/>
      <c r="K89" s="42"/>
      <c r="L89" s="42"/>
    </row>
    <row r="90" spans="2:17" x14ac:dyDescent="0.3">
      <c r="B90" s="42"/>
      <c r="C90" s="42"/>
      <c r="D90" s="42"/>
      <c r="E90" s="42"/>
      <c r="F90" s="42"/>
      <c r="G90" s="42"/>
      <c r="H90" s="42"/>
      <c r="I90" s="42"/>
      <c r="J90" s="42"/>
      <c r="K90" s="42"/>
      <c r="L90" s="42"/>
    </row>
    <row r="91" spans="2:17" x14ac:dyDescent="0.3">
      <c r="B91" s="42"/>
      <c r="C91" s="42"/>
      <c r="D91" s="42"/>
      <c r="E91" s="42"/>
      <c r="F91" s="42"/>
      <c r="G91" s="42"/>
      <c r="H91" s="42"/>
      <c r="I91" s="42"/>
      <c r="J91" s="42"/>
      <c r="K91" s="42"/>
      <c r="L91" s="42"/>
    </row>
    <row r="92" spans="2:17" x14ac:dyDescent="0.3">
      <c r="B92" s="42"/>
      <c r="C92" s="42"/>
      <c r="D92" s="42"/>
      <c r="E92" s="42"/>
      <c r="F92" s="42"/>
      <c r="G92" s="42"/>
      <c r="H92" s="42"/>
      <c r="I92" s="42"/>
      <c r="J92" s="42"/>
      <c r="K92" s="42"/>
      <c r="L92" s="42"/>
    </row>
    <row r="93" spans="2:17" x14ac:dyDescent="0.3">
      <c r="B93" s="42"/>
      <c r="C93" s="42"/>
      <c r="D93" s="42"/>
      <c r="E93" s="42"/>
      <c r="F93" s="42"/>
      <c r="G93" s="42"/>
      <c r="H93" s="42"/>
      <c r="I93" s="42"/>
      <c r="J93" s="42"/>
      <c r="K93" s="42"/>
      <c r="L93" s="42"/>
    </row>
    <row r="94" spans="2:17" x14ac:dyDescent="0.3">
      <c r="B94" s="42"/>
      <c r="C94" s="42"/>
      <c r="D94" s="42"/>
      <c r="E94" s="42"/>
      <c r="F94" s="42"/>
      <c r="G94" s="42"/>
      <c r="H94" s="42"/>
      <c r="I94" s="42"/>
      <c r="J94" s="42"/>
      <c r="K94" s="42"/>
      <c r="L94" s="42"/>
    </row>
    <row r="95" spans="2:17" x14ac:dyDescent="0.3">
      <c r="B95" s="42"/>
      <c r="C95" s="42"/>
      <c r="D95" s="42"/>
      <c r="E95" s="42"/>
      <c r="F95" s="42"/>
      <c r="G95" s="42"/>
      <c r="H95" s="42"/>
      <c r="I95" s="42"/>
      <c r="J95" s="42"/>
      <c r="K95" s="42"/>
      <c r="L95" s="42"/>
    </row>
    <row r="96" spans="2:17" x14ac:dyDescent="0.3">
      <c r="B96" s="42"/>
      <c r="C96" s="42"/>
      <c r="D96" s="42"/>
      <c r="E96" s="42"/>
      <c r="F96" s="42"/>
      <c r="G96" s="42"/>
      <c r="H96" s="42"/>
      <c r="I96" s="42"/>
      <c r="J96" s="42"/>
      <c r="K96" s="42"/>
      <c r="L96" s="42"/>
    </row>
    <row r="97" spans="2:12" x14ac:dyDescent="0.3">
      <c r="B97" s="42"/>
      <c r="C97" s="42"/>
      <c r="D97" s="42"/>
      <c r="E97" s="42"/>
      <c r="F97" s="42"/>
      <c r="G97" s="42"/>
      <c r="H97" s="42"/>
      <c r="I97" s="42"/>
      <c r="J97" s="42"/>
      <c r="K97" s="42"/>
      <c r="L97" s="42"/>
    </row>
    <row r="98" spans="2:12" x14ac:dyDescent="0.3">
      <c r="B98" s="42"/>
      <c r="C98" s="42"/>
      <c r="D98" s="42"/>
      <c r="E98" s="42"/>
      <c r="F98" s="42"/>
      <c r="G98" s="42"/>
      <c r="H98" s="42"/>
      <c r="I98" s="42"/>
      <c r="J98" s="42"/>
      <c r="K98" s="42"/>
      <c r="L98" s="42"/>
    </row>
    <row r="99" spans="2:12" x14ac:dyDescent="0.3">
      <c r="B99" s="42"/>
      <c r="C99" s="42"/>
      <c r="D99" s="42"/>
      <c r="E99" s="42"/>
      <c r="F99" s="42"/>
      <c r="G99" s="42"/>
      <c r="H99" s="42"/>
      <c r="I99" s="42"/>
      <c r="J99" s="42"/>
      <c r="K99" s="42"/>
      <c r="L99" s="42"/>
    </row>
    <row r="100" spans="2:12" x14ac:dyDescent="0.3">
      <c r="B100" s="42"/>
      <c r="C100" s="42"/>
      <c r="D100" s="42"/>
      <c r="E100" s="42"/>
      <c r="F100" s="42"/>
      <c r="G100" s="42"/>
      <c r="H100" s="42"/>
      <c r="I100" s="42"/>
      <c r="J100" s="42"/>
      <c r="K100" s="42"/>
      <c r="L100" s="42"/>
    </row>
    <row r="101" spans="2:12" x14ac:dyDescent="0.3">
      <c r="B101" s="42"/>
      <c r="C101" s="42"/>
      <c r="D101" s="42"/>
      <c r="E101" s="42"/>
      <c r="F101" s="42"/>
      <c r="G101" s="42"/>
      <c r="H101" s="42"/>
      <c r="I101" s="42"/>
      <c r="J101" s="42"/>
      <c r="K101" s="42"/>
      <c r="L101" s="42"/>
    </row>
    <row r="102" spans="2:12" x14ac:dyDescent="0.3">
      <c r="B102" s="42"/>
      <c r="C102" s="42"/>
      <c r="D102" s="42"/>
      <c r="E102" s="42"/>
      <c r="F102" s="42"/>
      <c r="G102" s="42"/>
      <c r="H102" s="42"/>
      <c r="I102" s="42"/>
      <c r="J102" s="42"/>
      <c r="K102" s="42"/>
      <c r="L102" s="42"/>
    </row>
  </sheetData>
  <mergeCells count="4">
    <mergeCell ref="J56:P57"/>
    <mergeCell ref="K60:P64"/>
    <mergeCell ref="K65:P68"/>
    <mergeCell ref="J60:J62"/>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1A80E-D079-B84E-8143-E31D04EC9528}">
  <sheetPr>
    <tabColor rgb="FFFF0000"/>
  </sheetPr>
  <dimension ref="A2:L72"/>
  <sheetViews>
    <sheetView workbookViewId="0"/>
  </sheetViews>
  <sheetFormatPr baseColWidth="10" defaultRowHeight="26" x14ac:dyDescent="0.3"/>
  <cols>
    <col min="1" max="1" width="10.83203125" style="43"/>
    <col min="2" max="2" width="11.6640625" style="43" customWidth="1"/>
    <col min="3" max="3" width="12.6640625" style="43" customWidth="1"/>
    <col min="4" max="4" width="14.5" style="43" customWidth="1"/>
    <col min="5" max="11" width="13" style="43" customWidth="1"/>
    <col min="12" max="12" width="21.33203125" style="43" customWidth="1"/>
    <col min="13" max="14" width="13" style="43" customWidth="1"/>
    <col min="15" max="16384" width="10.83203125" style="43"/>
  </cols>
  <sheetData>
    <row r="2" spans="2:2" x14ac:dyDescent="0.3">
      <c r="B2" s="43" t="s">
        <v>234</v>
      </c>
    </row>
    <row r="4" spans="2:2" x14ac:dyDescent="0.3">
      <c r="B4" s="43" t="s">
        <v>250</v>
      </c>
    </row>
    <row r="5" spans="2:2" x14ac:dyDescent="0.3">
      <c r="B5" s="43" t="s">
        <v>251</v>
      </c>
    </row>
    <row r="6" spans="2:2" x14ac:dyDescent="0.3">
      <c r="B6" s="43" t="s">
        <v>252</v>
      </c>
    </row>
    <row r="7" spans="2:2" x14ac:dyDescent="0.3">
      <c r="B7" s="43" t="s">
        <v>225</v>
      </c>
    </row>
    <row r="8" spans="2:2" x14ac:dyDescent="0.3">
      <c r="B8" s="43" t="s">
        <v>253</v>
      </c>
    </row>
    <row r="9" spans="2:2" x14ac:dyDescent="0.3">
      <c r="B9" s="43" t="s">
        <v>226</v>
      </c>
    </row>
    <row r="10" spans="2:2" x14ac:dyDescent="0.3">
      <c r="B10" s="43" t="s">
        <v>254</v>
      </c>
    </row>
    <row r="11" spans="2:2" x14ac:dyDescent="0.3">
      <c r="B11" s="43" t="s">
        <v>227</v>
      </c>
    </row>
    <row r="12" spans="2:2" x14ac:dyDescent="0.3">
      <c r="B12" s="43" t="s">
        <v>228</v>
      </c>
    </row>
    <row r="13" spans="2:2" x14ac:dyDescent="0.3">
      <c r="B13" s="43" t="s">
        <v>229</v>
      </c>
    </row>
    <row r="14" spans="2:2" x14ac:dyDescent="0.3">
      <c r="B14" s="43" t="s">
        <v>255</v>
      </c>
    </row>
    <row r="15" spans="2:2" x14ac:dyDescent="0.3">
      <c r="B15" s="43" t="s">
        <v>256</v>
      </c>
    </row>
    <row r="16" spans="2:2" x14ac:dyDescent="0.3">
      <c r="B16" s="43" t="s">
        <v>230</v>
      </c>
    </row>
    <row r="50" spans="1:12" x14ac:dyDescent="0.3">
      <c r="A50" s="43" t="s">
        <v>443</v>
      </c>
    </row>
    <row r="51" spans="1:12" x14ac:dyDescent="0.3">
      <c r="B51" s="175" t="s">
        <v>528</v>
      </c>
    </row>
    <row r="52" spans="1:12" ht="26" customHeight="1" x14ac:dyDescent="0.3">
      <c r="B52" s="165" t="s">
        <v>527</v>
      </c>
      <c r="C52" s="166"/>
      <c r="D52" s="167"/>
      <c r="E52" s="259" t="s">
        <v>526</v>
      </c>
      <c r="F52" s="260"/>
      <c r="G52" s="260"/>
      <c r="H52" s="260"/>
      <c r="I52" s="260"/>
      <c r="J52" s="260"/>
      <c r="K52" s="260"/>
      <c r="L52" s="261"/>
    </row>
    <row r="53" spans="1:12" ht="26" customHeight="1" x14ac:dyDescent="0.3">
      <c r="B53" s="168"/>
      <c r="C53" s="169"/>
      <c r="D53" s="170"/>
      <c r="E53" s="262"/>
      <c r="F53" s="263"/>
      <c r="G53" s="263"/>
      <c r="H53" s="263"/>
      <c r="I53" s="263"/>
      <c r="J53" s="263"/>
      <c r="K53" s="263"/>
      <c r="L53" s="264"/>
    </row>
    <row r="54" spans="1:12" x14ac:dyDescent="0.3">
      <c r="B54" s="171"/>
      <c r="C54" s="169"/>
      <c r="D54" s="170"/>
      <c r="E54" s="262"/>
      <c r="F54" s="263"/>
      <c r="G54" s="263"/>
      <c r="H54" s="263"/>
      <c r="I54" s="263"/>
      <c r="J54" s="263"/>
      <c r="K54" s="263"/>
      <c r="L54" s="264"/>
    </row>
    <row r="55" spans="1:12" x14ac:dyDescent="0.3">
      <c r="B55" s="171"/>
      <c r="C55" s="169"/>
      <c r="D55" s="170"/>
      <c r="E55" s="262"/>
      <c r="F55" s="263"/>
      <c r="G55" s="263"/>
      <c r="H55" s="263"/>
      <c r="I55" s="263"/>
      <c r="J55" s="263"/>
      <c r="K55" s="263"/>
      <c r="L55" s="264"/>
    </row>
    <row r="56" spans="1:12" x14ac:dyDescent="0.3">
      <c r="B56" s="171"/>
      <c r="C56" s="169"/>
      <c r="D56" s="170"/>
      <c r="E56" s="171"/>
      <c r="F56" s="169"/>
      <c r="G56" s="169"/>
      <c r="H56" s="169"/>
      <c r="I56" s="169"/>
      <c r="J56" s="169"/>
      <c r="K56" s="169"/>
      <c r="L56" s="170"/>
    </row>
    <row r="57" spans="1:12" x14ac:dyDescent="0.3">
      <c r="B57" s="168"/>
      <c r="D57" s="172"/>
      <c r="E57" s="262" t="s">
        <v>525</v>
      </c>
      <c r="F57" s="263"/>
      <c r="G57" s="263"/>
      <c r="H57" s="263"/>
      <c r="I57" s="263"/>
      <c r="J57" s="263"/>
      <c r="K57" s="263"/>
      <c r="L57" s="264"/>
    </row>
    <row r="58" spans="1:12" ht="26" customHeight="1" x14ac:dyDescent="0.3">
      <c r="B58" s="176"/>
      <c r="C58" s="173"/>
      <c r="D58" s="174"/>
      <c r="E58" s="262"/>
      <c r="F58" s="263"/>
      <c r="G58" s="263"/>
      <c r="H58" s="263"/>
      <c r="I58" s="263"/>
      <c r="J58" s="263"/>
      <c r="K58" s="263"/>
      <c r="L58" s="264"/>
    </row>
    <row r="59" spans="1:12" x14ac:dyDescent="0.3">
      <c r="B59" s="177" t="s">
        <v>529</v>
      </c>
      <c r="C59" s="178"/>
      <c r="D59" s="179"/>
      <c r="E59" s="182" t="s">
        <v>530</v>
      </c>
      <c r="F59" s="183"/>
      <c r="G59" s="183"/>
      <c r="H59" s="183"/>
      <c r="I59" s="183"/>
      <c r="J59" s="183"/>
      <c r="K59" s="163"/>
      <c r="L59" s="164"/>
    </row>
    <row r="60" spans="1:12" ht="26" customHeight="1" x14ac:dyDescent="0.3">
      <c r="B60" s="168"/>
      <c r="D60" s="172"/>
      <c r="E60" s="184" t="s">
        <v>531</v>
      </c>
      <c r="F60" s="185"/>
      <c r="G60" s="185"/>
      <c r="H60" s="185"/>
      <c r="I60" s="185"/>
      <c r="J60" s="185"/>
      <c r="K60" s="185"/>
      <c r="L60" s="186"/>
    </row>
    <row r="61" spans="1:12" x14ac:dyDescent="0.3">
      <c r="B61" s="168"/>
      <c r="D61" s="172"/>
      <c r="E61" s="187" t="s">
        <v>532</v>
      </c>
      <c r="F61" s="163"/>
      <c r="G61" s="163"/>
      <c r="H61" s="163"/>
      <c r="I61" s="163"/>
      <c r="J61" s="163"/>
      <c r="K61" s="163"/>
      <c r="L61" s="164"/>
    </row>
    <row r="62" spans="1:12" x14ac:dyDescent="0.3">
      <c r="B62" s="168"/>
      <c r="D62" s="172"/>
      <c r="E62" s="187" t="s">
        <v>533</v>
      </c>
      <c r="F62" s="163"/>
      <c r="G62" s="163"/>
      <c r="H62" s="163"/>
      <c r="I62" s="163"/>
      <c r="J62" s="163"/>
      <c r="K62" s="163"/>
      <c r="L62" s="164"/>
    </row>
    <row r="63" spans="1:12" x14ac:dyDescent="0.3">
      <c r="B63" s="176"/>
      <c r="C63" s="180"/>
      <c r="D63" s="181"/>
      <c r="E63" s="188" t="s">
        <v>534</v>
      </c>
      <c r="F63" s="166"/>
      <c r="G63" s="166"/>
      <c r="H63" s="166"/>
      <c r="I63" s="166"/>
      <c r="J63" s="166"/>
      <c r="K63" s="166"/>
      <c r="L63" s="167"/>
    </row>
    <row r="64" spans="1:12" x14ac:dyDescent="0.3">
      <c r="B64" s="253" t="s">
        <v>561</v>
      </c>
      <c r="C64" s="254"/>
      <c r="D64" s="255"/>
      <c r="E64" s="187" t="s">
        <v>535</v>
      </c>
      <c r="F64" s="163"/>
      <c r="G64" s="163"/>
      <c r="H64" s="163"/>
      <c r="I64" s="163"/>
      <c r="J64" s="163"/>
      <c r="K64" s="163"/>
      <c r="L64" s="164"/>
    </row>
    <row r="65" spans="1:12" x14ac:dyDescent="0.3">
      <c r="B65" s="256"/>
      <c r="C65" s="257"/>
      <c r="D65" s="258"/>
      <c r="E65" s="187" t="s">
        <v>536</v>
      </c>
      <c r="F65" s="163"/>
      <c r="G65" s="163"/>
      <c r="H65" s="163"/>
      <c r="I65" s="163"/>
      <c r="J65" s="163"/>
      <c r="K65" s="163"/>
      <c r="L65" s="164"/>
    </row>
    <row r="66" spans="1:12" x14ac:dyDescent="0.3">
      <c r="B66" s="168"/>
      <c r="D66" s="172"/>
      <c r="E66" s="187" t="s">
        <v>537</v>
      </c>
      <c r="F66" s="163"/>
      <c r="G66" s="163"/>
      <c r="H66" s="163"/>
      <c r="I66" s="163"/>
      <c r="J66" s="163"/>
      <c r="K66" s="163"/>
      <c r="L66" s="164"/>
    </row>
    <row r="67" spans="1:12" x14ac:dyDescent="0.3">
      <c r="B67" s="168"/>
      <c r="D67" s="172"/>
      <c r="E67" s="187" t="s">
        <v>538</v>
      </c>
      <c r="F67" s="163"/>
      <c r="G67" s="163"/>
      <c r="H67" s="163"/>
      <c r="I67" s="163"/>
      <c r="J67" s="163"/>
      <c r="K67" s="163"/>
      <c r="L67" s="164"/>
    </row>
    <row r="68" spans="1:12" x14ac:dyDescent="0.3">
      <c r="B68" s="168"/>
      <c r="D68" s="172"/>
      <c r="E68" s="187" t="s">
        <v>539</v>
      </c>
      <c r="F68" s="163"/>
      <c r="G68" s="163"/>
      <c r="H68" s="163"/>
      <c r="I68" s="163"/>
      <c r="J68" s="163"/>
      <c r="K68" s="163"/>
      <c r="L68" s="164"/>
    </row>
    <row r="69" spans="1:12" x14ac:dyDescent="0.3">
      <c r="B69" s="176"/>
      <c r="C69" s="180"/>
      <c r="D69" s="181"/>
      <c r="E69" s="187" t="s">
        <v>540</v>
      </c>
      <c r="F69" s="163"/>
      <c r="G69" s="163"/>
      <c r="H69" s="163"/>
      <c r="I69" s="163"/>
      <c r="J69" s="163"/>
      <c r="K69" s="163"/>
      <c r="L69" s="164"/>
    </row>
    <row r="72" spans="1:12" x14ac:dyDescent="0.3">
      <c r="A72" s="43" t="s">
        <v>560</v>
      </c>
    </row>
  </sheetData>
  <mergeCells count="3">
    <mergeCell ref="B64:D65"/>
    <mergeCell ref="E52:L55"/>
    <mergeCell ref="E57:L5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B2:C26"/>
  <sheetViews>
    <sheetView workbookViewId="0"/>
  </sheetViews>
  <sheetFormatPr baseColWidth="10" defaultColWidth="10.83203125" defaultRowHeight="26" x14ac:dyDescent="0.3"/>
  <cols>
    <col min="1" max="16384" width="10.83203125" style="5"/>
  </cols>
  <sheetData>
    <row r="2" spans="2:2" x14ac:dyDescent="0.3">
      <c r="B2" s="5" t="s">
        <v>93</v>
      </c>
    </row>
    <row r="4" spans="2:2" x14ac:dyDescent="0.3">
      <c r="B4" s="5" t="s">
        <v>110</v>
      </c>
    </row>
    <row r="5" spans="2:2" x14ac:dyDescent="0.3">
      <c r="B5" s="5" t="s">
        <v>78</v>
      </c>
    </row>
    <row r="6" spans="2:2" x14ac:dyDescent="0.3">
      <c r="B6" s="5" t="s">
        <v>77</v>
      </c>
    </row>
    <row r="8" spans="2:2" x14ac:dyDescent="0.3">
      <c r="B8" s="5" t="s">
        <v>109</v>
      </c>
    </row>
    <row r="9" spans="2:2" x14ac:dyDescent="0.3">
      <c r="B9" s="5" t="s">
        <v>111</v>
      </c>
    </row>
    <row r="10" spans="2:2" x14ac:dyDescent="0.3">
      <c r="B10" s="5" t="s">
        <v>76</v>
      </c>
    </row>
    <row r="11" spans="2:2" x14ac:dyDescent="0.3">
      <c r="B11" s="5" t="s">
        <v>102</v>
      </c>
    </row>
    <row r="12" spans="2:2" x14ac:dyDescent="0.3">
      <c r="B12" s="5" t="s">
        <v>75</v>
      </c>
    </row>
    <row r="13" spans="2:2" x14ac:dyDescent="0.3">
      <c r="B13" s="5" t="s">
        <v>68</v>
      </c>
    </row>
    <row r="15" spans="2:2" x14ac:dyDescent="0.3">
      <c r="B15" s="5" t="s">
        <v>74</v>
      </c>
    </row>
    <row r="16" spans="2:2" x14ac:dyDescent="0.3">
      <c r="B16" s="5" t="s">
        <v>104</v>
      </c>
    </row>
    <row r="17" spans="2:3" x14ac:dyDescent="0.3">
      <c r="B17" s="5" t="s">
        <v>103</v>
      </c>
    </row>
    <row r="18" spans="2:3" x14ac:dyDescent="0.3">
      <c r="B18" s="5" t="s">
        <v>73</v>
      </c>
    </row>
    <row r="19" spans="2:3" x14ac:dyDescent="0.3">
      <c r="C19" s="5" t="s">
        <v>105</v>
      </c>
    </row>
    <row r="20" spans="2:3" x14ac:dyDescent="0.3">
      <c r="C20" s="5" t="s">
        <v>106</v>
      </c>
    </row>
    <row r="22" spans="2:3" x14ac:dyDescent="0.3">
      <c r="B22" s="5" t="s">
        <v>72</v>
      </c>
    </row>
    <row r="23" spans="2:3" x14ac:dyDescent="0.3">
      <c r="B23" s="5" t="s">
        <v>71</v>
      </c>
    </row>
    <row r="24" spans="2:3" x14ac:dyDescent="0.3">
      <c r="B24" s="5" t="s">
        <v>70</v>
      </c>
    </row>
    <row r="25" spans="2:3" x14ac:dyDescent="0.3">
      <c r="B25" s="5" t="s">
        <v>69</v>
      </c>
    </row>
    <row r="26" spans="2:3" x14ac:dyDescent="0.3">
      <c r="B26" s="5" t="s">
        <v>68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0000"/>
  </sheetPr>
  <dimension ref="B2:C31"/>
  <sheetViews>
    <sheetView workbookViewId="0"/>
  </sheetViews>
  <sheetFormatPr baseColWidth="10" defaultColWidth="11" defaultRowHeight="26" x14ac:dyDescent="0.3"/>
  <cols>
    <col min="1" max="16384" width="11" style="47"/>
  </cols>
  <sheetData>
    <row r="2" spans="2:3" x14ac:dyDescent="0.3">
      <c r="B2" s="47" t="s">
        <v>36</v>
      </c>
    </row>
    <row r="3" spans="2:3" x14ac:dyDescent="0.3">
      <c r="C3" s="47" t="s">
        <v>35</v>
      </c>
    </row>
    <row r="4" spans="2:3" x14ac:dyDescent="0.3">
      <c r="C4" s="47" t="s">
        <v>34</v>
      </c>
    </row>
    <row r="6" spans="2:3" x14ac:dyDescent="0.3">
      <c r="C6" s="47" t="s">
        <v>33</v>
      </c>
    </row>
    <row r="7" spans="2:3" x14ac:dyDescent="0.3">
      <c r="C7" s="47" t="s">
        <v>32</v>
      </c>
    </row>
    <row r="8" spans="2:3" x14ac:dyDescent="0.3">
      <c r="C8" s="47" t="s">
        <v>31</v>
      </c>
    </row>
    <row r="10" spans="2:3" x14ac:dyDescent="0.3">
      <c r="C10" s="47" t="s">
        <v>30</v>
      </c>
    </row>
    <row r="11" spans="2:3" x14ac:dyDescent="0.3">
      <c r="C11" s="47" t="s">
        <v>29</v>
      </c>
    </row>
    <row r="13" spans="2:3" x14ac:dyDescent="0.3">
      <c r="C13" s="47" t="s">
        <v>28</v>
      </c>
    </row>
    <row r="15" spans="2:3" x14ac:dyDescent="0.3">
      <c r="C15" s="47" t="s">
        <v>27</v>
      </c>
    </row>
    <row r="16" spans="2:3" x14ac:dyDescent="0.3">
      <c r="C16" s="11" t="s">
        <v>99</v>
      </c>
    </row>
    <row r="17" spans="2:3" x14ac:dyDescent="0.3">
      <c r="C17" s="47" t="s">
        <v>26</v>
      </c>
    </row>
    <row r="18" spans="2:3" x14ac:dyDescent="0.3">
      <c r="C18" s="47" t="s">
        <v>25</v>
      </c>
    </row>
    <row r="20" spans="2:3" x14ac:dyDescent="0.3">
      <c r="B20" s="47" t="s">
        <v>24</v>
      </c>
    </row>
    <row r="21" spans="2:3" x14ac:dyDescent="0.3">
      <c r="C21" s="47" t="s">
        <v>23</v>
      </c>
    </row>
    <row r="22" spans="2:3" x14ac:dyDescent="0.3">
      <c r="C22" s="47" t="s">
        <v>22</v>
      </c>
    </row>
    <row r="23" spans="2:3" x14ac:dyDescent="0.3">
      <c r="C23" s="47" t="s">
        <v>21</v>
      </c>
    </row>
    <row r="24" spans="2:3" x14ac:dyDescent="0.3">
      <c r="C24" s="47" t="s">
        <v>95</v>
      </c>
    </row>
    <row r="26" spans="2:3" x14ac:dyDescent="0.3">
      <c r="B26" s="47" t="s">
        <v>20</v>
      </c>
    </row>
    <row r="27" spans="2:3" x14ac:dyDescent="0.3">
      <c r="C27" s="47" t="s">
        <v>19</v>
      </c>
    </row>
    <row r="29" spans="2:3" x14ac:dyDescent="0.3">
      <c r="B29" s="47" t="s">
        <v>257</v>
      </c>
    </row>
    <row r="30" spans="2:3" x14ac:dyDescent="0.3">
      <c r="C30" s="47" t="s">
        <v>258</v>
      </c>
    </row>
    <row r="31" spans="2:3" x14ac:dyDescent="0.3">
      <c r="C31" s="47" t="s">
        <v>259</v>
      </c>
    </row>
  </sheetData>
  <hyperlinks>
    <hyperlink ref="C16" r:id="rId1" xr:uid="{00000000-0004-0000-0800-000000000000}"/>
  </hyperlinks>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FF0000"/>
  </sheetPr>
  <dimension ref="B2:D127"/>
  <sheetViews>
    <sheetView workbookViewId="0"/>
  </sheetViews>
  <sheetFormatPr baseColWidth="10" defaultColWidth="8.83203125" defaultRowHeight="16" x14ac:dyDescent="0.2"/>
  <cols>
    <col min="1" max="16384" width="8.83203125" style="2"/>
  </cols>
  <sheetData>
    <row r="2" spans="2:3" x14ac:dyDescent="0.2">
      <c r="B2" s="9" t="s">
        <v>100</v>
      </c>
    </row>
    <row r="3" spans="2:3" x14ac:dyDescent="0.2">
      <c r="C3" s="2" t="s">
        <v>51</v>
      </c>
    </row>
    <row r="4" spans="2:3" x14ac:dyDescent="0.2">
      <c r="C4" s="2" t="s">
        <v>50</v>
      </c>
    </row>
    <row r="5" spans="2:3" x14ac:dyDescent="0.2">
      <c r="C5" s="2" t="s">
        <v>49</v>
      </c>
    </row>
    <row r="6" spans="2:3" x14ac:dyDescent="0.2">
      <c r="C6" s="2" t="s">
        <v>48</v>
      </c>
    </row>
    <row r="63" spans="3:3" x14ac:dyDescent="0.2">
      <c r="C63" s="2" t="s">
        <v>47</v>
      </c>
    </row>
    <row r="94" spans="3:4" x14ac:dyDescent="0.2">
      <c r="C94" s="9" t="s">
        <v>107</v>
      </c>
    </row>
    <row r="95" spans="3:4" x14ac:dyDescent="0.2">
      <c r="D95" s="2" t="s">
        <v>46</v>
      </c>
    </row>
    <row r="96" spans="3:4" x14ac:dyDescent="0.2">
      <c r="D96" s="2" t="s">
        <v>45</v>
      </c>
    </row>
    <row r="97" spans="3:4" x14ac:dyDescent="0.2">
      <c r="D97" s="2" t="s">
        <v>44</v>
      </c>
    </row>
    <row r="99" spans="3:4" x14ac:dyDescent="0.2">
      <c r="C99" s="2" t="s">
        <v>43</v>
      </c>
    </row>
    <row r="100" spans="3:4" x14ac:dyDescent="0.2">
      <c r="D100" s="2" t="s">
        <v>42</v>
      </c>
    </row>
    <row r="101" spans="3:4" x14ac:dyDescent="0.2">
      <c r="D101" s="2" t="s">
        <v>41</v>
      </c>
    </row>
    <row r="102" spans="3:4" x14ac:dyDescent="0.2">
      <c r="D102" s="2" t="s">
        <v>40</v>
      </c>
    </row>
    <row r="125" spans="3:4" x14ac:dyDescent="0.2">
      <c r="C125" s="2" t="s">
        <v>39</v>
      </c>
    </row>
    <row r="126" spans="3:4" x14ac:dyDescent="0.2">
      <c r="D126" s="2" t="s">
        <v>38</v>
      </c>
    </row>
    <row r="127" spans="3:4" x14ac:dyDescent="0.2">
      <c r="D127" s="2" t="s">
        <v>37</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EC30-05F4-4545-9D8E-17D9C14783B4}">
  <sheetPr>
    <tabColor rgb="FFFF0000"/>
  </sheetPr>
  <dimension ref="A1:M65"/>
  <sheetViews>
    <sheetView showGridLines="0" zoomScaleNormal="100" workbookViewId="0"/>
  </sheetViews>
  <sheetFormatPr baseColWidth="10" defaultColWidth="10.5" defaultRowHeight="26" x14ac:dyDescent="0.3"/>
  <cols>
    <col min="1" max="1" width="10.5" style="48"/>
    <col min="2" max="2" width="19.83203125" style="48" customWidth="1"/>
    <col min="3" max="3" width="68.33203125" style="49" bestFit="1" customWidth="1"/>
    <col min="4" max="4" width="14.83203125" style="48" customWidth="1"/>
    <col min="5" max="5" width="17" style="48" customWidth="1"/>
    <col min="6" max="6" width="18" style="48" customWidth="1"/>
    <col min="7" max="7" width="12.1640625" style="48" customWidth="1"/>
    <col min="8" max="10" width="10.5" style="48"/>
    <col min="11" max="11" width="11.6640625" style="48" customWidth="1"/>
    <col min="12" max="16384" width="10.5" style="48"/>
  </cols>
  <sheetData>
    <row r="1" spans="2:7" x14ac:dyDescent="0.3">
      <c r="B1" s="48" t="s">
        <v>267</v>
      </c>
    </row>
    <row r="2" spans="2:7" x14ac:dyDescent="0.3">
      <c r="B2" s="50" t="s">
        <v>268</v>
      </c>
    </row>
    <row r="3" spans="2:7" ht="27" thickBot="1" x14ac:dyDescent="0.35"/>
    <row r="4" spans="2:7" x14ac:dyDescent="0.3">
      <c r="C4" s="51"/>
      <c r="D4" s="52" t="s">
        <v>269</v>
      </c>
      <c r="E4" s="52" t="s">
        <v>269</v>
      </c>
      <c r="F4" s="52" t="s">
        <v>270</v>
      </c>
      <c r="G4" s="53" t="s">
        <v>269</v>
      </c>
    </row>
    <row r="5" spans="2:7" ht="27" thickBot="1" x14ac:dyDescent="0.35">
      <c r="C5" s="54"/>
      <c r="D5" s="55">
        <v>1</v>
      </c>
      <c r="E5" s="55">
        <v>2</v>
      </c>
      <c r="F5" s="56" t="s">
        <v>271</v>
      </c>
      <c r="G5" s="57">
        <v>12</v>
      </c>
    </row>
    <row r="6" spans="2:7" ht="27" x14ac:dyDescent="0.3">
      <c r="C6" s="58" t="s">
        <v>272</v>
      </c>
      <c r="D6" s="59">
        <v>0</v>
      </c>
      <c r="E6" s="59">
        <v>0</v>
      </c>
      <c r="F6" s="59"/>
      <c r="G6" s="60">
        <v>0</v>
      </c>
    </row>
    <row r="7" spans="2:7" ht="27" x14ac:dyDescent="0.3">
      <c r="C7" s="61" t="s">
        <v>273</v>
      </c>
      <c r="D7" s="62">
        <v>1000</v>
      </c>
      <c r="E7" s="62">
        <v>0</v>
      </c>
      <c r="F7" s="62"/>
      <c r="G7" s="63">
        <v>0</v>
      </c>
    </row>
    <row r="8" spans="2:7" ht="27" x14ac:dyDescent="0.3">
      <c r="C8" s="61" t="s">
        <v>274</v>
      </c>
      <c r="D8" s="62">
        <v>0</v>
      </c>
      <c r="E8" s="62">
        <v>0</v>
      </c>
      <c r="F8" s="62"/>
      <c r="G8" s="63">
        <v>0</v>
      </c>
    </row>
    <row r="9" spans="2:7" ht="28" thickBot="1" x14ac:dyDescent="0.35">
      <c r="C9" s="64" t="s">
        <v>275</v>
      </c>
      <c r="D9" s="65">
        <v>0</v>
      </c>
      <c r="E9" s="65">
        <v>0</v>
      </c>
      <c r="F9" s="65"/>
      <c r="G9" s="66">
        <v>0</v>
      </c>
    </row>
    <row r="10" spans="2:7" ht="27" x14ac:dyDescent="0.3">
      <c r="C10" s="58" t="s">
        <v>276</v>
      </c>
      <c r="D10" s="59">
        <v>29</v>
      </c>
      <c r="E10" s="59">
        <v>17</v>
      </c>
      <c r="F10" s="59"/>
      <c r="G10" s="60">
        <v>16</v>
      </c>
    </row>
    <row r="11" spans="2:7" ht="28" thickBot="1" x14ac:dyDescent="0.35">
      <c r="C11" s="64" t="s">
        <v>277</v>
      </c>
      <c r="D11" s="65">
        <v>3</v>
      </c>
      <c r="E11" s="65">
        <v>3</v>
      </c>
      <c r="F11" s="65"/>
      <c r="G11" s="66">
        <v>3</v>
      </c>
    </row>
    <row r="12" spans="2:7" ht="27" x14ac:dyDescent="0.3">
      <c r="C12" s="67" t="s">
        <v>278</v>
      </c>
      <c r="D12" s="68">
        <v>12</v>
      </c>
      <c r="E12" s="68">
        <v>61</v>
      </c>
      <c r="F12" s="68"/>
      <c r="G12" s="69">
        <v>6</v>
      </c>
    </row>
    <row r="13" spans="2:7" ht="27" x14ac:dyDescent="0.3">
      <c r="C13" s="61" t="s">
        <v>279</v>
      </c>
      <c r="D13" s="62">
        <v>59</v>
      </c>
      <c r="E13" s="62">
        <v>75</v>
      </c>
      <c r="F13" s="62"/>
      <c r="G13" s="63">
        <v>61</v>
      </c>
    </row>
    <row r="14" spans="2:7" ht="27" x14ac:dyDescent="0.3">
      <c r="C14" s="61" t="s">
        <v>280</v>
      </c>
      <c r="D14" s="62">
        <v>-68</v>
      </c>
      <c r="E14" s="62">
        <v>-68</v>
      </c>
      <c r="F14" s="62"/>
      <c r="G14" s="63">
        <v>-68</v>
      </c>
    </row>
    <row r="15" spans="2:7" ht="28" thickBot="1" x14ac:dyDescent="0.35">
      <c r="C15" s="70" t="s">
        <v>281</v>
      </c>
      <c r="D15" s="71">
        <v>-32</v>
      </c>
      <c r="E15" s="71">
        <v>-32</v>
      </c>
      <c r="F15" s="71"/>
      <c r="G15" s="72">
        <v>-32</v>
      </c>
    </row>
    <row r="16" spans="2:7" ht="28" thickBot="1" x14ac:dyDescent="0.35">
      <c r="C16" s="73" t="s">
        <v>282</v>
      </c>
      <c r="D16" s="74">
        <f>SUM(D6:D15)</f>
        <v>1003</v>
      </c>
      <c r="E16" s="74">
        <f>SUM(E6:E15)</f>
        <v>56</v>
      </c>
      <c r="F16" s="74"/>
      <c r="G16" s="75">
        <f>SUM(G6:G15)</f>
        <v>-14</v>
      </c>
    </row>
    <row r="17" spans="4:7" x14ac:dyDescent="0.3">
      <c r="D17" s="76"/>
      <c r="E17" s="76"/>
      <c r="F17" s="76"/>
      <c r="G17" s="76"/>
    </row>
    <row r="18" spans="4:7" x14ac:dyDescent="0.3">
      <c r="D18" s="76"/>
      <c r="E18" s="76"/>
      <c r="F18" s="76"/>
      <c r="G18" s="76"/>
    </row>
    <row r="19" spans="4:7" x14ac:dyDescent="0.3">
      <c r="D19" s="76"/>
      <c r="E19" s="76"/>
      <c r="F19" s="76"/>
      <c r="G19" s="76"/>
    </row>
    <row r="20" spans="4:7" x14ac:dyDescent="0.3">
      <c r="D20" s="76"/>
      <c r="E20" s="76"/>
      <c r="F20" s="76"/>
      <c r="G20" s="76"/>
    </row>
    <row r="21" spans="4:7" x14ac:dyDescent="0.3">
      <c r="D21" s="76"/>
      <c r="E21" s="76"/>
      <c r="F21" s="76"/>
      <c r="G21" s="76"/>
    </row>
    <row r="22" spans="4:7" x14ac:dyDescent="0.3">
      <c r="D22" s="76"/>
      <c r="E22" s="76"/>
      <c r="F22" s="76"/>
      <c r="G22" s="76"/>
    </row>
    <row r="23" spans="4:7" x14ac:dyDescent="0.3">
      <c r="D23" s="76"/>
      <c r="E23" s="76"/>
      <c r="F23" s="76"/>
      <c r="G23" s="76"/>
    </row>
    <row r="24" spans="4:7" x14ac:dyDescent="0.3">
      <c r="D24" s="76"/>
      <c r="E24" s="76"/>
      <c r="F24" s="76"/>
      <c r="G24" s="76"/>
    </row>
    <row r="50" spans="1:13" x14ac:dyDescent="0.3">
      <c r="A50" s="48" t="s">
        <v>443</v>
      </c>
    </row>
    <row r="51" spans="1:13" x14ac:dyDescent="0.3">
      <c r="B51" s="233" t="s">
        <v>541</v>
      </c>
      <c r="C51" s="233"/>
      <c r="E51" s="232" t="s">
        <v>552</v>
      </c>
      <c r="F51" s="232"/>
      <c r="G51" s="232"/>
      <c r="H51" s="232"/>
    </row>
    <row r="52" spans="1:13" ht="135" customHeight="1" x14ac:dyDescent="0.3">
      <c r="B52" s="235" t="s">
        <v>542</v>
      </c>
      <c r="C52" s="236"/>
      <c r="E52" s="222" t="s">
        <v>553</v>
      </c>
      <c r="F52" s="223"/>
      <c r="G52" s="226" t="s">
        <v>554</v>
      </c>
      <c r="H52" s="227"/>
      <c r="I52" s="227"/>
      <c r="J52" s="227"/>
      <c r="K52" s="228"/>
    </row>
    <row r="53" spans="1:13" ht="26" customHeight="1" x14ac:dyDescent="0.3">
      <c r="B53" s="240" t="s">
        <v>543</v>
      </c>
      <c r="C53" s="241"/>
      <c r="E53" s="218"/>
      <c r="F53" s="219"/>
      <c r="G53" s="229"/>
      <c r="H53" s="230"/>
      <c r="I53" s="230"/>
      <c r="J53" s="230"/>
      <c r="K53" s="231"/>
    </row>
    <row r="54" spans="1:13" ht="55" customHeight="1" x14ac:dyDescent="0.3">
      <c r="B54" s="242"/>
      <c r="C54" s="243"/>
      <c r="E54" s="222" t="s">
        <v>555</v>
      </c>
      <c r="F54" s="223"/>
      <c r="G54" s="226" t="s">
        <v>556</v>
      </c>
      <c r="H54" s="227"/>
      <c r="I54" s="227"/>
      <c r="J54" s="227"/>
      <c r="K54" s="228"/>
    </row>
    <row r="55" spans="1:13" ht="29" customHeight="1" x14ac:dyDescent="0.3">
      <c r="B55" s="233" t="s">
        <v>544</v>
      </c>
      <c r="C55" s="233"/>
      <c r="E55" s="220"/>
      <c r="F55" s="221"/>
      <c r="G55" s="237"/>
      <c r="H55" s="238"/>
      <c r="I55" s="238"/>
      <c r="J55" s="238"/>
      <c r="K55" s="239"/>
    </row>
    <row r="56" spans="1:13" ht="26" customHeight="1" x14ac:dyDescent="0.3">
      <c r="B56" s="234" t="s">
        <v>545</v>
      </c>
      <c r="C56" s="234"/>
      <c r="E56" s="220"/>
      <c r="F56" s="221"/>
      <c r="G56" s="237"/>
      <c r="H56" s="238"/>
      <c r="I56" s="238"/>
      <c r="J56" s="238"/>
      <c r="K56" s="239"/>
    </row>
    <row r="57" spans="1:13" ht="54" customHeight="1" x14ac:dyDescent="0.3">
      <c r="B57" s="215" t="s">
        <v>124</v>
      </c>
      <c r="C57" s="216" t="s">
        <v>546</v>
      </c>
      <c r="E57" s="218"/>
      <c r="F57" s="219"/>
      <c r="G57" s="229"/>
      <c r="H57" s="230"/>
      <c r="I57" s="230"/>
      <c r="J57" s="230"/>
      <c r="K57" s="231"/>
      <c r="L57" s="189"/>
      <c r="M57" s="189"/>
    </row>
    <row r="58" spans="1:13" ht="63" customHeight="1" x14ac:dyDescent="0.3">
      <c r="B58" s="215" t="s">
        <v>133</v>
      </c>
      <c r="C58" s="216" t="s">
        <v>547</v>
      </c>
      <c r="E58" s="222" t="s">
        <v>557</v>
      </c>
      <c r="F58" s="223"/>
      <c r="G58" s="226" t="s">
        <v>558</v>
      </c>
      <c r="H58" s="227"/>
      <c r="I58" s="227"/>
      <c r="J58" s="227"/>
      <c r="K58" s="228"/>
      <c r="L58" s="189"/>
      <c r="M58" s="189"/>
    </row>
    <row r="59" spans="1:13" ht="70" customHeight="1" x14ac:dyDescent="0.3">
      <c r="B59" s="215" t="s">
        <v>548</v>
      </c>
      <c r="C59" s="217" t="s">
        <v>549</v>
      </c>
      <c r="E59" s="224"/>
      <c r="F59" s="225"/>
      <c r="G59" s="229"/>
      <c r="H59" s="230"/>
      <c r="I59" s="230"/>
      <c r="J59" s="230"/>
      <c r="K59" s="231"/>
    </row>
    <row r="60" spans="1:13" ht="81" x14ac:dyDescent="0.3">
      <c r="B60" s="215" t="s">
        <v>550</v>
      </c>
      <c r="C60" s="216" t="s">
        <v>551</v>
      </c>
      <c r="G60" s="189"/>
      <c r="H60" s="189"/>
      <c r="I60" s="189"/>
      <c r="J60" s="189"/>
      <c r="K60" s="189"/>
    </row>
    <row r="61" spans="1:13" x14ac:dyDescent="0.3">
      <c r="B61" s="189"/>
      <c r="C61" s="189"/>
    </row>
    <row r="62" spans="1:13" x14ac:dyDescent="0.3">
      <c r="A62" s="48" t="s">
        <v>560</v>
      </c>
    </row>
    <row r="63" spans="1:13" ht="29" customHeight="1" x14ac:dyDescent="0.3"/>
    <row r="64" spans="1:13" ht="31" customHeight="1" x14ac:dyDescent="0.3"/>
    <row r="65" ht="36" customHeight="1" x14ac:dyDescent="0.3"/>
  </sheetData>
  <mergeCells count="12">
    <mergeCell ref="E58:F59"/>
    <mergeCell ref="G58:K59"/>
    <mergeCell ref="E51:H51"/>
    <mergeCell ref="B51:C51"/>
    <mergeCell ref="E52:F52"/>
    <mergeCell ref="G52:K53"/>
    <mergeCell ref="E54:F54"/>
    <mergeCell ref="B56:C56"/>
    <mergeCell ref="B55:C55"/>
    <mergeCell ref="B52:C52"/>
    <mergeCell ref="G54:K57"/>
    <mergeCell ref="B53:C5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89577-C6DA-0A4E-BBFE-F609AA10A4A5}">
  <sheetPr>
    <tabColor rgb="FFFF0000"/>
  </sheetPr>
  <dimension ref="A1:G53"/>
  <sheetViews>
    <sheetView showGridLines="0" zoomScaleNormal="100" workbookViewId="0"/>
  </sheetViews>
  <sheetFormatPr baseColWidth="10" defaultColWidth="7.83203125" defaultRowHeight="26" x14ac:dyDescent="0.3"/>
  <cols>
    <col min="1" max="1" width="7.83203125" style="48"/>
    <col min="2" max="2" width="73.5" style="49" bestFit="1" customWidth="1"/>
    <col min="3" max="6" width="18.6640625" style="48" customWidth="1"/>
    <col min="7" max="7" width="26.6640625" style="48" customWidth="1"/>
    <col min="8" max="16384" width="7.83203125" style="48"/>
  </cols>
  <sheetData>
    <row r="1" spans="1:7" x14ac:dyDescent="0.3">
      <c r="A1" s="48" t="s">
        <v>283</v>
      </c>
    </row>
    <row r="2" spans="1:7" x14ac:dyDescent="0.3">
      <c r="A2" s="50" t="s">
        <v>284</v>
      </c>
    </row>
    <row r="3" spans="1:7" ht="27" thickBot="1" x14ac:dyDescent="0.35"/>
    <row r="4" spans="1:7" x14ac:dyDescent="0.3">
      <c r="B4" s="51"/>
      <c r="C4" s="52" t="s">
        <v>269</v>
      </c>
      <c r="D4" s="52" t="s">
        <v>269</v>
      </c>
      <c r="E4" s="52" t="s">
        <v>270</v>
      </c>
      <c r="F4" s="53" t="s">
        <v>269</v>
      </c>
      <c r="G4" s="53" t="s">
        <v>285</v>
      </c>
    </row>
    <row r="5" spans="1:7" ht="27" thickBot="1" x14ac:dyDescent="0.35">
      <c r="B5" s="54"/>
      <c r="C5" s="55">
        <v>1</v>
      </c>
      <c r="D5" s="55">
        <v>2</v>
      </c>
      <c r="E5" s="56" t="s">
        <v>271</v>
      </c>
      <c r="F5" s="57">
        <v>12</v>
      </c>
      <c r="G5" s="57" t="s">
        <v>286</v>
      </c>
    </row>
    <row r="6" spans="1:7" ht="27" x14ac:dyDescent="0.3">
      <c r="B6" s="67" t="s">
        <v>272</v>
      </c>
      <c r="C6" s="68">
        <v>-1000</v>
      </c>
      <c r="D6" s="68">
        <v>0</v>
      </c>
      <c r="E6" s="68"/>
      <c r="F6" s="77">
        <v>0</v>
      </c>
      <c r="G6" s="78" t="b">
        <v>0</v>
      </c>
    </row>
    <row r="7" spans="1:7" ht="27" x14ac:dyDescent="0.3">
      <c r="B7" s="61" t="s">
        <v>273</v>
      </c>
      <c r="C7" s="62">
        <v>1000</v>
      </c>
      <c r="D7" s="62">
        <v>0</v>
      </c>
      <c r="E7" s="62"/>
      <c r="F7" s="79">
        <v>0</v>
      </c>
      <c r="G7" s="80" t="b">
        <v>0</v>
      </c>
    </row>
    <row r="8" spans="1:7" ht="27" x14ac:dyDescent="0.3">
      <c r="B8" s="61" t="s">
        <v>274</v>
      </c>
      <c r="C8" s="62">
        <v>0</v>
      </c>
      <c r="D8" s="62">
        <v>0</v>
      </c>
      <c r="E8" s="62"/>
      <c r="F8" s="79">
        <v>0</v>
      </c>
      <c r="G8" s="80" t="b">
        <v>0</v>
      </c>
    </row>
    <row r="9" spans="1:7" ht="28" thickBot="1" x14ac:dyDescent="0.35">
      <c r="B9" s="70" t="s">
        <v>275</v>
      </c>
      <c r="C9" s="71">
        <v>0</v>
      </c>
      <c r="D9" s="71">
        <v>-20</v>
      </c>
      <c r="E9" s="71"/>
      <c r="F9" s="81">
        <v>0</v>
      </c>
      <c r="G9" s="80" t="b">
        <v>0</v>
      </c>
    </row>
    <row r="10" spans="1:7" ht="28" thickBot="1" x14ac:dyDescent="0.35">
      <c r="B10" s="82" t="s">
        <v>287</v>
      </c>
      <c r="C10" s="83">
        <f>SUM(C6:C9)</f>
        <v>0</v>
      </c>
      <c r="D10" s="83">
        <f>SUM(D6:D9)</f>
        <v>-20</v>
      </c>
      <c r="E10" s="83"/>
      <c r="F10" s="84">
        <f>SUM(F6:F9)</f>
        <v>0</v>
      </c>
      <c r="G10" s="80"/>
    </row>
    <row r="11" spans="1:7" ht="27" x14ac:dyDescent="0.3">
      <c r="B11" s="67" t="s">
        <v>276</v>
      </c>
      <c r="C11" s="68">
        <v>29</v>
      </c>
      <c r="D11" s="68">
        <v>17</v>
      </c>
      <c r="E11" s="68"/>
      <c r="F11" s="77">
        <v>16</v>
      </c>
      <c r="G11" s="80" t="b">
        <v>0</v>
      </c>
    </row>
    <row r="12" spans="1:7" ht="27" x14ac:dyDescent="0.3">
      <c r="B12" s="61" t="s">
        <v>277</v>
      </c>
      <c r="C12" s="62">
        <v>4</v>
      </c>
      <c r="D12" s="62">
        <v>6</v>
      </c>
      <c r="E12" s="62"/>
      <c r="F12" s="79">
        <v>6</v>
      </c>
      <c r="G12" s="80" t="b">
        <v>0</v>
      </c>
    </row>
    <row r="13" spans="1:7" ht="28" thickBot="1" x14ac:dyDescent="0.35">
      <c r="B13" s="70" t="s">
        <v>288</v>
      </c>
      <c r="C13" s="71">
        <v>-31</v>
      </c>
      <c r="D13" s="71">
        <v>-31</v>
      </c>
      <c r="E13" s="71"/>
      <c r="F13" s="81">
        <v>-31</v>
      </c>
      <c r="G13" s="85" t="b">
        <v>1</v>
      </c>
    </row>
    <row r="14" spans="1:7" ht="28" thickBot="1" x14ac:dyDescent="0.35">
      <c r="B14" s="82" t="s">
        <v>289</v>
      </c>
      <c r="C14" s="83">
        <f>SUM(C11:C13)</f>
        <v>2</v>
      </c>
      <c r="D14" s="83">
        <f>SUM(D11:D13)</f>
        <v>-8</v>
      </c>
      <c r="E14" s="83"/>
      <c r="F14" s="84">
        <f>SUM(F11:F13)</f>
        <v>-9</v>
      </c>
      <c r="G14" s="80"/>
    </row>
    <row r="15" spans="1:7" ht="27" x14ac:dyDescent="0.3">
      <c r="B15" s="67" t="s">
        <v>277</v>
      </c>
      <c r="C15" s="68">
        <v>3</v>
      </c>
      <c r="D15" s="68">
        <v>3</v>
      </c>
      <c r="E15" s="68"/>
      <c r="F15" s="77">
        <v>3</v>
      </c>
      <c r="G15" s="80" t="b">
        <v>0</v>
      </c>
    </row>
    <row r="16" spans="1:7" ht="27" x14ac:dyDescent="0.3">
      <c r="B16" s="67" t="s">
        <v>290</v>
      </c>
      <c r="C16" s="68">
        <v>5</v>
      </c>
      <c r="D16" s="68">
        <v>4</v>
      </c>
      <c r="E16" s="68"/>
      <c r="F16" s="77">
        <v>5</v>
      </c>
      <c r="G16" s="85" t="b">
        <v>1</v>
      </c>
    </row>
    <row r="17" spans="2:7" ht="27" x14ac:dyDescent="0.3">
      <c r="B17" s="67" t="s">
        <v>291</v>
      </c>
      <c r="C17" s="68">
        <v>-6</v>
      </c>
      <c r="D17" s="68">
        <v>-6</v>
      </c>
      <c r="E17" s="68"/>
      <c r="F17" s="77">
        <v>-6</v>
      </c>
      <c r="G17" s="85" t="b">
        <v>1</v>
      </c>
    </row>
    <row r="18" spans="2:7" ht="28" thickBot="1" x14ac:dyDescent="0.35">
      <c r="B18" s="67" t="s">
        <v>288</v>
      </c>
      <c r="C18" s="68">
        <v>-3</v>
      </c>
      <c r="D18" s="68">
        <v>-2</v>
      </c>
      <c r="E18" s="68"/>
      <c r="F18" s="77">
        <v>-4</v>
      </c>
      <c r="G18" s="85" t="b">
        <v>1</v>
      </c>
    </row>
    <row r="19" spans="2:7" ht="28" thickBot="1" x14ac:dyDescent="0.35">
      <c r="B19" s="82" t="s">
        <v>292</v>
      </c>
      <c r="C19" s="83">
        <f>SUM(C15:C18)</f>
        <v>-1</v>
      </c>
      <c r="D19" s="83">
        <f>SUM(D15:D18)</f>
        <v>-1</v>
      </c>
      <c r="E19" s="83"/>
      <c r="F19" s="84">
        <f>SUM(F15:F18)</f>
        <v>-2</v>
      </c>
      <c r="G19" s="80"/>
    </row>
    <row r="20" spans="2:7" ht="27" x14ac:dyDescent="0.3">
      <c r="B20" s="61" t="s">
        <v>278</v>
      </c>
      <c r="C20" s="62">
        <v>12</v>
      </c>
      <c r="D20" s="62">
        <v>61</v>
      </c>
      <c r="E20" s="62"/>
      <c r="F20" s="79">
        <v>6</v>
      </c>
      <c r="G20" s="80" t="b">
        <v>0</v>
      </c>
    </row>
    <row r="21" spans="2:7" ht="27" x14ac:dyDescent="0.3">
      <c r="B21" s="61" t="s">
        <v>293</v>
      </c>
      <c r="C21" s="62">
        <v>4</v>
      </c>
      <c r="D21" s="62">
        <v>4</v>
      </c>
      <c r="E21" s="62"/>
      <c r="F21" s="79">
        <v>4</v>
      </c>
      <c r="G21" s="85" t="b">
        <v>1</v>
      </c>
    </row>
    <row r="22" spans="2:7" ht="28" thickBot="1" x14ac:dyDescent="0.35">
      <c r="B22" s="61" t="s">
        <v>288</v>
      </c>
      <c r="C22" s="62">
        <v>-4</v>
      </c>
      <c r="D22" s="62">
        <v>-7</v>
      </c>
      <c r="E22" s="62"/>
      <c r="F22" s="79">
        <v>-5</v>
      </c>
      <c r="G22" s="85" t="b">
        <v>1</v>
      </c>
    </row>
    <row r="23" spans="2:7" ht="28" thickBot="1" x14ac:dyDescent="0.35">
      <c r="B23" s="82" t="s">
        <v>294</v>
      </c>
      <c r="C23" s="83">
        <f>SUM(C20:C22)</f>
        <v>12</v>
      </c>
      <c r="D23" s="83">
        <f>SUM(D20:D22)</f>
        <v>58</v>
      </c>
      <c r="E23" s="83"/>
      <c r="F23" s="84">
        <f>SUM(F20:F22)</f>
        <v>5</v>
      </c>
      <c r="G23" s="80"/>
    </row>
    <row r="24" spans="2:7" ht="27" x14ac:dyDescent="0.3">
      <c r="B24" s="86" t="s">
        <v>295</v>
      </c>
      <c r="C24" s="62"/>
      <c r="D24" s="62"/>
      <c r="E24" s="62"/>
      <c r="F24" s="79"/>
      <c r="G24" s="80"/>
    </row>
    <row r="25" spans="2:7" ht="27" x14ac:dyDescent="0.3">
      <c r="B25" s="61" t="s">
        <v>279</v>
      </c>
      <c r="C25" s="62">
        <v>59</v>
      </c>
      <c r="D25" s="62">
        <v>75</v>
      </c>
      <c r="E25" s="62"/>
      <c r="F25" s="79">
        <v>61</v>
      </c>
      <c r="G25" s="80" t="b">
        <v>0</v>
      </c>
    </row>
    <row r="26" spans="2:7" ht="27" x14ac:dyDescent="0.3">
      <c r="B26" s="61" t="s">
        <v>296</v>
      </c>
      <c r="C26" s="62">
        <v>93</v>
      </c>
      <c r="D26" s="62">
        <v>93</v>
      </c>
      <c r="E26" s="62"/>
      <c r="F26" s="79">
        <v>93</v>
      </c>
      <c r="G26" s="85" t="b">
        <v>1</v>
      </c>
    </row>
    <row r="27" spans="2:7" ht="28" thickBot="1" x14ac:dyDescent="0.35">
      <c r="B27" s="61" t="s">
        <v>297</v>
      </c>
      <c r="C27" s="62">
        <v>-68</v>
      </c>
      <c r="D27" s="62">
        <v>-21</v>
      </c>
      <c r="E27" s="62"/>
      <c r="F27" s="79">
        <v>-72</v>
      </c>
      <c r="G27" s="85" t="b">
        <v>1</v>
      </c>
    </row>
    <row r="28" spans="2:7" ht="28" thickBot="1" x14ac:dyDescent="0.35">
      <c r="B28" s="82" t="s">
        <v>298</v>
      </c>
      <c r="C28" s="83">
        <f>SUM(C25:C27)</f>
        <v>84</v>
      </c>
      <c r="D28" s="83">
        <f>SUM(D25:D27)</f>
        <v>147</v>
      </c>
      <c r="E28" s="83"/>
      <c r="F28" s="84">
        <f>SUM(F25:F27)</f>
        <v>82</v>
      </c>
      <c r="G28" s="80"/>
    </row>
    <row r="29" spans="2:7" ht="27" x14ac:dyDescent="0.3">
      <c r="B29" s="86" t="s">
        <v>299</v>
      </c>
      <c r="C29" s="62"/>
      <c r="D29" s="62"/>
      <c r="E29" s="62"/>
      <c r="F29" s="79"/>
      <c r="G29" s="80"/>
    </row>
    <row r="30" spans="2:7" ht="27" x14ac:dyDescent="0.3">
      <c r="B30" s="61" t="s">
        <v>300</v>
      </c>
      <c r="C30" s="62">
        <v>106</v>
      </c>
      <c r="D30" s="62">
        <v>106</v>
      </c>
      <c r="E30" s="62"/>
      <c r="F30" s="79">
        <v>106</v>
      </c>
      <c r="G30" s="85" t="b">
        <v>1</v>
      </c>
    </row>
    <row r="31" spans="2:7" ht="27" x14ac:dyDescent="0.3">
      <c r="B31" s="61" t="s">
        <v>301</v>
      </c>
      <c r="C31" s="62">
        <v>-126</v>
      </c>
      <c r="D31" s="62">
        <v>-126</v>
      </c>
      <c r="E31" s="62"/>
      <c r="F31" s="79">
        <v>-126</v>
      </c>
      <c r="G31" s="85" t="b">
        <v>1</v>
      </c>
    </row>
    <row r="32" spans="2:7" ht="28" thickBot="1" x14ac:dyDescent="0.35">
      <c r="B32" s="61" t="s">
        <v>288</v>
      </c>
      <c r="C32" s="62">
        <v>-10</v>
      </c>
      <c r="D32" s="62">
        <v>-10</v>
      </c>
      <c r="E32" s="62"/>
      <c r="F32" s="79">
        <v>-12</v>
      </c>
      <c r="G32" s="85" t="b">
        <v>1</v>
      </c>
    </row>
    <row r="33" spans="2:7" ht="28" thickBot="1" x14ac:dyDescent="0.35">
      <c r="B33" s="82" t="s">
        <v>302</v>
      </c>
      <c r="C33" s="83">
        <f>SUM(C30:C32)</f>
        <v>-30</v>
      </c>
      <c r="D33" s="83">
        <f>SUM(D30:D32)</f>
        <v>-30</v>
      </c>
      <c r="E33" s="83"/>
      <c r="F33" s="84">
        <f>SUM(F30:F32)</f>
        <v>-32</v>
      </c>
      <c r="G33" s="80"/>
    </row>
    <row r="34" spans="2:7" ht="27" x14ac:dyDescent="0.3">
      <c r="B34" s="86" t="s">
        <v>303</v>
      </c>
      <c r="C34" s="62"/>
      <c r="D34" s="62"/>
      <c r="E34" s="62"/>
      <c r="F34" s="79"/>
      <c r="G34" s="80"/>
    </row>
    <row r="35" spans="2:7" ht="27" x14ac:dyDescent="0.3">
      <c r="B35" s="61" t="s">
        <v>304</v>
      </c>
      <c r="C35" s="62">
        <v>3</v>
      </c>
      <c r="D35" s="62">
        <v>3</v>
      </c>
      <c r="E35" s="62"/>
      <c r="F35" s="79">
        <v>3</v>
      </c>
      <c r="G35" s="85" t="b">
        <v>1</v>
      </c>
    </row>
    <row r="36" spans="2:7" ht="27" x14ac:dyDescent="0.3">
      <c r="B36" s="61" t="s">
        <v>305</v>
      </c>
      <c r="C36" s="62">
        <v>5</v>
      </c>
      <c r="D36" s="62">
        <v>5</v>
      </c>
      <c r="E36" s="62"/>
      <c r="F36" s="79">
        <v>5</v>
      </c>
      <c r="G36" s="85" t="b">
        <v>1</v>
      </c>
    </row>
    <row r="37" spans="2:7" ht="28" thickBot="1" x14ac:dyDescent="0.35">
      <c r="B37" s="61" t="s">
        <v>306</v>
      </c>
      <c r="C37" s="62">
        <v>7</v>
      </c>
      <c r="D37" s="62">
        <v>4</v>
      </c>
      <c r="E37" s="62"/>
      <c r="F37" s="79">
        <v>8</v>
      </c>
      <c r="G37" s="85" t="b">
        <v>1</v>
      </c>
    </row>
    <row r="38" spans="2:7" ht="28" thickBot="1" x14ac:dyDescent="0.35">
      <c r="B38" s="82" t="s">
        <v>307</v>
      </c>
      <c r="C38" s="83">
        <f>SUM(C36:C37)</f>
        <v>12</v>
      </c>
      <c r="D38" s="83">
        <f>SUM(D36:D37)</f>
        <v>9</v>
      </c>
      <c r="E38" s="83"/>
      <c r="F38" s="84">
        <f>SUM(F35:F37)</f>
        <v>16</v>
      </c>
      <c r="G38" s="80"/>
    </row>
    <row r="39" spans="2:7" ht="27" x14ac:dyDescent="0.3">
      <c r="B39" s="86" t="s">
        <v>308</v>
      </c>
      <c r="C39" s="62"/>
      <c r="D39" s="62"/>
      <c r="E39" s="62"/>
      <c r="F39" s="79"/>
      <c r="G39" s="80"/>
    </row>
    <row r="40" spans="2:7" ht="27" x14ac:dyDescent="0.3">
      <c r="B40" s="61" t="s">
        <v>280</v>
      </c>
      <c r="C40" s="62">
        <v>-68</v>
      </c>
      <c r="D40" s="62">
        <v>-68</v>
      </c>
      <c r="E40" s="62"/>
      <c r="F40" s="79">
        <v>-68</v>
      </c>
      <c r="G40" s="80" t="b">
        <v>0</v>
      </c>
    </row>
    <row r="41" spans="2:7" ht="27" x14ac:dyDescent="0.3">
      <c r="B41" s="61" t="s">
        <v>309</v>
      </c>
      <c r="C41" s="62">
        <v>8</v>
      </c>
      <c r="D41" s="62">
        <v>8</v>
      </c>
      <c r="E41" s="62"/>
      <c r="F41" s="79">
        <v>8</v>
      </c>
      <c r="G41" s="85" t="b">
        <v>1</v>
      </c>
    </row>
    <row r="42" spans="2:7" ht="27" x14ac:dyDescent="0.3">
      <c r="B42" s="70" t="s">
        <v>281</v>
      </c>
      <c r="C42" s="71">
        <v>-32</v>
      </c>
      <c r="D42" s="71">
        <v>-32</v>
      </c>
      <c r="E42" s="71"/>
      <c r="F42" s="81">
        <v>-32</v>
      </c>
      <c r="G42" s="80" t="b">
        <v>0</v>
      </c>
    </row>
    <row r="43" spans="2:7" ht="28" thickBot="1" x14ac:dyDescent="0.35">
      <c r="B43" s="70" t="s">
        <v>310</v>
      </c>
      <c r="C43" s="71">
        <v>4</v>
      </c>
      <c r="D43" s="71">
        <v>4</v>
      </c>
      <c r="E43" s="71"/>
      <c r="F43" s="81">
        <v>4</v>
      </c>
      <c r="G43" s="85" t="b">
        <v>1</v>
      </c>
    </row>
    <row r="44" spans="2:7" ht="28" thickBot="1" x14ac:dyDescent="0.35">
      <c r="B44" s="82" t="s">
        <v>307</v>
      </c>
      <c r="C44" s="83">
        <f>SUM(C40:C43)</f>
        <v>-88</v>
      </c>
      <c r="D44" s="83">
        <f>SUM(D40:D43)</f>
        <v>-88</v>
      </c>
      <c r="E44" s="83"/>
      <c r="F44" s="84">
        <f>SUM(F40:F43)</f>
        <v>-88</v>
      </c>
      <c r="G44" s="80"/>
    </row>
    <row r="45" spans="2:7" ht="28" thickBot="1" x14ac:dyDescent="0.35">
      <c r="B45" s="135" t="s">
        <v>282</v>
      </c>
      <c r="C45" s="136">
        <f>C10+C14+C19+C23+C28+C33+C38+C44</f>
        <v>-9</v>
      </c>
      <c r="D45" s="136">
        <f>D10+D14+D19+D23+D28+D33+D38+D44</f>
        <v>67</v>
      </c>
      <c r="E45" s="136"/>
      <c r="F45" s="137">
        <f>F10+F14+F19+F23+F28+F33+F38+F44</f>
        <v>-28</v>
      </c>
      <c r="G45" s="87"/>
    </row>
    <row r="46" spans="2:7" x14ac:dyDescent="0.3">
      <c r="C46" s="76"/>
      <c r="D46" s="76"/>
      <c r="E46" s="76"/>
      <c r="F46" s="76"/>
    </row>
    <row r="47" spans="2:7" x14ac:dyDescent="0.3">
      <c r="C47" s="76"/>
      <c r="D47" s="76"/>
      <c r="E47" s="76"/>
      <c r="F47" s="76"/>
    </row>
    <row r="48" spans="2:7" x14ac:dyDescent="0.3">
      <c r="C48" s="76"/>
      <c r="D48" s="76"/>
      <c r="E48" s="76"/>
      <c r="F48" s="76"/>
    </row>
    <row r="49" spans="3:6" x14ac:dyDescent="0.3">
      <c r="C49" s="76"/>
      <c r="D49" s="76"/>
      <c r="E49" s="76"/>
      <c r="F49" s="76"/>
    </row>
    <row r="50" spans="3:6" x14ac:dyDescent="0.3">
      <c r="C50" s="76"/>
      <c r="D50" s="76"/>
      <c r="E50" s="76"/>
      <c r="F50" s="76"/>
    </row>
    <row r="51" spans="3:6" x14ac:dyDescent="0.3">
      <c r="C51" s="76"/>
      <c r="D51" s="76"/>
      <c r="E51" s="76"/>
      <c r="F51" s="76"/>
    </row>
    <row r="52" spans="3:6" x14ac:dyDescent="0.3">
      <c r="C52" s="76"/>
      <c r="D52" s="76"/>
      <c r="E52" s="76"/>
      <c r="F52" s="76"/>
    </row>
    <row r="53" spans="3:6" x14ac:dyDescent="0.3">
      <c r="C53" s="76"/>
      <c r="D53" s="76"/>
      <c r="E53" s="76"/>
      <c r="F53" s="76"/>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38124-D6B0-6A42-8E4B-E5CE50063770}">
  <sheetPr>
    <tabColor rgb="FFFF0000"/>
  </sheetPr>
  <dimension ref="A1:G58"/>
  <sheetViews>
    <sheetView showGridLines="0" zoomScaleNormal="100" workbookViewId="0"/>
  </sheetViews>
  <sheetFormatPr baseColWidth="10" defaultColWidth="8.83203125" defaultRowHeight="26" x14ac:dyDescent="0.3"/>
  <cols>
    <col min="1" max="1" width="3.83203125" style="48" customWidth="1"/>
    <col min="2" max="2" width="73.5" style="49" bestFit="1" customWidth="1"/>
    <col min="3" max="3" width="20" style="48" customWidth="1"/>
    <col min="4" max="5" width="20.5" style="48" customWidth="1"/>
    <col min="6" max="6" width="19.33203125" style="48" customWidth="1"/>
    <col min="7" max="7" width="28.1640625" style="48" bestFit="1" customWidth="1"/>
    <col min="8" max="16384" width="8.83203125" style="48"/>
  </cols>
  <sheetData>
    <row r="1" spans="1:7" x14ac:dyDescent="0.3">
      <c r="A1" s="48" t="s">
        <v>311</v>
      </c>
    </row>
    <row r="2" spans="1:7" x14ac:dyDescent="0.3">
      <c r="A2" s="50" t="s">
        <v>312</v>
      </c>
    </row>
    <row r="3" spans="1:7" ht="27" thickBot="1" x14ac:dyDescent="0.35"/>
    <row r="4" spans="1:7" x14ac:dyDescent="0.3">
      <c r="B4" s="51"/>
      <c r="C4" s="52" t="s">
        <v>269</v>
      </c>
      <c r="D4" s="52" t="s">
        <v>269</v>
      </c>
      <c r="E4" s="52" t="s">
        <v>270</v>
      </c>
      <c r="F4" s="53" t="s">
        <v>269</v>
      </c>
      <c r="G4" s="88" t="s">
        <v>313</v>
      </c>
    </row>
    <row r="5" spans="1:7" ht="27" thickBot="1" x14ac:dyDescent="0.35">
      <c r="B5" s="54"/>
      <c r="C5" s="55">
        <v>1</v>
      </c>
      <c r="D5" s="55">
        <v>2</v>
      </c>
      <c r="E5" s="56" t="s">
        <v>271</v>
      </c>
      <c r="F5" s="57">
        <v>12</v>
      </c>
      <c r="G5" s="89" t="s">
        <v>314</v>
      </c>
    </row>
    <row r="6" spans="1:7" ht="27" x14ac:dyDescent="0.3">
      <c r="B6" s="67" t="s">
        <v>276</v>
      </c>
      <c r="C6" s="68">
        <v>29</v>
      </c>
      <c r="D6" s="68">
        <v>17</v>
      </c>
      <c r="E6" s="68"/>
      <c r="F6" s="77">
        <v>16</v>
      </c>
      <c r="G6" s="78" t="b">
        <v>0</v>
      </c>
    </row>
    <row r="7" spans="1:7" ht="27" x14ac:dyDescent="0.3">
      <c r="B7" s="61" t="s">
        <v>315</v>
      </c>
      <c r="C7" s="62">
        <v>4</v>
      </c>
      <c r="D7" s="62">
        <v>6</v>
      </c>
      <c r="E7" s="62"/>
      <c r="F7" s="79">
        <v>6</v>
      </c>
      <c r="G7" s="85" t="b">
        <v>1</v>
      </c>
    </row>
    <row r="8" spans="1:7" ht="28" thickBot="1" x14ac:dyDescent="0.35">
      <c r="B8" s="70" t="s">
        <v>288</v>
      </c>
      <c r="C8" s="71">
        <v>-31</v>
      </c>
      <c r="D8" s="71">
        <v>-31</v>
      </c>
      <c r="E8" s="71"/>
      <c r="F8" s="81">
        <v>-31</v>
      </c>
      <c r="G8" s="80" t="b">
        <v>0</v>
      </c>
    </row>
    <row r="9" spans="1:7" ht="28" thickBot="1" x14ac:dyDescent="0.35">
      <c r="B9" s="82" t="s">
        <v>289</v>
      </c>
      <c r="C9" s="83">
        <f>SUM(C6:C8)</f>
        <v>2</v>
      </c>
      <c r="D9" s="83">
        <f>SUM(D6:D8)</f>
        <v>-8</v>
      </c>
      <c r="E9" s="83"/>
      <c r="F9" s="84">
        <f>SUM(F6:F8)</f>
        <v>-9</v>
      </c>
      <c r="G9" s="80" t="b">
        <v>0</v>
      </c>
    </row>
    <row r="10" spans="1:7" ht="27" x14ac:dyDescent="0.3">
      <c r="B10" s="67" t="s">
        <v>277</v>
      </c>
      <c r="C10" s="68">
        <v>3</v>
      </c>
      <c r="D10" s="68">
        <v>3</v>
      </c>
      <c r="E10" s="68"/>
      <c r="F10" s="77">
        <v>3</v>
      </c>
      <c r="G10" s="80" t="b">
        <v>0</v>
      </c>
    </row>
    <row r="11" spans="1:7" ht="27" x14ac:dyDescent="0.3">
      <c r="B11" s="67" t="s">
        <v>290</v>
      </c>
      <c r="C11" s="68">
        <v>5</v>
      </c>
      <c r="D11" s="68">
        <v>4</v>
      </c>
      <c r="E11" s="68"/>
      <c r="F11" s="77">
        <v>5</v>
      </c>
      <c r="G11" s="80" t="b">
        <v>0</v>
      </c>
    </row>
    <row r="12" spans="1:7" ht="27" x14ac:dyDescent="0.3">
      <c r="B12" s="67" t="s">
        <v>291</v>
      </c>
      <c r="C12" s="68">
        <v>-6</v>
      </c>
      <c r="D12" s="68">
        <v>-6</v>
      </c>
      <c r="E12" s="68"/>
      <c r="F12" s="77">
        <v>-6</v>
      </c>
      <c r="G12" s="80" t="b">
        <v>0</v>
      </c>
    </row>
    <row r="13" spans="1:7" ht="28" thickBot="1" x14ac:dyDescent="0.35">
      <c r="B13" s="67" t="s">
        <v>288</v>
      </c>
      <c r="C13" s="68">
        <v>-3</v>
      </c>
      <c r="D13" s="68">
        <v>-2</v>
      </c>
      <c r="E13" s="68"/>
      <c r="F13" s="77">
        <v>-4</v>
      </c>
      <c r="G13" s="80" t="b">
        <v>0</v>
      </c>
    </row>
    <row r="14" spans="1:7" ht="28" thickBot="1" x14ac:dyDescent="0.35">
      <c r="B14" s="82" t="s">
        <v>390</v>
      </c>
      <c r="C14" s="83">
        <f>SUM(C10:C13)</f>
        <v>-1</v>
      </c>
      <c r="D14" s="83">
        <f>SUM(D10:D13)</f>
        <v>-1</v>
      </c>
      <c r="E14" s="83"/>
      <c r="F14" s="84">
        <f>SUM(F10:F13)</f>
        <v>-2</v>
      </c>
      <c r="G14" s="80" t="b">
        <v>0</v>
      </c>
    </row>
    <row r="15" spans="1:7" ht="27" x14ac:dyDescent="0.3">
      <c r="B15" s="67" t="s">
        <v>278</v>
      </c>
      <c r="C15" s="68">
        <v>12</v>
      </c>
      <c r="D15" s="68">
        <v>61</v>
      </c>
      <c r="E15" s="68"/>
      <c r="F15" s="77">
        <v>6</v>
      </c>
      <c r="G15" s="80" t="b">
        <v>0</v>
      </c>
    </row>
    <row r="16" spans="1:7" ht="27" x14ac:dyDescent="0.3">
      <c r="B16" s="67" t="s">
        <v>293</v>
      </c>
      <c r="C16" s="68">
        <v>4</v>
      </c>
      <c r="D16" s="68">
        <v>4</v>
      </c>
      <c r="E16" s="68"/>
      <c r="F16" s="77">
        <v>4</v>
      </c>
      <c r="G16" s="80" t="b">
        <v>0</v>
      </c>
    </row>
    <row r="17" spans="2:7" ht="28" thickBot="1" x14ac:dyDescent="0.35">
      <c r="B17" s="67" t="s">
        <v>288</v>
      </c>
      <c r="C17" s="68">
        <v>-4</v>
      </c>
      <c r="D17" s="68">
        <v>-7</v>
      </c>
      <c r="E17" s="68"/>
      <c r="F17" s="77">
        <v>-5</v>
      </c>
      <c r="G17" s="80" t="b">
        <v>0</v>
      </c>
    </row>
    <row r="18" spans="2:7" ht="28" thickBot="1" x14ac:dyDescent="0.35">
      <c r="B18" s="82" t="s">
        <v>294</v>
      </c>
      <c r="C18" s="83">
        <f>SUM(C15:C17)</f>
        <v>12</v>
      </c>
      <c r="D18" s="83">
        <v>58</v>
      </c>
      <c r="E18" s="83"/>
      <c r="F18" s="84">
        <f>SUM(F15:F17)</f>
        <v>5</v>
      </c>
      <c r="G18" s="80" t="b">
        <v>0</v>
      </c>
    </row>
    <row r="19" spans="2:7" ht="27" x14ac:dyDescent="0.3">
      <c r="B19" s="86" t="s">
        <v>295</v>
      </c>
      <c r="C19" s="62"/>
      <c r="D19" s="62"/>
      <c r="E19" s="62"/>
      <c r="F19" s="79"/>
      <c r="G19" s="80" t="b">
        <v>0</v>
      </c>
    </row>
    <row r="20" spans="2:7" ht="27" x14ac:dyDescent="0.3">
      <c r="B20" s="61" t="s">
        <v>279</v>
      </c>
      <c r="C20" s="62">
        <v>59</v>
      </c>
      <c r="D20" s="62">
        <v>75</v>
      </c>
      <c r="E20" s="62"/>
      <c r="F20" s="79">
        <v>61</v>
      </c>
      <c r="G20" s="80" t="b">
        <v>0</v>
      </c>
    </row>
    <row r="21" spans="2:7" ht="27" x14ac:dyDescent="0.3">
      <c r="B21" s="61" t="s">
        <v>296</v>
      </c>
      <c r="C21" s="62">
        <v>93</v>
      </c>
      <c r="D21" s="62">
        <v>93</v>
      </c>
      <c r="E21" s="62"/>
      <c r="F21" s="79">
        <v>93</v>
      </c>
      <c r="G21" s="80" t="b">
        <v>0</v>
      </c>
    </row>
    <row r="22" spans="2:7" ht="28" thickBot="1" x14ac:dyDescent="0.35">
      <c r="B22" s="61" t="s">
        <v>297</v>
      </c>
      <c r="C22" s="62">
        <v>-68</v>
      </c>
      <c r="D22" s="62">
        <v>-21</v>
      </c>
      <c r="E22" s="62" t="s">
        <v>316</v>
      </c>
      <c r="F22" s="79">
        <v>-72</v>
      </c>
      <c r="G22" s="80" t="b">
        <v>0</v>
      </c>
    </row>
    <row r="23" spans="2:7" ht="28" thickBot="1" x14ac:dyDescent="0.35">
      <c r="B23" s="82" t="s">
        <v>298</v>
      </c>
      <c r="C23" s="83">
        <f>SUM(C20:C22)</f>
        <v>84</v>
      </c>
      <c r="D23" s="83">
        <f>SUM(D20:D22)</f>
        <v>147</v>
      </c>
      <c r="E23" s="83"/>
      <c r="F23" s="84">
        <f>SUM(F20:F22)</f>
        <v>82</v>
      </c>
      <c r="G23" s="80" t="b">
        <v>0</v>
      </c>
    </row>
    <row r="24" spans="2:7" ht="27" x14ac:dyDescent="0.3">
      <c r="B24" s="86" t="s">
        <v>299</v>
      </c>
      <c r="C24" s="62"/>
      <c r="D24" s="62"/>
      <c r="E24" s="62"/>
      <c r="F24" s="79"/>
      <c r="G24" s="80" t="b">
        <v>0</v>
      </c>
    </row>
    <row r="25" spans="2:7" ht="27" x14ac:dyDescent="0.3">
      <c r="B25" s="61" t="s">
        <v>300</v>
      </c>
      <c r="C25" s="62">
        <v>106</v>
      </c>
      <c r="D25" s="62">
        <v>106</v>
      </c>
      <c r="E25" s="62"/>
      <c r="F25" s="79">
        <v>106</v>
      </c>
      <c r="G25" s="80" t="b">
        <v>0</v>
      </c>
    </row>
    <row r="26" spans="2:7" ht="27" x14ac:dyDescent="0.3">
      <c r="B26" s="61" t="s">
        <v>301</v>
      </c>
      <c r="C26" s="62">
        <v>-126</v>
      </c>
      <c r="D26" s="62">
        <v>-126</v>
      </c>
      <c r="E26" s="62"/>
      <c r="F26" s="79">
        <v>-126</v>
      </c>
      <c r="G26" s="80" t="b">
        <v>0</v>
      </c>
    </row>
    <row r="27" spans="2:7" ht="28" thickBot="1" x14ac:dyDescent="0.35">
      <c r="B27" s="61" t="s">
        <v>288</v>
      </c>
      <c r="C27" s="62">
        <v>-10</v>
      </c>
      <c r="D27" s="62">
        <v>-10</v>
      </c>
      <c r="E27" s="62"/>
      <c r="F27" s="79">
        <v>-12</v>
      </c>
      <c r="G27" s="80" t="b">
        <v>0</v>
      </c>
    </row>
    <row r="28" spans="2:7" ht="28" thickBot="1" x14ac:dyDescent="0.35">
      <c r="B28" s="82" t="s">
        <v>302</v>
      </c>
      <c r="C28" s="83">
        <f>SUM(C25:C27)</f>
        <v>-30</v>
      </c>
      <c r="D28" s="83">
        <f>SUM(D25:D27)</f>
        <v>-30</v>
      </c>
      <c r="E28" s="83"/>
      <c r="F28" s="84">
        <f>SUM(F25:F27)</f>
        <v>-32</v>
      </c>
      <c r="G28" s="80" t="b">
        <v>0</v>
      </c>
    </row>
    <row r="29" spans="2:7" ht="27" x14ac:dyDescent="0.3">
      <c r="B29" s="86" t="s">
        <v>303</v>
      </c>
      <c r="C29" s="62"/>
      <c r="D29" s="62"/>
      <c r="E29" s="62"/>
      <c r="F29" s="79"/>
      <c r="G29" s="80" t="b">
        <v>0</v>
      </c>
    </row>
    <row r="30" spans="2:7" ht="27" x14ac:dyDescent="0.3">
      <c r="B30" s="61" t="s">
        <v>304</v>
      </c>
      <c r="C30" s="62">
        <v>3</v>
      </c>
      <c r="D30" s="62">
        <v>3</v>
      </c>
      <c r="E30" s="62"/>
      <c r="F30" s="79">
        <v>3</v>
      </c>
      <c r="G30" s="80" t="b">
        <v>0</v>
      </c>
    </row>
    <row r="31" spans="2:7" ht="27" x14ac:dyDescent="0.3">
      <c r="B31" s="61" t="s">
        <v>305</v>
      </c>
      <c r="C31" s="62">
        <v>5</v>
      </c>
      <c r="D31" s="62">
        <v>5</v>
      </c>
      <c r="E31" s="62"/>
      <c r="F31" s="79">
        <v>5</v>
      </c>
      <c r="G31" s="80" t="b">
        <v>0</v>
      </c>
    </row>
    <row r="32" spans="2:7" ht="28" thickBot="1" x14ac:dyDescent="0.35">
      <c r="B32" s="61" t="s">
        <v>306</v>
      </c>
      <c r="C32" s="62">
        <v>7</v>
      </c>
      <c r="D32" s="62">
        <v>4</v>
      </c>
      <c r="E32" s="62"/>
      <c r="F32" s="79">
        <v>8</v>
      </c>
      <c r="G32" s="80" t="b">
        <v>0</v>
      </c>
    </row>
    <row r="33" spans="2:7" ht="28" thickBot="1" x14ac:dyDescent="0.35">
      <c r="B33" s="82" t="s">
        <v>307</v>
      </c>
      <c r="C33" s="83">
        <f>SUM(C31:C32)</f>
        <v>12</v>
      </c>
      <c r="D33" s="83">
        <f>SUM(D31:D32)</f>
        <v>9</v>
      </c>
      <c r="E33" s="83"/>
      <c r="F33" s="84">
        <f>SUM(F30:F32)</f>
        <v>16</v>
      </c>
      <c r="G33" s="80" t="b">
        <v>0</v>
      </c>
    </row>
    <row r="34" spans="2:7" ht="27" x14ac:dyDescent="0.3">
      <c r="B34" s="86" t="s">
        <v>308</v>
      </c>
      <c r="C34" s="62"/>
      <c r="D34" s="62"/>
      <c r="E34" s="62"/>
      <c r="F34" s="79"/>
      <c r="G34" s="80" t="b">
        <v>0</v>
      </c>
    </row>
    <row r="35" spans="2:7" ht="27" x14ac:dyDescent="0.3">
      <c r="B35" s="61" t="s">
        <v>280</v>
      </c>
      <c r="C35" s="62">
        <v>-68</v>
      </c>
      <c r="D35" s="62">
        <v>-68</v>
      </c>
      <c r="E35" s="62"/>
      <c r="F35" s="79">
        <v>-68</v>
      </c>
      <c r="G35" s="80" t="b">
        <v>0</v>
      </c>
    </row>
    <row r="36" spans="2:7" ht="27" x14ac:dyDescent="0.3">
      <c r="B36" s="61" t="s">
        <v>309</v>
      </c>
      <c r="C36" s="62">
        <v>8</v>
      </c>
      <c r="D36" s="62">
        <v>8</v>
      </c>
      <c r="E36" s="62"/>
      <c r="F36" s="79">
        <v>8</v>
      </c>
      <c r="G36" s="80" t="b">
        <v>0</v>
      </c>
    </row>
    <row r="37" spans="2:7" ht="27" x14ac:dyDescent="0.3">
      <c r="B37" s="70" t="s">
        <v>281</v>
      </c>
      <c r="C37" s="71">
        <v>-32</v>
      </c>
      <c r="D37" s="71">
        <v>-32</v>
      </c>
      <c r="E37" s="71"/>
      <c r="F37" s="81">
        <v>-32</v>
      </c>
      <c r="G37" s="80" t="b">
        <v>0</v>
      </c>
    </row>
    <row r="38" spans="2:7" ht="28" thickBot="1" x14ac:dyDescent="0.35">
      <c r="B38" s="70" t="s">
        <v>310</v>
      </c>
      <c r="C38" s="71">
        <v>4</v>
      </c>
      <c r="D38" s="71">
        <v>4</v>
      </c>
      <c r="E38" s="71"/>
      <c r="F38" s="81">
        <v>4</v>
      </c>
      <c r="G38" s="80" t="b">
        <v>0</v>
      </c>
    </row>
    <row r="39" spans="2:7" ht="28" thickBot="1" x14ac:dyDescent="0.35">
      <c r="B39" s="82" t="s">
        <v>307</v>
      </c>
      <c r="C39" s="83">
        <f>SUM(C35:C38)</f>
        <v>-88</v>
      </c>
      <c r="D39" s="83">
        <f>SUM(D35:D38)</f>
        <v>-88</v>
      </c>
      <c r="E39" s="83"/>
      <c r="F39" s="84">
        <f>SUM(F35:F38)</f>
        <v>-88</v>
      </c>
      <c r="G39" s="80" t="b">
        <v>0</v>
      </c>
    </row>
    <row r="40" spans="2:7" x14ac:dyDescent="0.3">
      <c r="B40" s="265" t="s">
        <v>317</v>
      </c>
      <c r="C40" s="269">
        <f>C9+C14+C18+C23+C28+C33+C39</f>
        <v>-9</v>
      </c>
      <c r="D40" s="269">
        <f>D9+D14+D18+D23+D28+D33+D39</f>
        <v>87</v>
      </c>
      <c r="E40" s="269"/>
      <c r="F40" s="272">
        <f>F9+F14+F18+F23+F28+F33+F39</f>
        <v>-28</v>
      </c>
      <c r="G40" s="85" t="b">
        <v>1</v>
      </c>
    </row>
    <row r="41" spans="2:7" ht="27" thickBot="1" x14ac:dyDescent="0.35">
      <c r="B41" s="266"/>
      <c r="C41" s="268"/>
      <c r="D41" s="268"/>
      <c r="E41" s="268"/>
      <c r="F41" s="271"/>
      <c r="G41" s="80"/>
    </row>
    <row r="42" spans="2:7" ht="27" x14ac:dyDescent="0.3">
      <c r="B42" s="86" t="s">
        <v>318</v>
      </c>
      <c r="C42" s="62"/>
      <c r="D42" s="62"/>
      <c r="E42" s="62"/>
      <c r="F42" s="79"/>
      <c r="G42" s="80"/>
    </row>
    <row r="43" spans="2:7" ht="27" x14ac:dyDescent="0.3">
      <c r="B43" s="67" t="s">
        <v>272</v>
      </c>
      <c r="C43" s="68">
        <v>-1000</v>
      </c>
      <c r="D43" s="68">
        <v>0</v>
      </c>
      <c r="E43" s="68"/>
      <c r="F43" s="77">
        <v>0</v>
      </c>
      <c r="G43" s="80" t="b">
        <v>0</v>
      </c>
    </row>
    <row r="44" spans="2:7" ht="27" x14ac:dyDescent="0.3">
      <c r="B44" s="61" t="s">
        <v>273</v>
      </c>
      <c r="C44" s="62">
        <v>1000</v>
      </c>
      <c r="D44" s="62">
        <v>0</v>
      </c>
      <c r="E44" s="62"/>
      <c r="F44" s="79">
        <v>0</v>
      </c>
      <c r="G44" s="80" t="b">
        <v>0</v>
      </c>
    </row>
    <row r="45" spans="2:7" ht="27" x14ac:dyDescent="0.3">
      <c r="B45" s="61" t="s">
        <v>274</v>
      </c>
      <c r="C45" s="62">
        <v>0</v>
      </c>
      <c r="D45" s="62">
        <v>0</v>
      </c>
      <c r="E45" s="62"/>
      <c r="F45" s="79">
        <v>0</v>
      </c>
      <c r="G45" s="80" t="b">
        <v>0</v>
      </c>
    </row>
    <row r="46" spans="2:7" ht="28" thickBot="1" x14ac:dyDescent="0.35">
      <c r="B46" s="70" t="s">
        <v>275</v>
      </c>
      <c r="C46" s="71">
        <v>0</v>
      </c>
      <c r="D46" s="71">
        <v>-20</v>
      </c>
      <c r="E46" s="71"/>
      <c r="F46" s="81">
        <v>0</v>
      </c>
      <c r="G46" s="80" t="b">
        <v>0</v>
      </c>
    </row>
    <row r="47" spans="2:7" ht="28" thickBot="1" x14ac:dyDescent="0.35">
      <c r="B47" s="82" t="s">
        <v>287</v>
      </c>
      <c r="C47" s="83">
        <f>SUM(C43:C46)</f>
        <v>0</v>
      </c>
      <c r="D47" s="83">
        <f>SUM(D43:D46)</f>
        <v>-20</v>
      </c>
      <c r="E47" s="83"/>
      <c r="F47" s="84">
        <f>SUM(F43:F46)</f>
        <v>0</v>
      </c>
      <c r="G47" s="80" t="b">
        <v>0</v>
      </c>
    </row>
    <row r="48" spans="2:7" x14ac:dyDescent="0.3">
      <c r="B48" s="265" t="s">
        <v>319</v>
      </c>
      <c r="C48" s="267">
        <f>C47</f>
        <v>0</v>
      </c>
      <c r="D48" s="267">
        <f>D47</f>
        <v>-20</v>
      </c>
      <c r="E48" s="269"/>
      <c r="F48" s="270">
        <f>F47</f>
        <v>0</v>
      </c>
      <c r="G48" s="85" t="b">
        <v>1</v>
      </c>
    </row>
    <row r="49" spans="2:7" ht="27" thickBot="1" x14ac:dyDescent="0.35">
      <c r="B49" s="266"/>
      <c r="C49" s="268"/>
      <c r="D49" s="268"/>
      <c r="E49" s="268"/>
      <c r="F49" s="271"/>
      <c r="G49" s="80"/>
    </row>
    <row r="50" spans="2:7" ht="28" thickBot="1" x14ac:dyDescent="0.35">
      <c r="B50" s="135" t="s">
        <v>282</v>
      </c>
      <c r="C50" s="136">
        <f>C40+C48</f>
        <v>-9</v>
      </c>
      <c r="D50" s="136">
        <f>D40+D48</f>
        <v>67</v>
      </c>
      <c r="E50" s="136"/>
      <c r="F50" s="137">
        <f>F40+F48</f>
        <v>-28</v>
      </c>
      <c r="G50" s="87"/>
    </row>
    <row r="51" spans="2:7" x14ac:dyDescent="0.3">
      <c r="C51" s="76"/>
      <c r="D51" s="76"/>
      <c r="E51" s="76"/>
      <c r="F51" s="76"/>
    </row>
    <row r="52" spans="2:7" x14ac:dyDescent="0.3">
      <c r="C52" s="76"/>
      <c r="D52" s="76"/>
      <c r="E52" s="76"/>
      <c r="F52" s="76"/>
    </row>
    <row r="53" spans="2:7" x14ac:dyDescent="0.3">
      <c r="C53" s="76"/>
      <c r="D53" s="76"/>
      <c r="E53" s="76"/>
      <c r="F53" s="76"/>
    </row>
    <row r="54" spans="2:7" x14ac:dyDescent="0.3">
      <c r="C54" s="76"/>
      <c r="D54" s="76"/>
      <c r="E54" s="76"/>
      <c r="F54" s="76"/>
    </row>
    <row r="55" spans="2:7" x14ac:dyDescent="0.3">
      <c r="C55" s="76"/>
      <c r="D55" s="76"/>
      <c r="E55" s="76"/>
      <c r="F55" s="76"/>
    </row>
    <row r="56" spans="2:7" x14ac:dyDescent="0.3">
      <c r="C56" s="76"/>
      <c r="D56" s="76"/>
      <c r="E56" s="76"/>
      <c r="F56" s="76"/>
    </row>
    <row r="57" spans="2:7" x14ac:dyDescent="0.3">
      <c r="C57" s="76"/>
      <c r="D57" s="76"/>
      <c r="E57" s="76"/>
      <c r="F57" s="76"/>
    </row>
    <row r="58" spans="2:7" x14ac:dyDescent="0.3">
      <c r="C58" s="76"/>
      <c r="D58" s="76"/>
      <c r="E58" s="76"/>
      <c r="F58" s="76"/>
    </row>
  </sheetData>
  <mergeCells count="10">
    <mergeCell ref="B40:B41"/>
    <mergeCell ref="C40:C41"/>
    <mergeCell ref="D40:D41"/>
    <mergeCell ref="E40:E41"/>
    <mergeCell ref="F40:F41"/>
    <mergeCell ref="B48:B49"/>
    <mergeCell ref="C48:C49"/>
    <mergeCell ref="D48:D49"/>
    <mergeCell ref="E48:E49"/>
    <mergeCell ref="F48:F49"/>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5E436-7EAE-3C45-8F30-2644D6850EA3}">
  <sheetPr>
    <tabColor rgb="FFFF0000"/>
  </sheetPr>
  <dimension ref="B2:T37"/>
  <sheetViews>
    <sheetView zoomScale="90" zoomScaleNormal="90" workbookViewId="0"/>
  </sheetViews>
  <sheetFormatPr baseColWidth="10" defaultColWidth="8.83203125" defaultRowHeight="16" x14ac:dyDescent="0.2"/>
  <cols>
    <col min="1" max="1" width="2.83203125" style="90" customWidth="1"/>
    <col min="2" max="2" width="15.5" style="90" customWidth="1"/>
    <col min="3" max="4" width="14" style="90" bestFit="1" customWidth="1"/>
    <col min="5" max="5" width="13" style="90" bestFit="1" customWidth="1"/>
    <col min="6" max="6" width="8.83203125" style="90"/>
    <col min="7" max="7" width="12.5" style="90" bestFit="1" customWidth="1"/>
    <col min="8" max="8" width="20.33203125" style="90" bestFit="1" customWidth="1"/>
    <col min="9" max="9" width="8.33203125" style="90" bestFit="1" customWidth="1"/>
    <col min="10" max="10" width="10.6640625" style="91" bestFit="1" customWidth="1"/>
    <col min="11" max="11" width="8.33203125" style="91" bestFit="1" customWidth="1"/>
    <col min="12" max="12" width="7.1640625" style="91" bestFit="1" customWidth="1"/>
    <col min="13" max="17" width="8.33203125" style="91" bestFit="1" customWidth="1"/>
    <col min="18" max="20" width="11.83203125" style="91" bestFit="1" customWidth="1"/>
    <col min="21" max="16384" width="8.83203125" style="90"/>
  </cols>
  <sheetData>
    <row r="2" spans="2:20" ht="17" thickBot="1" x14ac:dyDescent="0.25"/>
    <row r="3" spans="2:20" x14ac:dyDescent="0.2">
      <c r="B3" s="92" t="s">
        <v>320</v>
      </c>
      <c r="C3" s="93">
        <v>2000000</v>
      </c>
      <c r="D3" s="92"/>
      <c r="E3" s="92"/>
      <c r="I3" s="94" t="s">
        <v>328</v>
      </c>
      <c r="J3" s="134" t="s">
        <v>389</v>
      </c>
      <c r="K3" s="109" t="s">
        <v>329</v>
      </c>
      <c r="L3" s="109" t="s">
        <v>330</v>
      </c>
      <c r="M3" s="109" t="s">
        <v>331</v>
      </c>
      <c r="N3" s="109" t="s">
        <v>332</v>
      </c>
      <c r="O3" s="109" t="s">
        <v>333</v>
      </c>
      <c r="P3" s="109" t="s">
        <v>334</v>
      </c>
      <c r="Q3" s="109" t="s">
        <v>335</v>
      </c>
      <c r="R3" s="109" t="s">
        <v>336</v>
      </c>
      <c r="S3" s="109" t="s">
        <v>337</v>
      </c>
      <c r="T3" s="109" t="s">
        <v>338</v>
      </c>
    </row>
    <row r="4" spans="2:20" ht="17" thickBot="1" x14ac:dyDescent="0.25">
      <c r="B4" s="92" t="s">
        <v>321</v>
      </c>
      <c r="C4" s="95">
        <v>0.04</v>
      </c>
      <c r="D4" s="92" t="s">
        <v>322</v>
      </c>
      <c r="E4" s="93">
        <f>C3*C4</f>
        <v>80000</v>
      </c>
      <c r="I4" s="97">
        <f ca="1">TODAY()</f>
        <v>46271</v>
      </c>
      <c r="J4" s="98">
        <f ca="1">I4+1</f>
        <v>46272</v>
      </c>
      <c r="K4" s="98">
        <f ca="1">I4+2</f>
        <v>46273</v>
      </c>
      <c r="L4" s="98">
        <f ca="1">I4+7</f>
        <v>46278</v>
      </c>
      <c r="M4" s="98">
        <f ca="1">I4+14</f>
        <v>46285</v>
      </c>
      <c r="N4" s="98">
        <f ca="1">I4+30</f>
        <v>46301</v>
      </c>
      <c r="O4" s="98">
        <f ca="1">I4+60</f>
        <v>46331</v>
      </c>
      <c r="P4" s="98">
        <f ca="1">I4+90</f>
        <v>46361</v>
      </c>
      <c r="Q4" s="98">
        <f ca="1">I4+(365/2)</f>
        <v>46453.5</v>
      </c>
      <c r="R4" s="98">
        <f ca="1">I4+365</f>
        <v>46636</v>
      </c>
      <c r="S4" s="98">
        <f ca="1">I4+(365*2)</f>
        <v>47001</v>
      </c>
      <c r="T4" s="98">
        <f ca="1">I4+(365*3)</f>
        <v>47366</v>
      </c>
    </row>
    <row r="5" spans="2:20" x14ac:dyDescent="0.2">
      <c r="B5" s="92" t="s">
        <v>323</v>
      </c>
      <c r="C5" s="92">
        <v>1</v>
      </c>
      <c r="D5" s="92" t="s">
        <v>324</v>
      </c>
      <c r="E5" s="92">
        <v>14</v>
      </c>
      <c r="G5" s="99" t="s">
        <v>339</v>
      </c>
      <c r="H5" s="100"/>
      <c r="J5" s="101"/>
      <c r="K5" s="101"/>
      <c r="L5" s="101"/>
      <c r="M5" s="101"/>
      <c r="N5" s="101"/>
      <c r="O5" s="101"/>
      <c r="P5" s="101"/>
      <c r="Q5" s="101"/>
      <c r="R5" s="101"/>
      <c r="S5" s="101"/>
      <c r="T5" s="101"/>
    </row>
    <row r="6" spans="2:20" x14ac:dyDescent="0.2">
      <c r="B6" s="92" t="s">
        <v>325</v>
      </c>
      <c r="C6" s="92">
        <v>7</v>
      </c>
      <c r="D6" s="92"/>
      <c r="E6" s="93"/>
      <c r="G6" s="102"/>
      <c r="H6" s="103"/>
      <c r="I6" s="103"/>
      <c r="J6" s="104"/>
      <c r="K6" s="104"/>
      <c r="L6" s="104"/>
      <c r="M6" s="104"/>
      <c r="N6" s="104"/>
      <c r="O6" s="104"/>
      <c r="P6" s="104"/>
      <c r="Q6" s="104"/>
      <c r="R6" s="104"/>
      <c r="S6" s="104"/>
      <c r="T6" s="104"/>
    </row>
    <row r="7" spans="2:20" x14ac:dyDescent="0.2">
      <c r="B7" s="92"/>
      <c r="C7" s="95"/>
      <c r="D7" s="92"/>
      <c r="E7" s="96"/>
      <c r="G7" s="90" t="s">
        <v>340</v>
      </c>
      <c r="H7" s="90" t="s">
        <v>354</v>
      </c>
      <c r="J7" s="101"/>
      <c r="K7" s="101"/>
      <c r="L7" s="101"/>
      <c r="M7" s="101"/>
      <c r="N7" s="101"/>
      <c r="O7" s="101"/>
      <c r="P7" s="101"/>
      <c r="Q7" s="101"/>
      <c r="R7" s="101">
        <f>D11</f>
        <v>80000</v>
      </c>
      <c r="S7" s="101">
        <f>D12</f>
        <v>80000</v>
      </c>
      <c r="T7" s="101">
        <f>D13</f>
        <v>80000</v>
      </c>
    </row>
    <row r="8" spans="2:20" x14ac:dyDescent="0.2">
      <c r="B8" s="92"/>
      <c r="C8" s="92"/>
      <c r="D8" s="92"/>
      <c r="E8" s="92"/>
      <c r="G8" s="90" t="s">
        <v>341</v>
      </c>
      <c r="J8" s="101"/>
      <c r="K8" s="101"/>
      <c r="L8" s="101"/>
      <c r="M8" s="101"/>
      <c r="N8" s="101"/>
      <c r="O8" s="101"/>
      <c r="P8" s="101"/>
      <c r="Q8" s="101"/>
      <c r="R8" s="101"/>
      <c r="S8" s="101"/>
      <c r="T8" s="101"/>
    </row>
    <row r="9" spans="2:20" x14ac:dyDescent="0.2">
      <c r="B9" s="92"/>
      <c r="C9" s="92"/>
      <c r="D9" s="92"/>
      <c r="E9" s="92"/>
      <c r="G9" s="90" t="s">
        <v>342</v>
      </c>
      <c r="J9" s="101"/>
      <c r="K9" s="101"/>
      <c r="L9" s="101"/>
      <c r="M9" s="101"/>
      <c r="N9" s="101"/>
      <c r="O9" s="101"/>
      <c r="P9" s="101"/>
      <c r="Q9" s="101"/>
      <c r="R9" s="101"/>
      <c r="S9" s="101"/>
      <c r="T9" s="101"/>
    </row>
    <row r="10" spans="2:20" x14ac:dyDescent="0.2">
      <c r="B10" s="105"/>
      <c r="C10" s="105" t="s">
        <v>326</v>
      </c>
      <c r="D10" s="105" t="s">
        <v>327</v>
      </c>
      <c r="E10" s="105"/>
      <c r="G10" s="90" t="s">
        <v>343</v>
      </c>
      <c r="J10" s="101"/>
      <c r="K10" s="101"/>
      <c r="L10" s="101"/>
      <c r="M10" s="101"/>
      <c r="N10" s="101"/>
      <c r="O10" s="101"/>
      <c r="P10" s="101"/>
      <c r="Q10" s="101"/>
      <c r="R10" s="101"/>
      <c r="S10" s="101"/>
      <c r="T10" s="101"/>
    </row>
    <row r="11" spans="2:20" x14ac:dyDescent="0.2">
      <c r="B11" s="92"/>
      <c r="C11" s="92">
        <v>1</v>
      </c>
      <c r="D11" s="93">
        <v>80000</v>
      </c>
      <c r="E11" s="92"/>
      <c r="G11" s="90" t="s">
        <v>344</v>
      </c>
      <c r="J11" s="101"/>
      <c r="K11" s="101"/>
      <c r="L11" s="101"/>
      <c r="M11" s="101"/>
      <c r="N11" s="101"/>
      <c r="O11" s="101"/>
      <c r="P11" s="101"/>
      <c r="Q11" s="101"/>
      <c r="R11" s="101"/>
      <c r="S11" s="101"/>
      <c r="T11" s="101"/>
    </row>
    <row r="12" spans="2:20" x14ac:dyDescent="0.2">
      <c r="B12" s="92"/>
      <c r="C12" s="92">
        <v>2</v>
      </c>
      <c r="D12" s="93">
        <v>80000</v>
      </c>
      <c r="E12" s="92"/>
      <c r="J12" s="101"/>
      <c r="K12" s="101"/>
      <c r="L12" s="101"/>
      <c r="M12" s="101"/>
      <c r="N12" s="101"/>
      <c r="O12" s="101"/>
      <c r="P12" s="101"/>
      <c r="Q12" s="101"/>
      <c r="R12" s="101"/>
      <c r="S12" s="101"/>
      <c r="T12" s="101"/>
    </row>
    <row r="13" spans="2:20" x14ac:dyDescent="0.2">
      <c r="B13" s="92"/>
      <c r="C13" s="92">
        <v>3</v>
      </c>
      <c r="D13" s="93">
        <v>80000</v>
      </c>
      <c r="E13" s="92"/>
      <c r="G13" s="106" t="s">
        <v>345</v>
      </c>
      <c r="H13" s="106"/>
      <c r="I13" s="106"/>
      <c r="J13" s="107">
        <f>SUM(J7:J11)</f>
        <v>0</v>
      </c>
      <c r="K13" s="107">
        <f t="shared" ref="K13:T13" si="0">SUM(K7:K11)</f>
        <v>0</v>
      </c>
      <c r="L13" s="107">
        <f t="shared" si="0"/>
        <v>0</v>
      </c>
      <c r="M13" s="107">
        <f t="shared" si="0"/>
        <v>0</v>
      </c>
      <c r="N13" s="107">
        <f t="shared" si="0"/>
        <v>0</v>
      </c>
      <c r="O13" s="107">
        <f t="shared" si="0"/>
        <v>0</v>
      </c>
      <c r="P13" s="107">
        <f t="shared" si="0"/>
        <v>0</v>
      </c>
      <c r="Q13" s="107">
        <f t="shared" si="0"/>
        <v>0</v>
      </c>
      <c r="R13" s="107">
        <f t="shared" si="0"/>
        <v>80000</v>
      </c>
      <c r="S13" s="107">
        <f t="shared" si="0"/>
        <v>80000</v>
      </c>
      <c r="T13" s="107">
        <f t="shared" si="0"/>
        <v>80000</v>
      </c>
    </row>
    <row r="14" spans="2:20" x14ac:dyDescent="0.2">
      <c r="B14" s="92"/>
      <c r="C14" s="92">
        <v>4</v>
      </c>
      <c r="D14" s="93">
        <v>80000</v>
      </c>
      <c r="E14" s="92"/>
      <c r="J14" s="101"/>
      <c r="K14" s="101"/>
      <c r="L14" s="101"/>
      <c r="M14" s="101"/>
      <c r="N14" s="101"/>
      <c r="O14" s="101"/>
      <c r="P14" s="101"/>
      <c r="Q14" s="101"/>
      <c r="R14" s="101"/>
      <c r="S14" s="101"/>
      <c r="T14" s="101"/>
    </row>
    <row r="15" spans="2:20" x14ac:dyDescent="0.2">
      <c r="B15" s="92"/>
      <c r="C15" s="92">
        <v>5</v>
      </c>
      <c r="D15" s="93">
        <v>80000</v>
      </c>
      <c r="E15" s="92"/>
      <c r="J15" s="101"/>
      <c r="K15" s="101"/>
      <c r="L15" s="101"/>
      <c r="M15" s="101"/>
      <c r="N15" s="101"/>
      <c r="O15" s="101"/>
      <c r="P15" s="101"/>
      <c r="Q15" s="101"/>
      <c r="R15" s="101"/>
      <c r="S15" s="101"/>
      <c r="T15" s="101"/>
    </row>
    <row r="16" spans="2:20" x14ac:dyDescent="0.2">
      <c r="B16" s="92"/>
      <c r="C16" s="92">
        <v>6</v>
      </c>
      <c r="D16" s="93">
        <v>80000</v>
      </c>
      <c r="E16" s="92"/>
      <c r="G16" s="99" t="s">
        <v>346</v>
      </c>
      <c r="H16" s="100"/>
      <c r="I16" s="100"/>
      <c r="J16" s="108"/>
      <c r="K16" s="108"/>
      <c r="L16" s="108"/>
      <c r="M16" s="108"/>
      <c r="N16" s="108"/>
      <c r="O16" s="108"/>
      <c r="P16" s="108"/>
      <c r="Q16" s="108"/>
      <c r="R16" s="108"/>
      <c r="S16" s="108"/>
      <c r="T16" s="108"/>
    </row>
    <row r="17" spans="2:20" x14ac:dyDescent="0.2">
      <c r="B17" s="92"/>
      <c r="C17" s="92">
        <v>7</v>
      </c>
      <c r="D17" s="93">
        <v>2080000</v>
      </c>
      <c r="E17" s="92"/>
      <c r="G17" s="102"/>
      <c r="H17" s="103"/>
      <c r="I17" s="103"/>
      <c r="J17" s="104"/>
      <c r="K17" s="104"/>
      <c r="L17" s="104"/>
      <c r="M17" s="104"/>
      <c r="N17" s="104"/>
      <c r="O17" s="104"/>
      <c r="P17" s="104"/>
      <c r="Q17" s="104"/>
      <c r="R17" s="104"/>
      <c r="S17" s="104"/>
      <c r="T17" s="104"/>
    </row>
    <row r="18" spans="2:20" x14ac:dyDescent="0.2">
      <c r="G18" s="90" t="s">
        <v>347</v>
      </c>
      <c r="H18" s="90" t="s">
        <v>355</v>
      </c>
      <c r="J18" s="101"/>
      <c r="K18" s="101"/>
      <c r="L18" s="101"/>
      <c r="M18" s="101"/>
      <c r="N18" s="101"/>
      <c r="O18" s="101"/>
      <c r="P18" s="101"/>
      <c r="Q18" s="101"/>
      <c r="R18" s="101">
        <f>D28</f>
        <v>-3000000</v>
      </c>
      <c r="S18" s="101">
        <f>D29</f>
        <v>-3000000</v>
      </c>
      <c r="T18" s="101">
        <f>D30</f>
        <v>-3000000</v>
      </c>
    </row>
    <row r="19" spans="2:20" x14ac:dyDescent="0.2">
      <c r="G19" s="90" t="s">
        <v>348</v>
      </c>
      <c r="J19" s="101"/>
      <c r="K19" s="101"/>
      <c r="L19" s="101"/>
      <c r="M19" s="101"/>
      <c r="N19" s="101"/>
      <c r="O19" s="101"/>
      <c r="P19" s="101"/>
      <c r="Q19" s="101"/>
      <c r="R19" s="101"/>
      <c r="S19" s="101"/>
      <c r="T19" s="101"/>
    </row>
    <row r="20" spans="2:20" x14ac:dyDescent="0.2">
      <c r="B20" s="92" t="s">
        <v>320</v>
      </c>
      <c r="C20" s="93">
        <v>-50000000</v>
      </c>
      <c r="D20" s="92"/>
      <c r="E20" s="92"/>
      <c r="G20" s="90" t="s">
        <v>349</v>
      </c>
      <c r="J20" s="101"/>
      <c r="K20" s="101"/>
      <c r="L20" s="101"/>
      <c r="M20" s="101"/>
      <c r="N20" s="101"/>
      <c r="O20" s="101"/>
      <c r="P20" s="101"/>
      <c r="Q20" s="101"/>
      <c r="R20" s="101"/>
      <c r="S20" s="101"/>
      <c r="T20" s="101"/>
    </row>
    <row r="21" spans="2:20" x14ac:dyDescent="0.2">
      <c r="B21" s="92" t="s">
        <v>321</v>
      </c>
      <c r="C21" s="95">
        <v>0.06</v>
      </c>
      <c r="D21" s="92" t="s">
        <v>322</v>
      </c>
      <c r="E21" s="93">
        <f>C20*C21</f>
        <v>-3000000</v>
      </c>
      <c r="G21" s="90" t="s">
        <v>350</v>
      </c>
      <c r="J21" s="101"/>
      <c r="K21" s="101"/>
      <c r="L21" s="101"/>
      <c r="M21" s="101"/>
      <c r="N21" s="101"/>
      <c r="O21" s="101"/>
      <c r="P21" s="101"/>
      <c r="Q21" s="101"/>
      <c r="R21" s="101"/>
      <c r="S21" s="101"/>
      <c r="T21" s="101"/>
    </row>
    <row r="22" spans="2:20" x14ac:dyDescent="0.2">
      <c r="B22" s="92" t="s">
        <v>323</v>
      </c>
      <c r="C22" s="92">
        <v>1</v>
      </c>
      <c r="D22" s="92" t="s">
        <v>324</v>
      </c>
      <c r="E22" s="92">
        <v>14</v>
      </c>
      <c r="G22" s="90" t="s">
        <v>351</v>
      </c>
      <c r="J22" s="101"/>
      <c r="K22" s="101"/>
      <c r="L22" s="101"/>
      <c r="M22" s="101"/>
      <c r="N22" s="101"/>
      <c r="O22" s="101"/>
      <c r="P22" s="101"/>
      <c r="Q22" s="101"/>
      <c r="R22" s="101"/>
      <c r="S22" s="101"/>
      <c r="T22" s="101"/>
    </row>
    <row r="23" spans="2:20" x14ac:dyDescent="0.2">
      <c r="B23" s="92" t="s">
        <v>325</v>
      </c>
      <c r="C23" s="92">
        <v>7</v>
      </c>
      <c r="D23" s="92"/>
      <c r="E23" s="93"/>
      <c r="J23" s="101"/>
      <c r="K23" s="101"/>
      <c r="L23" s="101"/>
      <c r="M23" s="101"/>
      <c r="N23" s="101"/>
      <c r="O23" s="101"/>
      <c r="P23" s="101"/>
      <c r="Q23" s="101"/>
      <c r="R23" s="101"/>
      <c r="S23" s="101"/>
      <c r="T23" s="101"/>
    </row>
    <row r="24" spans="2:20" x14ac:dyDescent="0.2">
      <c r="B24" s="92"/>
      <c r="C24" s="95"/>
      <c r="D24" s="92"/>
      <c r="E24" s="96"/>
      <c r="G24" s="106" t="s">
        <v>352</v>
      </c>
      <c r="H24" s="106"/>
      <c r="I24" s="106"/>
      <c r="J24" s="107">
        <f>SUM(J18:J22)</f>
        <v>0</v>
      </c>
      <c r="K24" s="107">
        <f t="shared" ref="K24:T24" si="1">SUM(K18:K22)</f>
        <v>0</v>
      </c>
      <c r="L24" s="107">
        <f t="shared" si="1"/>
        <v>0</v>
      </c>
      <c r="M24" s="107">
        <f t="shared" si="1"/>
        <v>0</v>
      </c>
      <c r="N24" s="107">
        <f t="shared" si="1"/>
        <v>0</v>
      </c>
      <c r="O24" s="107">
        <f t="shared" si="1"/>
        <v>0</v>
      </c>
      <c r="P24" s="107">
        <f t="shared" si="1"/>
        <v>0</v>
      </c>
      <c r="Q24" s="107">
        <f t="shared" si="1"/>
        <v>0</v>
      </c>
      <c r="R24" s="107">
        <f t="shared" si="1"/>
        <v>-3000000</v>
      </c>
      <c r="S24" s="107">
        <f t="shared" si="1"/>
        <v>-3000000</v>
      </c>
      <c r="T24" s="107">
        <f t="shared" si="1"/>
        <v>-3000000</v>
      </c>
    </row>
    <row r="25" spans="2:20" x14ac:dyDescent="0.2">
      <c r="B25" s="92"/>
      <c r="C25" s="92"/>
      <c r="D25" s="92"/>
      <c r="E25" s="92"/>
      <c r="J25" s="101"/>
      <c r="K25" s="101"/>
      <c r="L25" s="101"/>
      <c r="M25" s="101"/>
      <c r="N25" s="101"/>
      <c r="O25" s="101"/>
      <c r="P25" s="101"/>
      <c r="Q25" s="101"/>
      <c r="R25" s="101"/>
      <c r="S25" s="101"/>
      <c r="T25" s="101"/>
    </row>
    <row r="26" spans="2:20" x14ac:dyDescent="0.2">
      <c r="B26" s="92"/>
      <c r="C26" s="92"/>
      <c r="D26" s="92"/>
      <c r="E26" s="92"/>
      <c r="G26" s="90" t="s">
        <v>353</v>
      </c>
      <c r="J26" s="104">
        <f>J13+J24</f>
        <v>0</v>
      </c>
      <c r="K26" s="104">
        <f t="shared" ref="K26:T26" si="2">K13+K24</f>
        <v>0</v>
      </c>
      <c r="L26" s="104">
        <f t="shared" si="2"/>
        <v>0</v>
      </c>
      <c r="M26" s="104">
        <f t="shared" si="2"/>
        <v>0</v>
      </c>
      <c r="N26" s="104">
        <f t="shared" si="2"/>
        <v>0</v>
      </c>
      <c r="O26" s="104">
        <f t="shared" si="2"/>
        <v>0</v>
      </c>
      <c r="P26" s="104">
        <f t="shared" si="2"/>
        <v>0</v>
      </c>
      <c r="Q26" s="104">
        <f t="shared" si="2"/>
        <v>0</v>
      </c>
      <c r="R26" s="104">
        <f t="shared" si="2"/>
        <v>-2920000</v>
      </c>
      <c r="S26" s="104">
        <f t="shared" si="2"/>
        <v>-2920000</v>
      </c>
      <c r="T26" s="104">
        <f t="shared" si="2"/>
        <v>-2920000</v>
      </c>
    </row>
    <row r="27" spans="2:20" x14ac:dyDescent="0.2">
      <c r="B27" s="105"/>
      <c r="C27" s="105" t="s">
        <v>326</v>
      </c>
      <c r="D27" s="105" t="s">
        <v>327</v>
      </c>
      <c r="E27" s="105"/>
    </row>
    <row r="28" spans="2:20" x14ac:dyDescent="0.2">
      <c r="B28" s="92"/>
      <c r="C28" s="92">
        <v>1</v>
      </c>
      <c r="D28" s="93">
        <f t="shared" ref="D28:D36" si="3">$E$21</f>
        <v>-3000000</v>
      </c>
      <c r="E28" s="92"/>
    </row>
    <row r="29" spans="2:20" x14ac:dyDescent="0.2">
      <c r="B29" s="92"/>
      <c r="C29" s="92">
        <v>2</v>
      </c>
      <c r="D29" s="93">
        <f t="shared" si="3"/>
        <v>-3000000</v>
      </c>
      <c r="E29" s="92"/>
    </row>
    <row r="30" spans="2:20" x14ac:dyDescent="0.2">
      <c r="B30" s="92"/>
      <c r="C30" s="92">
        <v>3</v>
      </c>
      <c r="D30" s="93">
        <f t="shared" si="3"/>
        <v>-3000000</v>
      </c>
      <c r="E30" s="92"/>
    </row>
    <row r="31" spans="2:20" x14ac:dyDescent="0.2">
      <c r="B31" s="92"/>
      <c r="C31" s="92">
        <v>4</v>
      </c>
      <c r="D31" s="93">
        <f t="shared" si="3"/>
        <v>-3000000</v>
      </c>
      <c r="E31" s="92"/>
    </row>
    <row r="32" spans="2:20" x14ac:dyDescent="0.2">
      <c r="B32" s="92"/>
      <c r="C32" s="92">
        <v>5</v>
      </c>
      <c r="D32" s="93">
        <f t="shared" si="3"/>
        <v>-3000000</v>
      </c>
      <c r="E32" s="92"/>
    </row>
    <row r="33" spans="2:5" x14ac:dyDescent="0.2">
      <c r="B33" s="92"/>
      <c r="C33" s="92">
        <v>6</v>
      </c>
      <c r="D33" s="93">
        <f t="shared" si="3"/>
        <v>-3000000</v>
      </c>
      <c r="E33" s="92"/>
    </row>
    <row r="34" spans="2:5" x14ac:dyDescent="0.2">
      <c r="B34" s="92"/>
      <c r="C34" s="92">
        <v>7</v>
      </c>
      <c r="D34" s="93">
        <f t="shared" si="3"/>
        <v>-3000000</v>
      </c>
      <c r="E34" s="92"/>
    </row>
    <row r="35" spans="2:5" x14ac:dyDescent="0.2">
      <c r="B35" s="92"/>
      <c r="C35" s="92">
        <v>8</v>
      </c>
      <c r="D35" s="93">
        <f t="shared" si="3"/>
        <v>-3000000</v>
      </c>
      <c r="E35" s="92"/>
    </row>
    <row r="36" spans="2:5" x14ac:dyDescent="0.2">
      <c r="B36" s="92"/>
      <c r="C36" s="92">
        <v>9</v>
      </c>
      <c r="D36" s="93">
        <f t="shared" si="3"/>
        <v>-3000000</v>
      </c>
      <c r="E36" s="92"/>
    </row>
    <row r="37" spans="2:5" x14ac:dyDescent="0.2">
      <c r="B37" s="92"/>
      <c r="C37" s="92">
        <v>10</v>
      </c>
      <c r="D37" s="93">
        <f>$E$21+C20</f>
        <v>-53000000</v>
      </c>
      <c r="E37" s="92"/>
    </row>
  </sheetData>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B2:C20"/>
  <sheetViews>
    <sheetView workbookViewId="0"/>
  </sheetViews>
  <sheetFormatPr baseColWidth="10" defaultColWidth="8.83203125" defaultRowHeight="24" x14ac:dyDescent="0.3"/>
  <cols>
    <col min="1" max="16384" width="8.83203125" style="10"/>
  </cols>
  <sheetData>
    <row r="2" spans="2:3" x14ac:dyDescent="0.3">
      <c r="B2" s="10" t="s">
        <v>67</v>
      </c>
    </row>
    <row r="3" spans="2:3" x14ac:dyDescent="0.3">
      <c r="C3" s="10" t="s">
        <v>66</v>
      </c>
    </row>
    <row r="4" spans="2:3" x14ac:dyDescent="0.3">
      <c r="C4" s="10" t="s">
        <v>65</v>
      </c>
    </row>
    <row r="5" spans="2:3" x14ac:dyDescent="0.3">
      <c r="C5" s="10" t="s">
        <v>64</v>
      </c>
    </row>
    <row r="6" spans="2:3" x14ac:dyDescent="0.3">
      <c r="C6" s="10" t="s">
        <v>63</v>
      </c>
    </row>
    <row r="8" spans="2:3" x14ac:dyDescent="0.3">
      <c r="B8" s="10" t="s">
        <v>62</v>
      </c>
    </row>
    <row r="9" spans="2:3" x14ac:dyDescent="0.3">
      <c r="C9" s="10" t="s">
        <v>61</v>
      </c>
    </row>
    <row r="10" spans="2:3" x14ac:dyDescent="0.3">
      <c r="C10" s="10" t="s">
        <v>60</v>
      </c>
    </row>
    <row r="12" spans="2:3" x14ac:dyDescent="0.3">
      <c r="B12" s="10" t="s">
        <v>59</v>
      </c>
    </row>
    <row r="13" spans="2:3" x14ac:dyDescent="0.3">
      <c r="B13" s="10">
        <v>1</v>
      </c>
      <c r="C13" s="10" t="s">
        <v>58</v>
      </c>
    </row>
    <row r="14" spans="2:3" x14ac:dyDescent="0.3">
      <c r="B14" s="10">
        <v>2</v>
      </c>
      <c r="C14" s="10" t="s">
        <v>79</v>
      </c>
    </row>
    <row r="15" spans="2:3" x14ac:dyDescent="0.3">
      <c r="B15" s="10">
        <v>3</v>
      </c>
      <c r="C15" s="10" t="s">
        <v>57</v>
      </c>
    </row>
    <row r="16" spans="2:3" x14ac:dyDescent="0.3">
      <c r="B16" s="10">
        <v>4</v>
      </c>
      <c r="C16" s="10" t="s">
        <v>56</v>
      </c>
    </row>
    <row r="17" spans="2:3" x14ac:dyDescent="0.3">
      <c r="B17" s="10">
        <v>5</v>
      </c>
      <c r="C17" s="10" t="s">
        <v>55</v>
      </c>
    </row>
    <row r="18" spans="2:3" x14ac:dyDescent="0.3">
      <c r="B18" s="10">
        <v>6</v>
      </c>
      <c r="C18" s="10" t="s">
        <v>54</v>
      </c>
    </row>
    <row r="19" spans="2:3" x14ac:dyDescent="0.3">
      <c r="B19" s="10">
        <v>7</v>
      </c>
      <c r="C19" s="10" t="s">
        <v>53</v>
      </c>
    </row>
    <row r="20" spans="2:3" x14ac:dyDescent="0.3">
      <c r="B20" s="10">
        <v>8</v>
      </c>
      <c r="C20" s="10" t="s">
        <v>52</v>
      </c>
    </row>
  </sheetData>
  <pageMargins left="0.7" right="0.7" top="0.75" bottom="0.75" header="0.3" footer="0.3"/>
  <pageSetup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6E078-D892-954C-8076-8124659976AA}">
  <sheetPr>
    <tabColor rgb="FFFF0000"/>
  </sheetPr>
  <dimension ref="B2:L46"/>
  <sheetViews>
    <sheetView zoomScale="90" zoomScaleNormal="90" workbookViewId="0"/>
  </sheetViews>
  <sheetFormatPr baseColWidth="10" defaultRowHeight="21" x14ac:dyDescent="0.25"/>
  <cols>
    <col min="1" max="1" width="2.6640625" style="110" customWidth="1"/>
    <col min="2" max="2" width="2.5" style="110" bestFit="1" customWidth="1"/>
    <col min="3" max="3" width="17.33203125" style="110" customWidth="1"/>
    <col min="4" max="4" width="15.83203125" style="110" bestFit="1" customWidth="1"/>
    <col min="5" max="5" width="7.6640625" style="110" bestFit="1" customWidth="1"/>
    <col min="6" max="6" width="19.5" style="110" bestFit="1" customWidth="1"/>
    <col min="7" max="7" width="17.83203125" style="110" bestFit="1" customWidth="1"/>
    <col min="8" max="8" width="17.5" style="110" bestFit="1" customWidth="1"/>
    <col min="9" max="9" width="33.5" style="110" bestFit="1" customWidth="1"/>
    <col min="10" max="10" width="44.1640625" style="110" bestFit="1" customWidth="1"/>
    <col min="11" max="11" width="38.5" style="110" bestFit="1" customWidth="1"/>
    <col min="12" max="12" width="30.6640625" style="110" bestFit="1" customWidth="1"/>
    <col min="13" max="16384" width="10.83203125" style="110"/>
  </cols>
  <sheetData>
    <row r="2" spans="2:12" x14ac:dyDescent="0.25">
      <c r="C2" s="110" t="s">
        <v>360</v>
      </c>
    </row>
    <row r="4" spans="2:12" x14ac:dyDescent="0.25">
      <c r="B4" s="110">
        <v>1</v>
      </c>
      <c r="C4" s="132" t="s">
        <v>387</v>
      </c>
    </row>
    <row r="5" spans="2:12" x14ac:dyDescent="0.25">
      <c r="B5" s="110">
        <v>2</v>
      </c>
      <c r="C5" s="110" t="s">
        <v>380</v>
      </c>
    </row>
    <row r="6" spans="2:12" x14ac:dyDescent="0.25">
      <c r="C6" s="110" t="s">
        <v>372</v>
      </c>
    </row>
    <row r="7" spans="2:12" x14ac:dyDescent="0.25">
      <c r="B7" s="110">
        <v>3</v>
      </c>
      <c r="C7" s="110" t="s">
        <v>381</v>
      </c>
    </row>
    <row r="8" spans="2:12" x14ac:dyDescent="0.25">
      <c r="B8" s="110">
        <v>4</v>
      </c>
      <c r="C8" s="110" t="s">
        <v>382</v>
      </c>
    </row>
    <row r="9" spans="2:12" x14ac:dyDescent="0.25">
      <c r="B9" s="110">
        <v>5</v>
      </c>
      <c r="C9" s="110" t="s">
        <v>383</v>
      </c>
    </row>
    <row r="10" spans="2:12" x14ac:dyDescent="0.25">
      <c r="B10" s="110">
        <v>6</v>
      </c>
      <c r="C10" s="110" t="s">
        <v>386</v>
      </c>
    </row>
    <row r="11" spans="2:12" x14ac:dyDescent="0.25">
      <c r="B11" s="110">
        <v>7</v>
      </c>
      <c r="C11" s="110" t="s">
        <v>375</v>
      </c>
    </row>
    <row r="12" spans="2:12" x14ac:dyDescent="0.25">
      <c r="B12" s="110">
        <v>8</v>
      </c>
      <c r="C12" s="110" t="s">
        <v>376</v>
      </c>
    </row>
    <row r="14" spans="2:12" ht="22" thickBot="1" x14ac:dyDescent="0.3">
      <c r="E14" s="111" t="s">
        <v>361</v>
      </c>
      <c r="F14" s="111" t="s">
        <v>362</v>
      </c>
      <c r="G14" s="112" t="s">
        <v>377</v>
      </c>
      <c r="H14" s="111" t="s">
        <v>363</v>
      </c>
      <c r="I14" s="112" t="s">
        <v>378</v>
      </c>
      <c r="J14" s="120" t="s">
        <v>379</v>
      </c>
      <c r="K14" s="128" t="s">
        <v>384</v>
      </c>
      <c r="L14" s="124" t="s">
        <v>385</v>
      </c>
    </row>
    <row r="15" spans="2:12" x14ac:dyDescent="0.25">
      <c r="C15" s="133" t="s">
        <v>364</v>
      </c>
      <c r="D15" s="113" t="s">
        <v>365</v>
      </c>
      <c r="E15" s="114" t="s">
        <v>366</v>
      </c>
      <c r="F15" s="114" t="s">
        <v>366</v>
      </c>
      <c r="G15" s="115">
        <v>-100</v>
      </c>
      <c r="H15" s="114" t="s">
        <v>366</v>
      </c>
      <c r="I15" s="115">
        <v>50</v>
      </c>
      <c r="J15" s="121">
        <v>-123</v>
      </c>
      <c r="K15" s="129">
        <f>G15+I15+J15</f>
        <v>-173</v>
      </c>
      <c r="L15" s="125">
        <f>VLOOKUP(F15,$I$38:$J$40,2,0) + VLOOKUP(H15,$I$44:$J$46,2,0)</f>
        <v>180</v>
      </c>
    </row>
    <row r="16" spans="2:12" x14ac:dyDescent="0.25">
      <c r="C16" s="133"/>
      <c r="D16" s="113" t="s">
        <v>368</v>
      </c>
      <c r="E16" s="116" t="s">
        <v>367</v>
      </c>
      <c r="F16" s="116" t="s">
        <v>367</v>
      </c>
      <c r="G16" s="117">
        <v>-115</v>
      </c>
      <c r="H16" s="116" t="s">
        <v>369</v>
      </c>
      <c r="I16" s="117">
        <v>60</v>
      </c>
      <c r="J16" s="122">
        <v>-123</v>
      </c>
      <c r="K16" s="130">
        <f t="shared" ref="K16:K23" si="0">G16+I16+J16</f>
        <v>-178</v>
      </c>
      <c r="L16" s="126">
        <f t="shared" ref="L16:L23" si="1">VLOOKUP(F16,$I$38:$J$40,2,0) + VLOOKUP(H16,$I$44:$J$46,2,0)</f>
        <v>60</v>
      </c>
    </row>
    <row r="17" spans="3:12" ht="22" thickBot="1" x14ac:dyDescent="0.3">
      <c r="C17" s="133"/>
      <c r="D17" s="113" t="s">
        <v>370</v>
      </c>
      <c r="E17" s="118" t="s">
        <v>369</v>
      </c>
      <c r="F17" s="118" t="s">
        <v>369</v>
      </c>
      <c r="G17" s="119">
        <v>-123</v>
      </c>
      <c r="H17" s="118" t="s">
        <v>369</v>
      </c>
      <c r="I17" s="119">
        <v>60</v>
      </c>
      <c r="J17" s="123">
        <v>-123</v>
      </c>
      <c r="K17" s="131">
        <f t="shared" si="0"/>
        <v>-186</v>
      </c>
      <c r="L17" s="127">
        <f t="shared" si="1"/>
        <v>30</v>
      </c>
    </row>
    <row r="18" spans="3:12" x14ac:dyDescent="0.25">
      <c r="C18" s="133" t="s">
        <v>373</v>
      </c>
      <c r="D18" s="113" t="s">
        <v>365</v>
      </c>
      <c r="E18" s="114" t="s">
        <v>366</v>
      </c>
      <c r="F18" s="114" t="s">
        <v>366</v>
      </c>
      <c r="G18" s="115">
        <v>-100</v>
      </c>
      <c r="H18" s="114" t="s">
        <v>367</v>
      </c>
      <c r="I18" s="115">
        <v>50</v>
      </c>
      <c r="J18" s="121">
        <v>-123</v>
      </c>
      <c r="K18" s="129">
        <f t="shared" si="0"/>
        <v>-173</v>
      </c>
      <c r="L18" s="125">
        <f t="shared" si="1"/>
        <v>140</v>
      </c>
    </row>
    <row r="19" spans="3:12" x14ac:dyDescent="0.25">
      <c r="C19" s="133"/>
      <c r="D19" s="113" t="s">
        <v>368</v>
      </c>
      <c r="E19" s="116" t="s">
        <v>367</v>
      </c>
      <c r="F19" s="116" t="s">
        <v>367</v>
      </c>
      <c r="G19" s="117">
        <v>-130</v>
      </c>
      <c r="H19" s="116" t="s">
        <v>367</v>
      </c>
      <c r="I19" s="117">
        <v>70</v>
      </c>
      <c r="J19" s="122">
        <v>-123</v>
      </c>
      <c r="K19" s="130">
        <f t="shared" si="0"/>
        <v>-183</v>
      </c>
      <c r="L19" s="126">
        <f t="shared" si="1"/>
        <v>90</v>
      </c>
    </row>
    <row r="20" spans="3:12" ht="22" thickBot="1" x14ac:dyDescent="0.3">
      <c r="C20" s="133"/>
      <c r="D20" s="113" t="s">
        <v>370</v>
      </c>
      <c r="E20" s="118" t="s">
        <v>369</v>
      </c>
      <c r="F20" s="118" t="s">
        <v>369</v>
      </c>
      <c r="G20" s="119">
        <v>-135</v>
      </c>
      <c r="H20" s="118" t="s">
        <v>369</v>
      </c>
      <c r="I20" s="119">
        <v>90</v>
      </c>
      <c r="J20" s="123">
        <v>-123</v>
      </c>
      <c r="K20" s="131">
        <f t="shared" si="0"/>
        <v>-168</v>
      </c>
      <c r="L20" s="127">
        <f t="shared" si="1"/>
        <v>30</v>
      </c>
    </row>
    <row r="21" spans="3:12" x14ac:dyDescent="0.25">
      <c r="C21" s="133" t="s">
        <v>374</v>
      </c>
      <c r="D21" s="113" t="s">
        <v>365</v>
      </c>
      <c r="E21" s="114" t="s">
        <v>367</v>
      </c>
      <c r="F21" s="114" t="s">
        <v>366</v>
      </c>
      <c r="G21" s="115">
        <v>-110</v>
      </c>
      <c r="H21" s="114" t="s">
        <v>369</v>
      </c>
      <c r="I21" s="115">
        <v>50</v>
      </c>
      <c r="J21" s="121">
        <v>-123</v>
      </c>
      <c r="K21" s="129">
        <f t="shared" si="0"/>
        <v>-183</v>
      </c>
      <c r="L21" s="125">
        <f t="shared" si="1"/>
        <v>110</v>
      </c>
    </row>
    <row r="22" spans="3:12" x14ac:dyDescent="0.25">
      <c r="D22" s="113" t="s">
        <v>368</v>
      </c>
      <c r="E22" s="116" t="s">
        <v>369</v>
      </c>
      <c r="F22" s="116" t="s">
        <v>367</v>
      </c>
      <c r="G22" s="117">
        <v>-150</v>
      </c>
      <c r="H22" s="116" t="s">
        <v>369</v>
      </c>
      <c r="I22" s="117">
        <v>90</v>
      </c>
      <c r="J22" s="122">
        <v>-123</v>
      </c>
      <c r="K22" s="130">
        <f t="shared" si="0"/>
        <v>-183</v>
      </c>
      <c r="L22" s="126">
        <f t="shared" si="1"/>
        <v>60</v>
      </c>
    </row>
    <row r="23" spans="3:12" ht="22" thickBot="1" x14ac:dyDescent="0.3">
      <c r="D23" s="113" t="s">
        <v>370</v>
      </c>
      <c r="E23" s="118" t="s">
        <v>371</v>
      </c>
      <c r="F23" s="118" t="s">
        <v>369</v>
      </c>
      <c r="G23" s="119">
        <v>-200</v>
      </c>
      <c r="H23" s="118" t="s">
        <v>369</v>
      </c>
      <c r="I23" s="119">
        <v>90</v>
      </c>
      <c r="J23" s="123">
        <v>-123</v>
      </c>
      <c r="K23" s="131">
        <f t="shared" si="0"/>
        <v>-233</v>
      </c>
      <c r="L23" s="127">
        <f t="shared" si="1"/>
        <v>30</v>
      </c>
    </row>
    <row r="37" spans="9:10" ht="22" thickBot="1" x14ac:dyDescent="0.3">
      <c r="I37" s="111" t="s">
        <v>362</v>
      </c>
    </row>
    <row r="38" spans="9:10" x14ac:dyDescent="0.25">
      <c r="I38" s="114" t="s">
        <v>366</v>
      </c>
      <c r="J38" s="110">
        <v>100</v>
      </c>
    </row>
    <row r="39" spans="9:10" x14ac:dyDescent="0.25">
      <c r="I39" s="116" t="s">
        <v>367</v>
      </c>
      <c r="J39" s="110">
        <v>50</v>
      </c>
    </row>
    <row r="40" spans="9:10" ht="22" thickBot="1" x14ac:dyDescent="0.3">
      <c r="I40" s="118" t="s">
        <v>369</v>
      </c>
      <c r="J40" s="110">
        <v>20</v>
      </c>
    </row>
    <row r="43" spans="9:10" ht="22" thickBot="1" x14ac:dyDescent="0.3">
      <c r="I43" s="111" t="s">
        <v>363</v>
      </c>
    </row>
    <row r="44" spans="9:10" x14ac:dyDescent="0.25">
      <c r="I44" s="114" t="s">
        <v>366</v>
      </c>
      <c r="J44" s="110">
        <v>80</v>
      </c>
    </row>
    <row r="45" spans="9:10" x14ac:dyDescent="0.25">
      <c r="I45" s="116" t="s">
        <v>367</v>
      </c>
      <c r="J45" s="110">
        <v>40</v>
      </c>
    </row>
    <row r="46" spans="9:10" ht="22" thickBot="1" x14ac:dyDescent="0.3">
      <c r="I46" s="118" t="s">
        <v>369</v>
      </c>
      <c r="J46" s="110">
        <v>10</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B2:C20"/>
  <sheetViews>
    <sheetView zoomScale="145" zoomScaleNormal="145" zoomScalePageLayoutView="145" workbookViewId="0"/>
  </sheetViews>
  <sheetFormatPr baseColWidth="10" defaultColWidth="11" defaultRowHeight="16" x14ac:dyDescent="0.2"/>
  <cols>
    <col min="1" max="16384" width="11" style="4"/>
  </cols>
  <sheetData>
    <row r="2" spans="2:3" x14ac:dyDescent="0.2">
      <c r="B2" s="4" t="s">
        <v>92</v>
      </c>
    </row>
    <row r="3" spans="2:3" x14ac:dyDescent="0.2">
      <c r="C3" s="4" t="s">
        <v>91</v>
      </c>
    </row>
    <row r="4" spans="2:3" x14ac:dyDescent="0.2">
      <c r="B4" s="4" t="s">
        <v>90</v>
      </c>
    </row>
    <row r="6" spans="2:3" x14ac:dyDescent="0.2">
      <c r="B6" s="4" t="s">
        <v>89</v>
      </c>
    </row>
    <row r="8" spans="2:3" x14ac:dyDescent="0.2">
      <c r="B8" s="4" t="s">
        <v>88</v>
      </c>
    </row>
    <row r="10" spans="2:3" x14ac:dyDescent="0.2">
      <c r="B10" s="4" t="s">
        <v>87</v>
      </c>
    </row>
    <row r="11" spans="2:3" x14ac:dyDescent="0.2">
      <c r="C11" s="4" t="s">
        <v>86</v>
      </c>
    </row>
    <row r="12" spans="2:3" x14ac:dyDescent="0.2">
      <c r="C12" s="4" t="s">
        <v>85</v>
      </c>
    </row>
    <row r="13" spans="2:3" x14ac:dyDescent="0.2">
      <c r="C13" s="4" t="s">
        <v>84</v>
      </c>
    </row>
    <row r="14" spans="2:3" x14ac:dyDescent="0.2">
      <c r="C14" s="4" t="s">
        <v>83</v>
      </c>
    </row>
    <row r="16" spans="2:3" x14ac:dyDescent="0.2">
      <c r="B16" s="4" t="s">
        <v>82</v>
      </c>
    </row>
    <row r="17" spans="2:3" x14ac:dyDescent="0.2">
      <c r="C17" s="4" t="s">
        <v>81</v>
      </c>
    </row>
    <row r="18" spans="2:3" x14ac:dyDescent="0.2">
      <c r="C18" s="4" t="s">
        <v>80</v>
      </c>
    </row>
    <row r="20" spans="2:3" x14ac:dyDescent="0.2">
      <c r="B20" s="45" t="s">
        <v>260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2E05B-1996-854C-8081-241662C2FC3B}">
  <sheetPr>
    <tabColor rgb="FF00B050"/>
  </sheetPr>
  <dimension ref="B2:B10"/>
  <sheetViews>
    <sheetView workbookViewId="0"/>
  </sheetViews>
  <sheetFormatPr baseColWidth="10" defaultRowHeight="26" x14ac:dyDescent="0.3"/>
  <cols>
    <col min="1" max="16384" width="10.83203125" style="46"/>
  </cols>
  <sheetData>
    <row r="2" spans="2:2" x14ac:dyDescent="0.3">
      <c r="B2" s="46" t="s">
        <v>395</v>
      </c>
    </row>
    <row r="3" spans="2:2" x14ac:dyDescent="0.3">
      <c r="B3" s="46" t="s">
        <v>396</v>
      </c>
    </row>
    <row r="5" spans="2:2" x14ac:dyDescent="0.3">
      <c r="B5" s="46" t="s">
        <v>266</v>
      </c>
    </row>
    <row r="6" spans="2:2" x14ac:dyDescent="0.3">
      <c r="B6" s="46" t="s">
        <v>265</v>
      </c>
    </row>
    <row r="8" spans="2:2" x14ac:dyDescent="0.3">
      <c r="B8" s="46" t="s">
        <v>262</v>
      </c>
    </row>
    <row r="9" spans="2:2" x14ac:dyDescent="0.3">
      <c r="B9" s="46" t="s">
        <v>263</v>
      </c>
    </row>
    <row r="10" spans="2:2" x14ac:dyDescent="0.3">
      <c r="B10" s="46" t="s">
        <v>264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FF00"/>
  </sheetPr>
  <dimension ref="B1:C9"/>
  <sheetViews>
    <sheetView workbookViewId="0"/>
  </sheetViews>
  <sheetFormatPr baseColWidth="10" defaultColWidth="10.83203125" defaultRowHeight="26" x14ac:dyDescent="0.3"/>
  <cols>
    <col min="1" max="1" width="3.83203125" style="6" customWidth="1"/>
    <col min="2" max="2" width="21.83203125" style="139" customWidth="1"/>
    <col min="3" max="3" width="171.6640625" style="6" customWidth="1"/>
    <col min="4" max="16384" width="10.83203125" style="6"/>
  </cols>
  <sheetData>
    <row r="1" spans="2:3" ht="27" thickBot="1" x14ac:dyDescent="0.35"/>
    <row r="2" spans="2:3" ht="28" thickBot="1" x14ac:dyDescent="0.35">
      <c r="B2" s="145" t="s">
        <v>113</v>
      </c>
      <c r="C2" s="141" t="s">
        <v>148</v>
      </c>
    </row>
    <row r="3" spans="2:3" ht="244" thickBot="1" x14ac:dyDescent="0.35">
      <c r="B3" s="146" t="s">
        <v>114</v>
      </c>
      <c r="C3" s="143" t="s">
        <v>439</v>
      </c>
    </row>
    <row r="4" spans="2:3" ht="136" thickBot="1" x14ac:dyDescent="0.35">
      <c r="B4" s="145" t="s">
        <v>115</v>
      </c>
      <c r="C4" s="144" t="s">
        <v>440</v>
      </c>
    </row>
    <row r="6" spans="2:3" x14ac:dyDescent="0.3">
      <c r="C6" s="6" t="s">
        <v>397</v>
      </c>
    </row>
    <row r="7" spans="2:3" x14ac:dyDescent="0.3">
      <c r="B7" s="148">
        <v>1</v>
      </c>
      <c r="C7" s="147"/>
    </row>
    <row r="8" spans="2:3" x14ac:dyDescent="0.3">
      <c r="B8" s="148">
        <v>2</v>
      </c>
      <c r="C8" s="147"/>
    </row>
    <row r="9" spans="2:3" x14ac:dyDescent="0.3">
      <c r="B9" s="148">
        <v>3</v>
      </c>
      <c r="C9" s="14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FFFF00"/>
  </sheetPr>
  <dimension ref="A2:AJ29"/>
  <sheetViews>
    <sheetView workbookViewId="0"/>
  </sheetViews>
  <sheetFormatPr baseColWidth="10" defaultColWidth="8.83203125" defaultRowHeight="15" x14ac:dyDescent="0.2"/>
  <cols>
    <col min="1" max="1" width="5" customWidth="1"/>
    <col min="2" max="2" width="27.6640625" customWidth="1"/>
    <col min="3" max="3" width="9.6640625" style="15" bestFit="1" customWidth="1"/>
    <col min="5" max="5" width="4.5" customWidth="1"/>
    <col min="6" max="6" width="29.5" customWidth="1"/>
    <col min="13" max="13" width="4.6640625" customWidth="1"/>
    <col min="14" max="14" width="24.33203125" customWidth="1"/>
  </cols>
  <sheetData>
    <row r="2" spans="1:36" x14ac:dyDescent="0.2">
      <c r="A2" s="14" t="s">
        <v>149</v>
      </c>
      <c r="E2" s="14" t="s">
        <v>261</v>
      </c>
      <c r="M2" s="14" t="s">
        <v>150</v>
      </c>
      <c r="O2" s="29" t="s">
        <v>151</v>
      </c>
      <c r="P2" s="29" t="s">
        <v>151</v>
      </c>
      <c r="W2" s="29"/>
      <c r="X2" s="29"/>
      <c r="Y2" s="29"/>
      <c r="Z2" s="29"/>
      <c r="AA2" s="29"/>
      <c r="AB2" s="29"/>
      <c r="AC2" s="29"/>
      <c r="AD2" s="29"/>
      <c r="AE2" s="29"/>
      <c r="AF2" s="29"/>
      <c r="AG2" s="29"/>
      <c r="AH2" s="29"/>
      <c r="AI2" s="29"/>
      <c r="AJ2" s="29"/>
    </row>
    <row r="3" spans="1:36" x14ac:dyDescent="0.2">
      <c r="C3" s="16" t="s">
        <v>116</v>
      </c>
      <c r="G3" s="273">
        <f ca="1">K3-1</f>
        <v>2025</v>
      </c>
      <c r="H3" s="273"/>
      <c r="I3" s="273"/>
      <c r="J3" s="273"/>
      <c r="K3" s="17">
        <f ca="1">YEAR(TODAY())</f>
        <v>2026</v>
      </c>
      <c r="O3" s="29" t="s">
        <v>152</v>
      </c>
      <c r="P3" s="29" t="s">
        <v>153</v>
      </c>
      <c r="Q3" s="17" t="s">
        <v>118</v>
      </c>
      <c r="R3" s="17" t="s">
        <v>119</v>
      </c>
      <c r="S3" s="17" t="s">
        <v>120</v>
      </c>
      <c r="T3" s="17" t="s">
        <v>121</v>
      </c>
      <c r="U3" s="17" t="s">
        <v>118</v>
      </c>
      <c r="W3" s="18"/>
      <c r="X3" s="18"/>
      <c r="Y3" s="18"/>
      <c r="Z3" s="18"/>
      <c r="AA3" s="18"/>
      <c r="AB3" s="18"/>
      <c r="AC3" s="18"/>
      <c r="AD3" s="18"/>
      <c r="AE3" s="18"/>
      <c r="AF3" s="18"/>
      <c r="AG3" s="18"/>
      <c r="AH3" s="18"/>
      <c r="AI3" s="18"/>
      <c r="AJ3" s="18"/>
    </row>
    <row r="4" spans="1:36" x14ac:dyDescent="0.2">
      <c r="B4" s="14" t="s">
        <v>117</v>
      </c>
      <c r="C4" s="19"/>
      <c r="E4" s="20" t="s">
        <v>116</v>
      </c>
      <c r="G4" s="17" t="s">
        <v>118</v>
      </c>
      <c r="H4" s="17" t="s">
        <v>119</v>
      </c>
      <c r="I4" s="17" t="s">
        <v>120</v>
      </c>
      <c r="J4" s="17" t="s">
        <v>121</v>
      </c>
      <c r="K4" s="17" t="s">
        <v>118</v>
      </c>
      <c r="O4" s="29" t="s">
        <v>154</v>
      </c>
      <c r="P4" s="29" t="s">
        <v>155</v>
      </c>
      <c r="Q4" s="15" t="s">
        <v>122</v>
      </c>
      <c r="R4" s="15" t="s">
        <v>122</v>
      </c>
      <c r="S4" s="15" t="s">
        <v>122</v>
      </c>
      <c r="T4" s="15" t="s">
        <v>122</v>
      </c>
      <c r="U4" s="15" t="s">
        <v>122</v>
      </c>
      <c r="W4" s="29"/>
      <c r="X4" s="29"/>
      <c r="Y4" s="29"/>
      <c r="Z4" s="29"/>
      <c r="AA4" s="29"/>
      <c r="AB4" s="29"/>
      <c r="AC4" s="29"/>
    </row>
    <row r="5" spans="1:36" x14ac:dyDescent="0.2">
      <c r="A5" t="s">
        <v>123</v>
      </c>
      <c r="C5" s="21">
        <f>SUM(C6:C8)</f>
        <v>255</v>
      </c>
      <c r="E5" s="14" t="s">
        <v>124</v>
      </c>
      <c r="G5" s="15">
        <f>SUM(G6:G10)</f>
        <v>4</v>
      </c>
      <c r="H5" s="15">
        <f t="shared" ref="H5:K5" si="0">SUM(H6:H10)</f>
        <v>7</v>
      </c>
      <c r="I5" s="15">
        <f t="shared" si="0"/>
        <v>8</v>
      </c>
      <c r="J5" s="15">
        <f t="shared" si="0"/>
        <v>16</v>
      </c>
      <c r="K5" s="15">
        <f t="shared" si="0"/>
        <v>23</v>
      </c>
      <c r="M5" s="22" t="s">
        <v>156</v>
      </c>
      <c r="O5" s="30"/>
      <c r="P5" s="27" t="s">
        <v>157</v>
      </c>
      <c r="Q5" s="31">
        <v>0</v>
      </c>
      <c r="R5" s="31" t="e">
        <f t="shared" ref="R5:U5" si="1">SUM(R6:R8)/R27</f>
        <v>#DIV/0!</v>
      </c>
      <c r="S5" s="31" t="e">
        <f t="shared" si="1"/>
        <v>#DIV/0!</v>
      </c>
      <c r="T5" s="31" t="e">
        <f t="shared" si="1"/>
        <v>#DIV/0!</v>
      </c>
      <c r="U5" s="31" t="e">
        <f t="shared" si="1"/>
        <v>#DIV/0!</v>
      </c>
      <c r="W5" s="32"/>
      <c r="X5" s="32"/>
      <c r="Y5" s="32"/>
      <c r="Z5" s="29"/>
      <c r="AA5" s="29"/>
      <c r="AB5" s="29"/>
      <c r="AC5" s="29"/>
    </row>
    <row r="6" spans="1:36" x14ac:dyDescent="0.2">
      <c r="B6" s="23" t="s">
        <v>125</v>
      </c>
      <c r="C6" s="24">
        <v>250</v>
      </c>
      <c r="F6" s="23" t="s">
        <v>126</v>
      </c>
      <c r="G6" s="29">
        <v>0</v>
      </c>
      <c r="H6" s="29">
        <v>3</v>
      </c>
      <c r="I6" s="29">
        <v>5</v>
      </c>
      <c r="J6" s="29">
        <v>12</v>
      </c>
      <c r="K6" s="29">
        <v>20</v>
      </c>
      <c r="N6" s="23" t="s">
        <v>158</v>
      </c>
      <c r="O6" s="30">
        <v>2E-3</v>
      </c>
      <c r="P6" s="29">
        <v>1</v>
      </c>
      <c r="Q6" s="25"/>
      <c r="R6" s="44"/>
      <c r="S6" s="44"/>
      <c r="T6" s="44"/>
      <c r="U6" s="44"/>
      <c r="W6" s="29"/>
      <c r="X6" s="29"/>
      <c r="Y6" s="29"/>
      <c r="Z6" s="29"/>
      <c r="AA6" s="29"/>
      <c r="AB6" s="29"/>
      <c r="AC6" s="29"/>
    </row>
    <row r="7" spans="1:36" x14ac:dyDescent="0.2">
      <c r="B7" s="23" t="s">
        <v>159</v>
      </c>
      <c r="C7" s="24">
        <v>0</v>
      </c>
      <c r="F7" s="23" t="s">
        <v>160</v>
      </c>
      <c r="G7" s="29">
        <v>2</v>
      </c>
      <c r="H7" s="29">
        <v>2</v>
      </c>
      <c r="I7" s="29">
        <v>2</v>
      </c>
      <c r="J7" s="29">
        <v>3</v>
      </c>
      <c r="K7" s="29">
        <v>3</v>
      </c>
      <c r="N7" s="23" t="s">
        <v>161</v>
      </c>
      <c r="O7" s="30">
        <v>0.01</v>
      </c>
      <c r="P7" s="29">
        <v>2</v>
      </c>
      <c r="Q7" s="25"/>
      <c r="R7" s="44"/>
      <c r="S7" s="44"/>
      <c r="T7" s="44"/>
      <c r="U7" s="44"/>
      <c r="W7" s="29"/>
      <c r="X7" s="29"/>
      <c r="Y7" s="29"/>
      <c r="Z7" s="29"/>
      <c r="AA7" s="29"/>
      <c r="AB7" s="29"/>
      <c r="AC7" s="29"/>
    </row>
    <row r="8" spans="1:36" x14ac:dyDescent="0.2">
      <c r="B8" s="23" t="s">
        <v>127</v>
      </c>
      <c r="C8" s="24">
        <v>5</v>
      </c>
      <c r="F8" s="23" t="s">
        <v>162</v>
      </c>
      <c r="G8" s="29">
        <v>2</v>
      </c>
      <c r="H8" s="29">
        <v>2</v>
      </c>
      <c r="I8" s="29">
        <v>1</v>
      </c>
      <c r="J8" s="29">
        <v>1</v>
      </c>
      <c r="K8" s="29">
        <v>0</v>
      </c>
      <c r="N8" s="23" t="s">
        <v>131</v>
      </c>
      <c r="O8" s="30">
        <v>5.0000000000000001E-3</v>
      </c>
      <c r="P8" s="29">
        <v>2</v>
      </c>
      <c r="Q8" s="25"/>
      <c r="R8" s="44"/>
      <c r="S8" s="44"/>
      <c r="T8" s="44"/>
      <c r="U8" s="44"/>
      <c r="W8" s="29"/>
      <c r="X8" s="29"/>
      <c r="Y8" s="29"/>
      <c r="Z8" s="29"/>
      <c r="AA8" s="29"/>
      <c r="AB8" s="29"/>
      <c r="AC8" s="29"/>
    </row>
    <row r="9" spans="1:36" x14ac:dyDescent="0.2">
      <c r="A9" t="s">
        <v>129</v>
      </c>
      <c r="C9" s="25">
        <f>SUM(C10:C11)</f>
        <v>20</v>
      </c>
      <c r="F9" s="23" t="s">
        <v>163</v>
      </c>
      <c r="G9" s="29">
        <v>0</v>
      </c>
      <c r="H9" s="29">
        <v>0</v>
      </c>
      <c r="I9" s="29">
        <v>0</v>
      </c>
      <c r="J9" s="29">
        <v>0</v>
      </c>
      <c r="K9" s="29">
        <v>0</v>
      </c>
      <c r="M9" s="14" t="s">
        <v>164</v>
      </c>
      <c r="O9" s="30"/>
      <c r="P9" s="27" t="s">
        <v>157</v>
      </c>
      <c r="Q9" s="33" t="e">
        <f t="shared" ref="Q9" si="2">SUM(Q10:Q12)/Q27</f>
        <v>#DIV/0!</v>
      </c>
      <c r="R9" s="33" t="e">
        <f t="shared" ref="R9:U9" si="3">SUM(R10:R12)/R27</f>
        <v>#DIV/0!</v>
      </c>
      <c r="S9" s="33" t="e">
        <f t="shared" si="3"/>
        <v>#DIV/0!</v>
      </c>
      <c r="T9" s="33" t="e">
        <f t="shared" si="3"/>
        <v>#DIV/0!</v>
      </c>
      <c r="U9" s="33" t="e">
        <f t="shared" si="3"/>
        <v>#DIV/0!</v>
      </c>
      <c r="W9" s="32"/>
      <c r="X9" s="32"/>
      <c r="Y9" s="32"/>
      <c r="Z9" s="29"/>
      <c r="AA9" s="29"/>
      <c r="AB9" s="29"/>
      <c r="AC9" s="29"/>
    </row>
    <row r="10" spans="1:36" x14ac:dyDescent="0.2">
      <c r="B10" s="23" t="s">
        <v>130</v>
      </c>
      <c r="C10" s="24">
        <v>20</v>
      </c>
      <c r="F10" s="23" t="s">
        <v>131</v>
      </c>
      <c r="G10" s="29">
        <v>0</v>
      </c>
      <c r="H10" s="29">
        <v>0</v>
      </c>
      <c r="I10" s="29">
        <v>0</v>
      </c>
      <c r="J10" s="29">
        <v>0</v>
      </c>
      <c r="K10" s="29">
        <v>0</v>
      </c>
      <c r="N10" s="23" t="s">
        <v>165</v>
      </c>
      <c r="O10" s="30">
        <v>0.02</v>
      </c>
      <c r="P10" s="29">
        <v>2</v>
      </c>
      <c r="Q10" s="25"/>
      <c r="R10" s="44"/>
      <c r="S10" s="44"/>
      <c r="T10" s="44"/>
      <c r="U10" s="44"/>
      <c r="W10" s="29"/>
      <c r="X10" s="29"/>
      <c r="Y10" s="29"/>
      <c r="Z10" s="29"/>
      <c r="AA10" s="29"/>
      <c r="AB10" s="29"/>
      <c r="AC10" s="29"/>
    </row>
    <row r="11" spans="1:36" x14ac:dyDescent="0.2">
      <c r="B11" s="23" t="s">
        <v>132</v>
      </c>
      <c r="C11" s="24">
        <v>0</v>
      </c>
      <c r="E11" s="14" t="s">
        <v>133</v>
      </c>
      <c r="G11" s="34">
        <f>SUM(G12:G18)</f>
        <v>-36</v>
      </c>
      <c r="H11" s="34">
        <f t="shared" ref="H11:K11" si="4">SUM(H12:H18)</f>
        <v>-50</v>
      </c>
      <c r="I11" s="34">
        <f t="shared" si="4"/>
        <v>-56</v>
      </c>
      <c r="J11" s="34">
        <f t="shared" si="4"/>
        <v>-62</v>
      </c>
      <c r="K11" s="34">
        <f t="shared" si="4"/>
        <v>-33</v>
      </c>
      <c r="N11" s="23" t="s">
        <v>166</v>
      </c>
      <c r="O11" s="30">
        <v>0.03</v>
      </c>
      <c r="P11" s="29">
        <v>5</v>
      </c>
      <c r="Q11" s="25"/>
      <c r="R11" s="44"/>
      <c r="S11" s="44"/>
      <c r="T11" s="44"/>
      <c r="U11" s="44"/>
      <c r="W11" s="29"/>
      <c r="X11" s="29"/>
      <c r="Y11" s="29"/>
      <c r="Z11" s="29"/>
      <c r="AA11" s="29"/>
      <c r="AB11" s="29"/>
      <c r="AC11" s="29"/>
    </row>
    <row r="12" spans="1:36" x14ac:dyDescent="0.2">
      <c r="A12" t="s">
        <v>145</v>
      </c>
      <c r="C12" s="25"/>
      <c r="F12" s="23" t="s">
        <v>135</v>
      </c>
      <c r="G12" s="35">
        <v>-1</v>
      </c>
      <c r="H12" s="35">
        <v>-2</v>
      </c>
      <c r="I12" s="35">
        <v>-4</v>
      </c>
      <c r="J12" s="35">
        <v>-5</v>
      </c>
      <c r="K12" s="35">
        <v>-5</v>
      </c>
      <c r="N12" s="23" t="s">
        <v>131</v>
      </c>
      <c r="O12" s="30">
        <v>0.04</v>
      </c>
      <c r="P12" s="29">
        <v>5</v>
      </c>
      <c r="Q12" s="25"/>
      <c r="R12" s="44"/>
      <c r="S12" s="44"/>
      <c r="T12" s="44"/>
      <c r="U12" s="44"/>
      <c r="W12" s="29"/>
      <c r="X12" s="29"/>
      <c r="Y12" s="29"/>
      <c r="Z12" s="29"/>
      <c r="AA12" s="29"/>
      <c r="AB12" s="29"/>
      <c r="AC12" s="29"/>
    </row>
    <row r="13" spans="1:36" x14ac:dyDescent="0.2">
      <c r="B13" t="s">
        <v>167</v>
      </c>
      <c r="C13" s="26">
        <v>40</v>
      </c>
      <c r="F13" s="23" t="s">
        <v>168</v>
      </c>
      <c r="G13" s="35">
        <v>-4</v>
      </c>
      <c r="H13" s="35">
        <v>-8</v>
      </c>
      <c r="I13" s="35">
        <v>-12</v>
      </c>
      <c r="J13" s="35">
        <v>-15</v>
      </c>
      <c r="K13" s="35">
        <v>-18</v>
      </c>
      <c r="M13" s="14" t="s">
        <v>169</v>
      </c>
      <c r="O13" s="30"/>
      <c r="P13" s="27" t="s">
        <v>157</v>
      </c>
      <c r="Q13" s="33" t="e">
        <f t="shared" ref="Q13" si="5">SUM(Q14:Q17)/Q27</f>
        <v>#DIV/0!</v>
      </c>
      <c r="R13" s="33" t="e">
        <f t="shared" ref="R13:U13" si="6">SUM(R14:R17)/R27</f>
        <v>#DIV/0!</v>
      </c>
      <c r="S13" s="33" t="e">
        <f t="shared" si="6"/>
        <v>#DIV/0!</v>
      </c>
      <c r="T13" s="33" t="e">
        <f t="shared" si="6"/>
        <v>#DIV/0!</v>
      </c>
      <c r="U13" s="33" t="e">
        <f t="shared" si="6"/>
        <v>#DIV/0!</v>
      </c>
      <c r="W13" s="32"/>
      <c r="X13" s="32"/>
      <c r="Y13" s="32"/>
      <c r="Z13" s="29"/>
      <c r="AA13" s="29"/>
      <c r="AB13" s="29"/>
      <c r="AC13" s="29"/>
    </row>
    <row r="14" spans="1:36" x14ac:dyDescent="0.2">
      <c r="B14" s="14" t="s">
        <v>134</v>
      </c>
      <c r="C14" s="17">
        <f>SUM(C5,C9,C13)</f>
        <v>315</v>
      </c>
      <c r="F14" s="23" t="s">
        <v>170</v>
      </c>
      <c r="G14" s="35">
        <v>0</v>
      </c>
      <c r="H14" s="35">
        <v>0</v>
      </c>
      <c r="I14" s="35">
        <v>0</v>
      </c>
      <c r="J14" s="35">
        <v>-2</v>
      </c>
      <c r="K14" s="35">
        <v>0</v>
      </c>
      <c r="N14" s="23" t="s">
        <v>171</v>
      </c>
      <c r="O14" s="30">
        <v>0.04</v>
      </c>
      <c r="P14" s="29">
        <v>2</v>
      </c>
      <c r="Q14" s="25"/>
      <c r="R14" s="44"/>
      <c r="S14" s="44"/>
      <c r="T14" s="44"/>
      <c r="U14" s="44"/>
      <c r="W14" s="29"/>
      <c r="X14" s="29"/>
      <c r="Y14" s="29"/>
      <c r="Z14" s="29"/>
      <c r="AA14" s="29"/>
      <c r="AB14" s="29"/>
      <c r="AC14" s="29"/>
    </row>
    <row r="15" spans="1:36" x14ac:dyDescent="0.2">
      <c r="F15" s="23" t="s">
        <v>140</v>
      </c>
      <c r="G15" s="35">
        <v>-30</v>
      </c>
      <c r="H15" s="35">
        <v>-40</v>
      </c>
      <c r="I15" s="35">
        <v>-40</v>
      </c>
      <c r="J15" s="35">
        <v>-40</v>
      </c>
      <c r="K15" s="35">
        <v>-10</v>
      </c>
      <c r="N15" s="23" t="s">
        <v>172</v>
      </c>
      <c r="O15" s="30">
        <v>0.04</v>
      </c>
      <c r="P15" s="29">
        <v>2</v>
      </c>
      <c r="Q15" s="25"/>
      <c r="R15" s="44"/>
      <c r="S15" s="44"/>
      <c r="T15" s="44"/>
      <c r="U15" s="44"/>
      <c r="W15" s="29"/>
      <c r="X15" s="29"/>
      <c r="Y15" s="29"/>
      <c r="Z15" s="29"/>
      <c r="AA15" s="29"/>
      <c r="AB15" s="29"/>
      <c r="AC15" s="29"/>
    </row>
    <row r="16" spans="1:36" x14ac:dyDescent="0.2">
      <c r="B16" s="14" t="s">
        <v>136</v>
      </c>
      <c r="F16" s="23" t="s">
        <v>163</v>
      </c>
      <c r="G16" s="35">
        <v>0</v>
      </c>
      <c r="H16" s="35">
        <v>0</v>
      </c>
      <c r="I16" s="35">
        <v>0</v>
      </c>
      <c r="J16" s="35">
        <v>0</v>
      </c>
      <c r="K16" s="35">
        <v>0</v>
      </c>
      <c r="N16" s="23" t="s">
        <v>173</v>
      </c>
      <c r="O16" s="30">
        <v>0.03</v>
      </c>
      <c r="P16" s="29">
        <v>5</v>
      </c>
      <c r="Q16" s="25"/>
      <c r="R16" s="44"/>
      <c r="S16" s="44"/>
      <c r="T16" s="44"/>
      <c r="U16" s="44"/>
      <c r="W16" s="29"/>
      <c r="X16" s="29"/>
      <c r="Y16" s="29"/>
      <c r="Z16" s="29"/>
      <c r="AA16" s="29"/>
      <c r="AB16" s="29"/>
      <c r="AC16" s="29"/>
    </row>
    <row r="17" spans="1:33" x14ac:dyDescent="0.2">
      <c r="A17" t="s">
        <v>137</v>
      </c>
      <c r="C17" s="21">
        <f>SUM(C18:C19)</f>
        <v>10</v>
      </c>
      <c r="F17" s="23" t="s">
        <v>174</v>
      </c>
      <c r="G17" s="35">
        <v>-1</v>
      </c>
      <c r="H17" s="35">
        <v>0</v>
      </c>
      <c r="I17" s="35">
        <v>0</v>
      </c>
      <c r="J17" s="35">
        <v>0</v>
      </c>
      <c r="K17" s="35">
        <v>0</v>
      </c>
      <c r="N17" s="23" t="s">
        <v>131</v>
      </c>
      <c r="O17" s="30">
        <v>0.04</v>
      </c>
      <c r="P17" s="29">
        <v>5</v>
      </c>
      <c r="Q17" s="25"/>
      <c r="R17" s="44"/>
      <c r="S17" s="44"/>
      <c r="T17" s="44"/>
      <c r="U17" s="44"/>
      <c r="W17" s="29"/>
      <c r="X17" s="29"/>
      <c r="Y17" s="29"/>
      <c r="Z17" s="29"/>
      <c r="AA17" s="29"/>
      <c r="AB17" s="29"/>
      <c r="AC17" s="29"/>
    </row>
    <row r="18" spans="1:33" x14ac:dyDescent="0.2">
      <c r="B18" s="23" t="s">
        <v>128</v>
      </c>
      <c r="C18" s="24">
        <v>10</v>
      </c>
      <c r="F18" s="23" t="s">
        <v>131</v>
      </c>
      <c r="G18" s="29">
        <v>0</v>
      </c>
      <c r="H18" s="29">
        <v>0</v>
      </c>
      <c r="I18" s="29">
        <v>0</v>
      </c>
      <c r="J18" s="29">
        <v>0</v>
      </c>
      <c r="K18" s="29">
        <v>0</v>
      </c>
      <c r="M18" s="14" t="s">
        <v>175</v>
      </c>
      <c r="O18" s="30"/>
      <c r="P18" s="27" t="s">
        <v>157</v>
      </c>
      <c r="Q18" s="33" t="e">
        <f t="shared" ref="Q18" si="7">SUM(Q19:Q21)/Q27</f>
        <v>#DIV/0!</v>
      </c>
      <c r="R18" s="33" t="e">
        <f t="shared" ref="R18:U18" si="8">SUM(R19:R21)/R27</f>
        <v>#DIV/0!</v>
      </c>
      <c r="S18" s="33" t="e">
        <f t="shared" si="8"/>
        <v>#DIV/0!</v>
      </c>
      <c r="T18" s="33" t="e">
        <f t="shared" si="8"/>
        <v>#DIV/0!</v>
      </c>
      <c r="U18" s="33" t="e">
        <f t="shared" si="8"/>
        <v>#DIV/0!</v>
      </c>
      <c r="W18" s="32"/>
      <c r="X18" s="32"/>
      <c r="Y18" s="32"/>
      <c r="Z18" s="29"/>
      <c r="AA18" s="29"/>
      <c r="AB18" s="29"/>
      <c r="AC18" s="29"/>
    </row>
    <row r="19" spans="1:33" x14ac:dyDescent="0.2">
      <c r="B19" s="23" t="s">
        <v>138</v>
      </c>
      <c r="C19" s="24">
        <v>0</v>
      </c>
      <c r="E19" s="14" t="s">
        <v>143</v>
      </c>
      <c r="G19" s="34">
        <f>SUM(G5,G11)</f>
        <v>-32</v>
      </c>
      <c r="H19" s="34">
        <f t="shared" ref="H19:K19" si="9">SUM(H5,H11)</f>
        <v>-43</v>
      </c>
      <c r="I19" s="34">
        <f t="shared" si="9"/>
        <v>-48</v>
      </c>
      <c r="J19" s="34">
        <f t="shared" si="9"/>
        <v>-46</v>
      </c>
      <c r="K19" s="34">
        <f t="shared" si="9"/>
        <v>-10</v>
      </c>
      <c r="N19" s="23" t="s">
        <v>176</v>
      </c>
      <c r="O19" s="30">
        <v>0.02</v>
      </c>
      <c r="P19" s="29">
        <v>1</v>
      </c>
      <c r="Q19" s="25"/>
      <c r="R19" s="44"/>
      <c r="S19" s="44"/>
      <c r="T19" s="44"/>
      <c r="U19" s="44"/>
      <c r="W19" s="29"/>
      <c r="X19" s="29"/>
      <c r="Y19" s="29"/>
      <c r="Z19" s="29"/>
      <c r="AA19" s="29"/>
      <c r="AB19" s="29"/>
      <c r="AC19" s="29"/>
    </row>
    <row r="20" spans="1:33" x14ac:dyDescent="0.2">
      <c r="A20" t="s">
        <v>177</v>
      </c>
      <c r="C20" s="25">
        <f>SUM(C21)</f>
        <v>0</v>
      </c>
      <c r="N20" s="23" t="s">
        <v>178</v>
      </c>
      <c r="O20" s="30">
        <v>0.03</v>
      </c>
      <c r="P20" s="29">
        <v>5</v>
      </c>
      <c r="Q20" s="25"/>
      <c r="R20" s="44"/>
      <c r="S20" s="44"/>
      <c r="T20" s="44"/>
      <c r="U20" s="44"/>
      <c r="W20" s="29"/>
      <c r="X20" s="29"/>
      <c r="Y20" s="29"/>
      <c r="Z20" s="29"/>
      <c r="AA20" s="29"/>
      <c r="AB20" s="29"/>
      <c r="AC20" s="29"/>
    </row>
    <row r="21" spans="1:33" x14ac:dyDescent="0.2">
      <c r="B21" t="s">
        <v>139</v>
      </c>
      <c r="C21" s="25">
        <v>0</v>
      </c>
      <c r="F21" s="23" t="s">
        <v>144</v>
      </c>
      <c r="G21" s="29">
        <f>C6</f>
        <v>250</v>
      </c>
      <c r="H21" s="35">
        <f>G21-G22+G23+G19</f>
        <v>218</v>
      </c>
      <c r="I21" s="35">
        <f t="shared" ref="I21:K21" si="10">H21-H22+H23+H19</f>
        <v>175</v>
      </c>
      <c r="J21" s="35">
        <f t="shared" si="10"/>
        <v>127</v>
      </c>
      <c r="K21" s="35">
        <f t="shared" si="10"/>
        <v>81</v>
      </c>
      <c r="N21" s="23" t="s">
        <v>179</v>
      </c>
      <c r="O21" s="30">
        <v>1E-3</v>
      </c>
      <c r="P21" s="29">
        <v>5</v>
      </c>
      <c r="Q21" s="25"/>
      <c r="R21" s="44"/>
      <c r="S21" s="44"/>
      <c r="T21" s="44"/>
      <c r="U21" s="44"/>
      <c r="W21" s="29"/>
      <c r="X21" s="29"/>
      <c r="Y21" s="29"/>
      <c r="Z21" s="29"/>
      <c r="AA21" s="29"/>
      <c r="AB21" s="29"/>
      <c r="AC21" s="29"/>
    </row>
    <row r="22" spans="1:33" x14ac:dyDescent="0.2">
      <c r="A22" t="s">
        <v>141</v>
      </c>
      <c r="C22" s="26">
        <v>305</v>
      </c>
      <c r="F22" s="23" t="s">
        <v>180</v>
      </c>
      <c r="G22" s="29">
        <v>0</v>
      </c>
      <c r="H22" s="161"/>
      <c r="I22" s="161"/>
      <c r="J22" s="161"/>
      <c r="K22" s="161"/>
      <c r="M22" s="14" t="s">
        <v>181</v>
      </c>
      <c r="O22" s="30"/>
      <c r="P22" s="27" t="s">
        <v>157</v>
      </c>
      <c r="Q22" s="33" t="e">
        <f t="shared" ref="Q22" si="11">SUM(Q23:Q25)/Q27</f>
        <v>#DIV/0!</v>
      </c>
      <c r="R22" s="33" t="e">
        <f t="shared" ref="R22:U22" si="12">SUM(R23:R25)/R27</f>
        <v>#DIV/0!</v>
      </c>
      <c r="S22" s="33" t="e">
        <f t="shared" si="12"/>
        <v>#DIV/0!</v>
      </c>
      <c r="T22" s="33" t="e">
        <f t="shared" si="12"/>
        <v>#DIV/0!</v>
      </c>
      <c r="U22" s="33" t="e">
        <f t="shared" si="12"/>
        <v>#DIV/0!</v>
      </c>
      <c r="W22" s="32"/>
      <c r="X22" s="32"/>
      <c r="Y22" s="32"/>
      <c r="Z22" s="29"/>
      <c r="AA22" s="29"/>
      <c r="AB22" s="29"/>
      <c r="AC22" s="29"/>
    </row>
    <row r="23" spans="1:33" x14ac:dyDescent="0.2">
      <c r="B23" s="14" t="s">
        <v>142</v>
      </c>
      <c r="C23" s="17">
        <f>SUM(C17,C20,C22)</f>
        <v>315</v>
      </c>
      <c r="F23" s="23" t="s">
        <v>182</v>
      </c>
      <c r="G23" s="29">
        <v>0</v>
      </c>
      <c r="H23" s="161"/>
      <c r="I23" s="161"/>
      <c r="J23" s="161"/>
      <c r="K23" s="161"/>
      <c r="N23" s="23" t="s">
        <v>183</v>
      </c>
      <c r="O23" s="30">
        <v>0.12</v>
      </c>
      <c r="P23" s="29">
        <v>90</v>
      </c>
      <c r="Q23" s="25"/>
      <c r="R23" s="44"/>
      <c r="S23" s="44"/>
      <c r="T23" s="44"/>
      <c r="U23" s="44"/>
      <c r="W23" s="29"/>
      <c r="X23" s="29"/>
      <c r="Y23" s="29"/>
      <c r="Z23" s="29"/>
      <c r="AA23" s="29"/>
      <c r="AB23" s="29"/>
      <c r="AC23" s="29"/>
    </row>
    <row r="24" spans="1:33" x14ac:dyDescent="0.2">
      <c r="E24" s="14" t="s">
        <v>184</v>
      </c>
      <c r="G24" s="15"/>
      <c r="H24" s="34">
        <f>SUM(H21:H23)-SUM(G21:G23)</f>
        <v>-32</v>
      </c>
      <c r="I24" s="34">
        <f t="shared" ref="I24:K24" si="13">SUM(I21:I23)-SUM(H21:H23)</f>
        <v>-43</v>
      </c>
      <c r="J24" s="34">
        <f t="shared" si="13"/>
        <v>-48</v>
      </c>
      <c r="K24" s="34">
        <f t="shared" si="13"/>
        <v>-46</v>
      </c>
      <c r="N24" s="23" t="s">
        <v>185</v>
      </c>
      <c r="O24" s="30">
        <v>0.15</v>
      </c>
      <c r="P24" s="29">
        <v>180</v>
      </c>
      <c r="Q24" s="25"/>
      <c r="R24" s="44"/>
      <c r="S24" s="44"/>
      <c r="T24" s="44"/>
      <c r="U24" s="44"/>
      <c r="W24" s="29"/>
      <c r="X24" s="29"/>
      <c r="Y24" s="29"/>
      <c r="Z24" s="29"/>
      <c r="AA24" s="29"/>
      <c r="AB24" s="29"/>
      <c r="AC24" s="29"/>
    </row>
    <row r="25" spans="1:33" x14ac:dyDescent="0.2">
      <c r="N25" s="23" t="s">
        <v>186</v>
      </c>
      <c r="O25" s="30">
        <v>0.1</v>
      </c>
      <c r="P25" s="29">
        <v>90</v>
      </c>
      <c r="Q25" s="26"/>
      <c r="R25" s="138"/>
      <c r="S25" s="138"/>
      <c r="T25" s="138"/>
      <c r="U25" s="138"/>
      <c r="W25" s="29"/>
      <c r="X25" s="29"/>
      <c r="Y25" s="29"/>
      <c r="Z25" s="29"/>
      <c r="AA25" s="29"/>
      <c r="AB25" s="29"/>
      <c r="AC25" s="29"/>
    </row>
    <row r="26" spans="1:33" x14ac:dyDescent="0.2">
      <c r="N26" s="14" t="s">
        <v>187</v>
      </c>
      <c r="W26" s="32"/>
      <c r="X26" s="32"/>
      <c r="Y26" s="32"/>
      <c r="Z26" s="29"/>
      <c r="AA26" s="29"/>
      <c r="AB26" s="29"/>
      <c r="AC26" s="29"/>
      <c r="AD26" s="29"/>
      <c r="AE26" s="29"/>
      <c r="AF26" s="29"/>
      <c r="AG26" s="29"/>
    </row>
    <row r="27" spans="1:33" x14ac:dyDescent="0.2">
      <c r="Q27" s="29"/>
      <c r="R27" s="29">
        <f t="shared" ref="R27:U27" si="14">SUM(R6:R8,R10:R12,R14:R17,R19:R21,R23:R25)</f>
        <v>0</v>
      </c>
      <c r="S27" s="29">
        <f t="shared" si="14"/>
        <v>0</v>
      </c>
      <c r="T27" s="29">
        <f t="shared" si="14"/>
        <v>0</v>
      </c>
      <c r="U27" s="29">
        <f t="shared" si="14"/>
        <v>0</v>
      </c>
    </row>
    <row r="28" spans="1:33" x14ac:dyDescent="0.2">
      <c r="N28" s="23" t="s">
        <v>188</v>
      </c>
      <c r="Q28" s="29"/>
      <c r="R28" s="28" t="e">
        <f t="shared" ref="R28:T28" si="15">SUM(R6*$P$6+R7*$P$7+R8*$P$8+R10*$P$10+R11*$P$11+R12*$P$12+R14*$P$14+R15*$P$15+R16*$P$16+R17*$P$17+R19*$P$19+R20*$P$20+R21*$P$21+R23*$P$23+R24*$P$24+R25*$P$25)/R27</f>
        <v>#DIV/0!</v>
      </c>
      <c r="S28" s="28" t="e">
        <f t="shared" si="15"/>
        <v>#DIV/0!</v>
      </c>
      <c r="T28" s="28" t="e">
        <f t="shared" si="15"/>
        <v>#DIV/0!</v>
      </c>
      <c r="U28" s="28" t="e">
        <f>SUM(U6*$P$6+U7*$P$7+U8*$P$8+U10*$P$10+U11*$P$11+U12*$P$12+U14*$P$14+U15*$P$15+U16*$P$16+U17*$P$17+U19*$P$19+U20*$P$20+U21*$P$21+U23*$P$23+U24*$P$24+U25*$P$25)/U27</f>
        <v>#DIV/0!</v>
      </c>
    </row>
    <row r="29" spans="1:33" x14ac:dyDescent="0.2">
      <c r="N29" s="23" t="s">
        <v>208</v>
      </c>
      <c r="Q29" s="30"/>
      <c r="R29" s="30" t="e">
        <f t="shared" ref="R29:U29" si="16">SUM(R6*$O$6+R7*$O$7+R8*$O$8+R10*$O$10+R11*$O$11+R12*$O$12+R14*$O$14+R15*$O$15+R16*$O$16+R17*$O$17+R19*$O$19+R20*$O$20+R21*$O$21+R23*$O$23+R24*$O$24+R25*$O$25)/R27</f>
        <v>#DIV/0!</v>
      </c>
      <c r="S29" s="30" t="e">
        <f t="shared" si="16"/>
        <v>#DIV/0!</v>
      </c>
      <c r="T29" s="30" t="e">
        <f t="shared" si="16"/>
        <v>#DIV/0!</v>
      </c>
      <c r="U29" s="30" t="e">
        <f t="shared" si="16"/>
        <v>#DIV/0!</v>
      </c>
    </row>
  </sheetData>
  <mergeCells count="1">
    <mergeCell ref="G3:J3"/>
  </mergeCells>
  <pageMargins left="0.7" right="0.7" top="0.75" bottom="0.75" header="0.3" footer="0.3"/>
  <pageSetup orientation="portrait" horizontalDpi="4294967294"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FFFF00"/>
  </sheetPr>
  <dimension ref="A1:C12"/>
  <sheetViews>
    <sheetView workbookViewId="0"/>
  </sheetViews>
  <sheetFormatPr baseColWidth="10" defaultColWidth="10.83203125" defaultRowHeight="29" x14ac:dyDescent="0.35"/>
  <cols>
    <col min="1" max="1" width="4.5" style="8" customWidth="1"/>
    <col min="2" max="2" width="26.5" style="8" customWidth="1"/>
    <col min="3" max="3" width="170.83203125" style="8" customWidth="1"/>
    <col min="4" max="16384" width="10.83203125" style="8"/>
  </cols>
  <sheetData>
    <row r="1" spans="1:3" ht="30" thickBot="1" x14ac:dyDescent="0.4">
      <c r="A1" s="6"/>
      <c r="B1" s="6"/>
      <c r="C1" s="6"/>
    </row>
    <row r="2" spans="1:3" ht="30" thickBot="1" x14ac:dyDescent="0.4">
      <c r="A2" s="6"/>
      <c r="B2" s="140" t="s">
        <v>113</v>
      </c>
      <c r="C2" s="141" t="s">
        <v>189</v>
      </c>
    </row>
    <row r="3" spans="1:3" ht="190" thickBot="1" x14ac:dyDescent="0.4">
      <c r="A3" s="6"/>
      <c r="B3" s="142" t="s">
        <v>114</v>
      </c>
      <c r="C3" s="143" t="s">
        <v>438</v>
      </c>
    </row>
    <row r="4" spans="1:3" ht="82" thickBot="1" x14ac:dyDescent="0.4">
      <c r="B4" s="140" t="s">
        <v>115</v>
      </c>
      <c r="C4" s="144" t="s">
        <v>398</v>
      </c>
    </row>
    <row r="6" spans="1:3" x14ac:dyDescent="0.35">
      <c r="B6" s="139"/>
      <c r="C6" s="6" t="s">
        <v>397</v>
      </c>
    </row>
    <row r="7" spans="1:3" x14ac:dyDescent="0.35">
      <c r="B7" s="148">
        <v>1</v>
      </c>
      <c r="C7" s="147"/>
    </row>
    <row r="8" spans="1:3" x14ac:dyDescent="0.35">
      <c r="B8" s="148">
        <v>2</v>
      </c>
      <c r="C8" s="147"/>
    </row>
    <row r="9" spans="1:3" x14ac:dyDescent="0.35">
      <c r="B9" s="148">
        <v>3</v>
      </c>
      <c r="C9" s="147"/>
    </row>
    <row r="10" spans="1:3" x14ac:dyDescent="0.35">
      <c r="B10" s="139"/>
      <c r="C10" s="6"/>
    </row>
    <row r="11" spans="1:3" x14ac:dyDescent="0.35">
      <c r="C11" s="8" t="s">
        <v>399</v>
      </c>
    </row>
    <row r="12" spans="1:3" x14ac:dyDescent="0.35">
      <c r="B12" s="148"/>
      <c r="C12" s="147"/>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FFFF00"/>
  </sheetPr>
  <dimension ref="A2:U30"/>
  <sheetViews>
    <sheetView workbookViewId="0"/>
  </sheetViews>
  <sheetFormatPr baseColWidth="10" defaultColWidth="8.83203125" defaultRowHeight="15" x14ac:dyDescent="0.2"/>
  <cols>
    <col min="1" max="1" width="5" customWidth="1"/>
    <col min="2" max="2" width="27.6640625" customWidth="1"/>
    <col min="3" max="3" width="9.6640625" style="15" bestFit="1" customWidth="1"/>
    <col min="5" max="5" width="4.5" customWidth="1"/>
    <col min="6" max="6" width="29.5" customWidth="1"/>
    <col min="13" max="13" width="4.6640625" customWidth="1"/>
    <col min="14" max="14" width="24.33203125" customWidth="1"/>
    <col min="17" max="17" width="9.6640625" bestFit="1" customWidth="1"/>
  </cols>
  <sheetData>
    <row r="2" spans="1:21" x14ac:dyDescent="0.2">
      <c r="A2" s="14" t="s">
        <v>190</v>
      </c>
      <c r="E2" s="14" t="s">
        <v>191</v>
      </c>
      <c r="M2" s="14" t="s">
        <v>192</v>
      </c>
      <c r="O2" s="29" t="s">
        <v>151</v>
      </c>
      <c r="P2" s="29" t="s">
        <v>151</v>
      </c>
    </row>
    <row r="3" spans="1:21" x14ac:dyDescent="0.2">
      <c r="C3" s="16" t="s">
        <v>116</v>
      </c>
      <c r="G3" s="273">
        <v>2020</v>
      </c>
      <c r="H3" s="273"/>
      <c r="I3" s="273"/>
      <c r="J3" s="273"/>
      <c r="K3" s="17">
        <v>2021</v>
      </c>
      <c r="O3" s="29" t="s">
        <v>152</v>
      </c>
      <c r="P3" s="29" t="s">
        <v>153</v>
      </c>
      <c r="Q3" s="17" t="s">
        <v>118</v>
      </c>
      <c r="R3" s="17" t="s">
        <v>119</v>
      </c>
      <c r="S3" s="17" t="s">
        <v>120</v>
      </c>
      <c r="T3" s="17" t="s">
        <v>121</v>
      </c>
      <c r="U3" s="17" t="s">
        <v>118</v>
      </c>
    </row>
    <row r="4" spans="1:21" x14ac:dyDescent="0.2">
      <c r="B4" s="14" t="s">
        <v>117</v>
      </c>
      <c r="C4" s="19"/>
      <c r="E4" s="20" t="s">
        <v>116</v>
      </c>
      <c r="G4" s="17" t="s">
        <v>118</v>
      </c>
      <c r="H4" s="17" t="s">
        <v>119</v>
      </c>
      <c r="I4" s="17" t="s">
        <v>120</v>
      </c>
      <c r="J4" s="17" t="s">
        <v>121</v>
      </c>
      <c r="K4" s="17" t="s">
        <v>118</v>
      </c>
      <c r="O4" s="29" t="s">
        <v>154</v>
      </c>
      <c r="P4" s="29" t="s">
        <v>155</v>
      </c>
      <c r="Q4" s="15" t="s">
        <v>122</v>
      </c>
      <c r="R4" s="15" t="s">
        <v>122</v>
      </c>
      <c r="S4" s="15" t="s">
        <v>122</v>
      </c>
      <c r="T4" s="15" t="s">
        <v>122</v>
      </c>
      <c r="U4" s="15" t="s">
        <v>122</v>
      </c>
    </row>
    <row r="5" spans="1:21" x14ac:dyDescent="0.2">
      <c r="C5" s="21"/>
      <c r="E5" s="14" t="s">
        <v>124</v>
      </c>
      <c r="G5" s="15">
        <f>SUM(G6:G10)</f>
        <v>15</v>
      </c>
      <c r="H5" s="15">
        <f t="shared" ref="H5:K5" si="0">SUM(H6:H10)</f>
        <v>17</v>
      </c>
      <c r="I5" s="15">
        <f t="shared" si="0"/>
        <v>17</v>
      </c>
      <c r="J5" s="15">
        <f t="shared" si="0"/>
        <v>19</v>
      </c>
      <c r="K5" s="15">
        <f t="shared" si="0"/>
        <v>17</v>
      </c>
      <c r="M5" s="22" t="s">
        <v>156</v>
      </c>
      <c r="O5" s="30"/>
      <c r="P5" s="27" t="s">
        <v>157</v>
      </c>
      <c r="Q5" s="31" t="e">
        <f>SUM(Q6:Q8)/Q27</f>
        <v>#DIV/0!</v>
      </c>
      <c r="R5" s="31" t="e">
        <f>SUM(R6:R8)/R27</f>
        <v>#DIV/0!</v>
      </c>
      <c r="S5" s="31" t="e">
        <f>SUM(S6:S8)/S27</f>
        <v>#DIV/0!</v>
      </c>
      <c r="T5" s="31" t="e">
        <f>SUM(T6:T8)/T27</f>
        <v>#DIV/0!</v>
      </c>
      <c r="U5" s="31" t="e">
        <f>SUM(U6:U8)/U27</f>
        <v>#DIV/0!</v>
      </c>
    </row>
    <row r="6" spans="1:21" x14ac:dyDescent="0.2">
      <c r="B6" s="36" t="s">
        <v>125</v>
      </c>
      <c r="C6" s="37">
        <v>10</v>
      </c>
      <c r="F6" s="23" t="s">
        <v>193</v>
      </c>
      <c r="G6" s="29">
        <v>13</v>
      </c>
      <c r="H6" s="29">
        <v>14</v>
      </c>
      <c r="I6" s="29">
        <v>14</v>
      </c>
      <c r="J6" s="29">
        <v>15</v>
      </c>
      <c r="K6" s="29">
        <v>14</v>
      </c>
      <c r="L6" s="29"/>
      <c r="N6" s="23" t="s">
        <v>158</v>
      </c>
      <c r="O6" s="30">
        <v>2E-3</v>
      </c>
      <c r="P6" s="29">
        <v>1</v>
      </c>
      <c r="Q6" s="44"/>
      <c r="R6" s="44"/>
      <c r="S6" s="44"/>
      <c r="T6" s="44"/>
      <c r="U6" s="44"/>
    </row>
    <row r="7" spans="1:21" x14ac:dyDescent="0.2">
      <c r="B7" s="36" t="s">
        <v>194</v>
      </c>
      <c r="C7" s="37">
        <v>4</v>
      </c>
      <c r="F7" s="23" t="s">
        <v>195</v>
      </c>
      <c r="G7" s="29">
        <v>1</v>
      </c>
      <c r="H7" s="29">
        <v>2</v>
      </c>
      <c r="I7" s="29">
        <v>2</v>
      </c>
      <c r="J7" s="29">
        <v>3</v>
      </c>
      <c r="K7" s="29">
        <v>2</v>
      </c>
      <c r="N7" s="23" t="s">
        <v>161</v>
      </c>
      <c r="O7" s="30">
        <v>0.01</v>
      </c>
      <c r="P7" s="29">
        <v>2</v>
      </c>
      <c r="Q7" s="44"/>
      <c r="R7" s="44"/>
      <c r="S7" s="44"/>
      <c r="T7" s="44"/>
      <c r="U7" s="44"/>
    </row>
    <row r="8" spans="1:21" x14ac:dyDescent="0.2">
      <c r="B8" s="36" t="s">
        <v>196</v>
      </c>
      <c r="C8" s="37">
        <v>8</v>
      </c>
      <c r="F8" s="23" t="s">
        <v>162</v>
      </c>
      <c r="G8" s="29">
        <v>1</v>
      </c>
      <c r="H8" s="29">
        <v>1</v>
      </c>
      <c r="I8" s="29">
        <v>1</v>
      </c>
      <c r="J8" s="29">
        <v>1</v>
      </c>
      <c r="K8" s="29">
        <v>1</v>
      </c>
      <c r="N8" s="23" t="s">
        <v>131</v>
      </c>
      <c r="O8" s="30">
        <v>5.0000000000000001E-3</v>
      </c>
      <c r="P8" s="29">
        <v>2</v>
      </c>
      <c r="Q8" s="44"/>
      <c r="R8" s="44"/>
      <c r="S8" s="44"/>
      <c r="T8" s="44"/>
      <c r="U8" s="44"/>
    </row>
    <row r="9" spans="1:21" x14ac:dyDescent="0.2">
      <c r="B9" s="36" t="s">
        <v>162</v>
      </c>
      <c r="C9" s="37">
        <v>12</v>
      </c>
      <c r="F9" s="23" t="s">
        <v>163</v>
      </c>
      <c r="G9" s="29">
        <v>0</v>
      </c>
      <c r="H9" s="29">
        <v>0</v>
      </c>
      <c r="I9" s="29">
        <v>0</v>
      </c>
      <c r="J9" s="29">
        <v>0</v>
      </c>
      <c r="K9" s="29">
        <v>0</v>
      </c>
      <c r="M9" s="14" t="s">
        <v>164</v>
      </c>
      <c r="O9" s="30"/>
      <c r="P9" s="27" t="s">
        <v>157</v>
      </c>
      <c r="Q9" s="33" t="e">
        <f>SUM(Q10:Q12)/Q27</f>
        <v>#DIV/0!</v>
      </c>
      <c r="R9" s="33" t="e">
        <f>SUM(R10:R12)/R27</f>
        <v>#DIV/0!</v>
      </c>
      <c r="S9" s="33" t="e">
        <f>SUM(S10:S12)/S27</f>
        <v>#DIV/0!</v>
      </c>
      <c r="T9" s="33" t="e">
        <f>SUM(T10:T12)/T27</f>
        <v>#DIV/0!</v>
      </c>
      <c r="U9" s="33" t="e">
        <f>SUM(U10:U12)/U27</f>
        <v>#DIV/0!</v>
      </c>
    </row>
    <row r="10" spans="1:21" x14ac:dyDescent="0.2">
      <c r="B10" s="36" t="s">
        <v>197</v>
      </c>
      <c r="C10" s="37">
        <v>1</v>
      </c>
      <c r="F10" s="23" t="s">
        <v>131</v>
      </c>
      <c r="G10" s="29">
        <v>0</v>
      </c>
      <c r="H10" s="29">
        <v>0</v>
      </c>
      <c r="I10" s="29">
        <v>0</v>
      </c>
      <c r="J10" s="29">
        <v>0</v>
      </c>
      <c r="K10" s="29">
        <v>0</v>
      </c>
      <c r="N10" s="23" t="s">
        <v>165</v>
      </c>
      <c r="O10" s="30">
        <v>0.02</v>
      </c>
      <c r="P10" s="29">
        <v>2</v>
      </c>
      <c r="Q10" s="44"/>
      <c r="R10" s="44"/>
      <c r="S10" s="44"/>
      <c r="T10" s="44"/>
      <c r="U10" s="44"/>
    </row>
    <row r="11" spans="1:21" x14ac:dyDescent="0.2">
      <c r="B11" s="36" t="s">
        <v>198</v>
      </c>
      <c r="C11" s="37">
        <v>44</v>
      </c>
      <c r="E11" s="14" t="s">
        <v>133</v>
      </c>
      <c r="G11" s="34">
        <f>SUM(G12:G17)</f>
        <v>-10.9</v>
      </c>
      <c r="H11" s="34">
        <f>SUM(H12:H17)</f>
        <v>-11.8</v>
      </c>
      <c r="I11" s="34">
        <f>SUM(I12:I17)</f>
        <v>-10.8</v>
      </c>
      <c r="J11" s="34">
        <f>SUM(J12:J17)</f>
        <v>-11.7</v>
      </c>
      <c r="K11" s="34">
        <f>SUM(K12:K17)</f>
        <v>-11.8</v>
      </c>
      <c r="N11" s="23" t="s">
        <v>166</v>
      </c>
      <c r="O11" s="30">
        <v>0.03</v>
      </c>
      <c r="P11" s="29">
        <v>5</v>
      </c>
      <c r="Q11" s="44"/>
      <c r="R11" s="44"/>
      <c r="S11" s="44"/>
      <c r="T11" s="44"/>
      <c r="U11" s="44"/>
    </row>
    <row r="12" spans="1:21" x14ac:dyDescent="0.2">
      <c r="B12" t="s">
        <v>145</v>
      </c>
      <c r="C12" s="38">
        <v>2</v>
      </c>
      <c r="F12" s="23" t="s">
        <v>135</v>
      </c>
      <c r="G12" s="35">
        <v>-2</v>
      </c>
      <c r="H12" s="35">
        <v>-2</v>
      </c>
      <c r="I12" s="35">
        <v>-2</v>
      </c>
      <c r="J12" s="35">
        <v>-2</v>
      </c>
      <c r="K12" s="35">
        <v>-3</v>
      </c>
      <c r="N12" s="23" t="s">
        <v>131</v>
      </c>
      <c r="O12" s="30">
        <v>0.04</v>
      </c>
      <c r="P12" s="29">
        <v>5</v>
      </c>
      <c r="Q12" s="44"/>
      <c r="R12" s="44"/>
      <c r="S12" s="44"/>
      <c r="T12" s="44"/>
      <c r="U12" s="44"/>
    </row>
    <row r="13" spans="1:21" x14ac:dyDescent="0.2">
      <c r="B13" s="14" t="s">
        <v>134</v>
      </c>
      <c r="C13" s="17">
        <f>SUM(C5:C12)</f>
        <v>81</v>
      </c>
      <c r="F13" s="23" t="s">
        <v>199</v>
      </c>
      <c r="G13" s="35">
        <f>G6*-0.75</f>
        <v>-9.75</v>
      </c>
      <c r="H13" s="35">
        <f t="shared" ref="H13:K13" si="1">H6*-0.75</f>
        <v>-10.5</v>
      </c>
      <c r="I13" s="35">
        <f t="shared" si="1"/>
        <v>-10.5</v>
      </c>
      <c r="J13" s="35">
        <f t="shared" si="1"/>
        <v>-11.25</v>
      </c>
      <c r="K13" s="35">
        <f t="shared" si="1"/>
        <v>-10.5</v>
      </c>
      <c r="M13" s="14" t="s">
        <v>169</v>
      </c>
      <c r="O13" s="30"/>
      <c r="P13" s="27" t="s">
        <v>157</v>
      </c>
      <c r="Q13" s="33" t="e">
        <f>SUM(Q14:Q17)/Q27</f>
        <v>#DIV/0!</v>
      </c>
      <c r="R13" s="33" t="e">
        <f>SUM(R14:R17)/R27</f>
        <v>#DIV/0!</v>
      </c>
      <c r="S13" s="33" t="e">
        <f>SUM(S14:S17)/S27</f>
        <v>#DIV/0!</v>
      </c>
      <c r="T13" s="33" t="e">
        <f>SUM(T14:T17)/T27</f>
        <v>#DIV/0!</v>
      </c>
      <c r="U13" s="33" t="e">
        <f>SUM(U14:U17)/U27</f>
        <v>#DIV/0!</v>
      </c>
    </row>
    <row r="14" spans="1:21" x14ac:dyDescent="0.2">
      <c r="F14" s="23" t="s">
        <v>200</v>
      </c>
      <c r="G14" s="35">
        <f>G7*0.85</f>
        <v>0.85</v>
      </c>
      <c r="H14" s="35">
        <f t="shared" ref="H14:K14" si="2">H7*0.85</f>
        <v>1.7</v>
      </c>
      <c r="I14" s="35">
        <f t="shared" si="2"/>
        <v>1.7</v>
      </c>
      <c r="J14" s="35">
        <f t="shared" si="2"/>
        <v>2.5499999999999998</v>
      </c>
      <c r="K14" s="35">
        <f t="shared" si="2"/>
        <v>1.7</v>
      </c>
      <c r="N14" s="23" t="s">
        <v>171</v>
      </c>
      <c r="O14" s="30">
        <v>0.04</v>
      </c>
      <c r="P14" s="29">
        <v>2</v>
      </c>
      <c r="Q14" s="44"/>
      <c r="R14" s="44"/>
      <c r="S14" s="44"/>
      <c r="T14" s="44"/>
      <c r="U14" s="44"/>
    </row>
    <row r="15" spans="1:21" x14ac:dyDescent="0.2">
      <c r="B15" s="14" t="s">
        <v>136</v>
      </c>
      <c r="F15" s="23" t="s">
        <v>163</v>
      </c>
      <c r="G15" s="35">
        <v>0</v>
      </c>
      <c r="H15" s="35">
        <v>0</v>
      </c>
      <c r="I15" s="35">
        <v>0</v>
      </c>
      <c r="J15" s="35">
        <v>0</v>
      </c>
      <c r="K15" s="35">
        <v>0</v>
      </c>
      <c r="N15" s="23" t="s">
        <v>172</v>
      </c>
      <c r="O15" s="30">
        <v>0.04</v>
      </c>
      <c r="P15" s="29">
        <v>2</v>
      </c>
      <c r="Q15" s="44"/>
      <c r="R15" s="44"/>
      <c r="S15" s="44"/>
      <c r="T15" s="44"/>
      <c r="U15" s="44"/>
    </row>
    <row r="16" spans="1:21" x14ac:dyDescent="0.2">
      <c r="C16" s="39"/>
      <c r="F16" s="23" t="s">
        <v>131</v>
      </c>
      <c r="G16" s="29">
        <v>0</v>
      </c>
      <c r="H16" s="29">
        <v>0</v>
      </c>
      <c r="I16" s="29">
        <v>0</v>
      </c>
      <c r="J16" s="29">
        <v>0</v>
      </c>
      <c r="K16" s="29">
        <v>0</v>
      </c>
      <c r="N16" s="23" t="s">
        <v>173</v>
      </c>
      <c r="O16" s="30">
        <v>0.03</v>
      </c>
      <c r="P16" s="29">
        <v>5</v>
      </c>
      <c r="Q16" s="44"/>
      <c r="R16" s="44"/>
      <c r="S16" s="44"/>
      <c r="T16" s="44"/>
      <c r="U16" s="44"/>
    </row>
    <row r="17" spans="2:21" x14ac:dyDescent="0.2">
      <c r="B17" t="s">
        <v>201</v>
      </c>
      <c r="C17" s="37">
        <v>22</v>
      </c>
      <c r="F17" s="23" t="s">
        <v>174</v>
      </c>
      <c r="G17" s="35">
        <v>0</v>
      </c>
      <c r="H17" s="35">
        <v>-1</v>
      </c>
      <c r="I17" s="35">
        <v>0</v>
      </c>
      <c r="J17" s="35">
        <v>-1</v>
      </c>
      <c r="K17" s="35">
        <v>0</v>
      </c>
      <c r="N17" s="23" t="s">
        <v>131</v>
      </c>
      <c r="O17" s="30">
        <v>0.04</v>
      </c>
      <c r="P17" s="29">
        <v>5</v>
      </c>
      <c r="Q17" s="44"/>
      <c r="R17" s="44"/>
      <c r="S17" s="44"/>
      <c r="T17" s="44"/>
      <c r="U17" s="44"/>
    </row>
    <row r="18" spans="2:21" x14ac:dyDescent="0.2">
      <c r="B18" t="s">
        <v>202</v>
      </c>
      <c r="C18" s="37">
        <v>6</v>
      </c>
      <c r="E18" s="14" t="s">
        <v>143</v>
      </c>
      <c r="G18" s="34">
        <f>SUM(G5,G11)</f>
        <v>4.0999999999999996</v>
      </c>
      <c r="H18" s="34">
        <f>SUM(H5,H11)</f>
        <v>5.1999999999999993</v>
      </c>
      <c r="I18" s="34">
        <f>SUM(I5,I11)</f>
        <v>6.1999999999999993</v>
      </c>
      <c r="J18" s="34">
        <f>SUM(J5,J11)</f>
        <v>7.3000000000000007</v>
      </c>
      <c r="K18" s="34">
        <f>SUM(K5,K11)</f>
        <v>5.1999999999999993</v>
      </c>
      <c r="M18" s="14" t="s">
        <v>175</v>
      </c>
      <c r="O18" s="30"/>
      <c r="P18" s="27" t="s">
        <v>157</v>
      </c>
      <c r="Q18" s="33" t="e">
        <f t="shared" ref="Q18" si="3">SUM(Q19:Q21)/Q27</f>
        <v>#DIV/0!</v>
      </c>
      <c r="R18" s="33" t="e">
        <f t="shared" ref="R18:U18" si="4">SUM(R19:R21)/R27</f>
        <v>#DIV/0!</v>
      </c>
      <c r="S18" s="33" t="e">
        <f t="shared" si="4"/>
        <v>#DIV/0!</v>
      </c>
      <c r="T18" s="33" t="e">
        <f t="shared" si="4"/>
        <v>#DIV/0!</v>
      </c>
      <c r="U18" s="33" t="e">
        <f t="shared" si="4"/>
        <v>#DIV/0!</v>
      </c>
    </row>
    <row r="19" spans="2:21" x14ac:dyDescent="0.2">
      <c r="B19" t="s">
        <v>203</v>
      </c>
      <c r="C19" s="37">
        <v>11</v>
      </c>
      <c r="N19" s="23" t="s">
        <v>176</v>
      </c>
      <c r="O19" s="30">
        <v>0.02</v>
      </c>
      <c r="P19" s="29">
        <v>1</v>
      </c>
      <c r="Q19" s="44"/>
      <c r="R19" s="44"/>
      <c r="S19" s="44"/>
      <c r="T19" s="44"/>
      <c r="U19" s="44"/>
    </row>
    <row r="20" spans="2:21" x14ac:dyDescent="0.2">
      <c r="B20" t="s">
        <v>204</v>
      </c>
      <c r="C20" s="37">
        <v>1</v>
      </c>
      <c r="F20" s="23" t="s">
        <v>144</v>
      </c>
      <c r="G20" s="29">
        <f>C6</f>
        <v>10</v>
      </c>
      <c r="H20" s="35">
        <f>G20-G21+G22+G18</f>
        <v>10</v>
      </c>
      <c r="I20" s="35">
        <f t="shared" ref="I20:K20" si="5">H20-H21+H22+H18</f>
        <v>10</v>
      </c>
      <c r="J20" s="35">
        <f t="shared" si="5"/>
        <v>10</v>
      </c>
      <c r="K20" s="35">
        <f t="shared" si="5"/>
        <v>10</v>
      </c>
      <c r="N20" s="23" t="s">
        <v>178</v>
      </c>
      <c r="O20" s="30">
        <v>0.03</v>
      </c>
      <c r="P20" s="29">
        <v>5</v>
      </c>
      <c r="Q20" s="44"/>
      <c r="R20" s="44"/>
      <c r="S20" s="44"/>
      <c r="T20" s="44"/>
      <c r="U20" s="44"/>
    </row>
    <row r="21" spans="2:21" x14ac:dyDescent="0.2">
      <c r="B21" t="s">
        <v>205</v>
      </c>
      <c r="C21" s="37">
        <v>12</v>
      </c>
      <c r="F21" s="23" t="s">
        <v>180</v>
      </c>
      <c r="G21" s="35">
        <f>G18</f>
        <v>4.0999999999999996</v>
      </c>
      <c r="H21" s="35">
        <f t="shared" ref="H21:K21" si="6">H18</f>
        <v>5.1999999999999993</v>
      </c>
      <c r="I21" s="35">
        <f t="shared" si="6"/>
        <v>6.1999999999999993</v>
      </c>
      <c r="J21" s="35">
        <f t="shared" si="6"/>
        <v>7.3000000000000007</v>
      </c>
      <c r="K21" s="35">
        <f t="shared" si="6"/>
        <v>5.1999999999999993</v>
      </c>
      <c r="N21" s="23" t="s">
        <v>179</v>
      </c>
      <c r="O21" s="30">
        <v>1E-3</v>
      </c>
      <c r="P21" s="29">
        <v>5</v>
      </c>
      <c r="Q21" s="44"/>
      <c r="R21" s="44"/>
      <c r="S21" s="44"/>
      <c r="T21" s="44"/>
      <c r="U21" s="44"/>
    </row>
    <row r="22" spans="2:21" x14ac:dyDescent="0.2">
      <c r="B22" t="s">
        <v>206</v>
      </c>
      <c r="C22" s="25">
        <v>2</v>
      </c>
      <c r="F22" s="23" t="s">
        <v>182</v>
      </c>
      <c r="G22" s="29">
        <v>0</v>
      </c>
      <c r="H22" s="29">
        <v>0</v>
      </c>
      <c r="I22" s="29">
        <v>0</v>
      </c>
      <c r="J22" s="29">
        <v>0</v>
      </c>
      <c r="K22" s="29">
        <v>0</v>
      </c>
      <c r="M22" s="14" t="s">
        <v>181</v>
      </c>
      <c r="O22" s="30"/>
      <c r="P22" s="27" t="s">
        <v>157</v>
      </c>
      <c r="Q22" s="33" t="e">
        <f>SUM(Q23:Q25)/Q27</f>
        <v>#DIV/0!</v>
      </c>
      <c r="R22" s="33" t="e">
        <f>SUM(R23:R25)/R27</f>
        <v>#DIV/0!</v>
      </c>
      <c r="S22" s="33" t="e">
        <f>SUM(S23:S25)/S27</f>
        <v>#DIV/0!</v>
      </c>
      <c r="T22" s="33" t="e">
        <f>SUM(T23:T25)/T27</f>
        <v>#DIV/0!</v>
      </c>
      <c r="U22" s="33" t="e">
        <f>SUM(U23:U25)/U27</f>
        <v>#DIV/0!</v>
      </c>
    </row>
    <row r="23" spans="2:21" x14ac:dyDescent="0.2">
      <c r="B23" t="s">
        <v>139</v>
      </c>
      <c r="C23" s="37">
        <v>5</v>
      </c>
      <c r="E23" s="14" t="s">
        <v>184</v>
      </c>
      <c r="G23" s="15"/>
      <c r="H23" s="34">
        <f>SUM(H20:H22)-SUM(G20:G22)</f>
        <v>1.0999999999999996</v>
      </c>
      <c r="I23" s="34">
        <f t="shared" ref="I23:K23" si="7">SUM(I20:I22)-SUM(H20:H22)</f>
        <v>1</v>
      </c>
      <c r="J23" s="34">
        <f t="shared" si="7"/>
        <v>1.1000000000000014</v>
      </c>
      <c r="K23" s="34">
        <f t="shared" si="7"/>
        <v>-2.1000000000000014</v>
      </c>
      <c r="N23" s="23" t="s">
        <v>207</v>
      </c>
      <c r="O23" s="30">
        <v>0.12</v>
      </c>
      <c r="P23" s="29">
        <v>90</v>
      </c>
      <c r="Q23" s="44"/>
      <c r="R23" s="44"/>
      <c r="S23" s="44"/>
      <c r="T23" s="44"/>
      <c r="U23" s="44"/>
    </row>
    <row r="24" spans="2:21" x14ac:dyDescent="0.2">
      <c r="B24" t="s">
        <v>141</v>
      </c>
      <c r="C24" s="38">
        <v>22</v>
      </c>
      <c r="N24" s="23" t="s">
        <v>185</v>
      </c>
      <c r="O24" s="30">
        <v>0.15</v>
      </c>
      <c r="P24" s="29">
        <v>180</v>
      </c>
      <c r="Q24" s="44"/>
      <c r="R24" s="44"/>
      <c r="S24" s="44"/>
      <c r="T24" s="44"/>
      <c r="U24" s="44"/>
    </row>
    <row r="25" spans="2:21" x14ac:dyDescent="0.2">
      <c r="B25" s="14" t="s">
        <v>142</v>
      </c>
      <c r="C25" s="17">
        <f>SUM(C16:C24)</f>
        <v>81</v>
      </c>
      <c r="N25" s="23" t="s">
        <v>186</v>
      </c>
      <c r="O25" s="30">
        <v>0.1</v>
      </c>
      <c r="P25" s="29">
        <v>60</v>
      </c>
      <c r="Q25" s="138"/>
      <c r="R25" s="138"/>
      <c r="S25" s="138"/>
      <c r="T25" s="138"/>
      <c r="U25" s="138"/>
    </row>
    <row r="26" spans="2:21" x14ac:dyDescent="0.2">
      <c r="N26" s="14" t="s">
        <v>187</v>
      </c>
    </row>
    <row r="27" spans="2:21" x14ac:dyDescent="0.2">
      <c r="Q27" s="29">
        <f>SUM(Q6:Q8,Q10:Q12,Q14:Q17,Q19:Q21,Q23:Q25)</f>
        <v>0</v>
      </c>
      <c r="R27" s="29">
        <f t="shared" ref="R27:U27" si="8">SUM(R6:R8,R10:R12,R14:R17,R19:R21,R23:R25)</f>
        <v>0</v>
      </c>
      <c r="S27" s="29">
        <f t="shared" si="8"/>
        <v>0</v>
      </c>
      <c r="T27" s="29">
        <f t="shared" si="8"/>
        <v>0</v>
      </c>
      <c r="U27" s="29">
        <f t="shared" si="8"/>
        <v>0</v>
      </c>
    </row>
    <row r="28" spans="2:21" x14ac:dyDescent="0.2">
      <c r="N28" s="23" t="s">
        <v>188</v>
      </c>
      <c r="Q28" s="28" t="e">
        <f>SUM(Q6*$P$6+Q7*$P$7+Q8*$P$8+Q10*$P$10+Q11*$P$11+Q12*$P$12+Q14*$P$14+Q15*$P$15+Q16*$P$16+Q17*$P$17+Q19*$P$19+Q20*$P$20+Q21*$P$21+Q23*$P$23+Q24*$P$24+Q25*$P$25)/Q27</f>
        <v>#DIV/0!</v>
      </c>
      <c r="R28" s="28" t="e">
        <f t="shared" ref="R28:T28" si="9">SUM(R6*$P$6+R7*$P$7+R8*$P$8+R10*$P$10+R11*$P$11+R12*$P$12+R14*$P$14+R15*$P$15+R16*$P$16+R17*$P$17+R19*$P$19+R20*$P$20+R21*$P$21+R23*$P$23+R24*$P$24+R25*$P$25)/R27</f>
        <v>#DIV/0!</v>
      </c>
      <c r="S28" s="28" t="e">
        <f t="shared" si="9"/>
        <v>#DIV/0!</v>
      </c>
      <c r="T28" s="28" t="e">
        <f t="shared" si="9"/>
        <v>#DIV/0!</v>
      </c>
      <c r="U28" s="28" t="e">
        <f>SUM(U6*$P$6+U7*$P$7+U8*$P$8+U10*$P$10+U11*$P$11+U12*$P$12+U14*$P$14+U15*$P$15+U16*$P$16+U17*$P$17+U19*$P$19+U20*$P$20+U21*$P$21+U23*$P$23+U24*$P$24+U25*$P$25)/U27</f>
        <v>#DIV/0!</v>
      </c>
    </row>
    <row r="29" spans="2:21" x14ac:dyDescent="0.2">
      <c r="N29" s="23" t="s">
        <v>208</v>
      </c>
      <c r="Q29" s="30" t="e">
        <f>SUM(Q6*$O$6+Q7*$O$7+Q8*$O$8+Q10*$O$10+Q11*$O$11+Q12*$O$12+Q14*$O$14+Q15*$O$15+Q16*$O$16+Q17*$O$17+Q19*$O$19+Q20*$O$20+Q21*$O$21+Q23*$O$23+Q24*$O$24+Q25*$O$25)/Q27</f>
        <v>#DIV/0!</v>
      </c>
      <c r="R29" s="30" t="e">
        <f t="shared" ref="R29:U29" si="10">SUM(R6*$O$6+R7*$O$7+R8*$O$8+R10*$O$10+R11*$O$11+R12*$O$12+R14*$O$14+R15*$O$15+R16*$O$16+R17*$O$17+R19*$O$19+R20*$O$20+R21*$O$21+R23*$O$23+R24*$O$24+R25*$O$25)/R27</f>
        <v>#DIV/0!</v>
      </c>
      <c r="S29" s="30" t="e">
        <f t="shared" si="10"/>
        <v>#DIV/0!</v>
      </c>
      <c r="T29" s="30" t="e">
        <f t="shared" si="10"/>
        <v>#DIV/0!</v>
      </c>
      <c r="U29" s="30" t="e">
        <f t="shared" si="10"/>
        <v>#DIV/0!</v>
      </c>
    </row>
    <row r="30" spans="2:21" x14ac:dyDescent="0.2">
      <c r="N30" s="23"/>
      <c r="U30" s="28"/>
    </row>
  </sheetData>
  <mergeCells count="1">
    <mergeCell ref="G3:J3"/>
  </mergeCells>
  <pageMargins left="0.7" right="0.7" top="0.75" bottom="0.75" header="0.3" footer="0.3"/>
  <pageSetup orientation="portrait" horizontalDpi="4294967294"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60780-F51E-3245-AD18-BCBC161BE67E}">
  <sheetPr>
    <tabColor rgb="FFFFFF00"/>
  </sheetPr>
  <dimension ref="B2:R43"/>
  <sheetViews>
    <sheetView zoomScaleNormal="100" workbookViewId="0"/>
  </sheetViews>
  <sheetFormatPr baseColWidth="10" defaultColWidth="8.83203125" defaultRowHeight="26" x14ac:dyDescent="0.3"/>
  <cols>
    <col min="1" max="1" width="2.6640625" style="149" customWidth="1"/>
    <col min="2" max="2" width="144.83203125" style="149" customWidth="1"/>
    <col min="3" max="3" width="14.6640625" style="149" bestFit="1" customWidth="1"/>
    <col min="4" max="4" width="17.33203125" style="150" bestFit="1" customWidth="1"/>
    <col min="5" max="12" width="14.6640625" style="150" bestFit="1" customWidth="1"/>
    <col min="13" max="14" width="16.33203125" style="150" bestFit="1" customWidth="1"/>
    <col min="15" max="15" width="16.33203125" style="149" bestFit="1" customWidth="1"/>
    <col min="16" max="16" width="8.83203125" style="149"/>
    <col min="17" max="17" width="29.5" style="149" customWidth="1"/>
    <col min="18" max="18" width="78.83203125" style="149" customWidth="1"/>
    <col min="19" max="16384" width="8.83203125" style="149"/>
  </cols>
  <sheetData>
    <row r="2" spans="2:15" x14ac:dyDescent="0.3">
      <c r="B2" s="149" t="s">
        <v>400</v>
      </c>
    </row>
    <row r="3" spans="2:15" x14ac:dyDescent="0.3">
      <c r="B3" s="149" t="s">
        <v>403</v>
      </c>
    </row>
    <row r="4" spans="2:15" x14ac:dyDescent="0.3">
      <c r="B4" s="149" t="s">
        <v>423</v>
      </c>
    </row>
    <row r="5" spans="2:15" x14ac:dyDescent="0.3">
      <c r="B5" s="149" t="s">
        <v>424</v>
      </c>
    </row>
    <row r="6" spans="2:15" x14ac:dyDescent="0.3">
      <c r="B6" s="149" t="s">
        <v>442</v>
      </c>
    </row>
    <row r="7" spans="2:15" x14ac:dyDescent="0.3">
      <c r="B7" s="149" t="s">
        <v>427</v>
      </c>
      <c r="D7" s="149"/>
      <c r="E7" s="149"/>
      <c r="F7" s="149"/>
      <c r="G7" s="149"/>
      <c r="H7" s="149"/>
      <c r="I7" s="149"/>
      <c r="J7" s="149"/>
      <c r="K7" s="149"/>
      <c r="L7" s="149"/>
      <c r="M7" s="149"/>
      <c r="N7" s="149"/>
    </row>
    <row r="8" spans="2:15" x14ac:dyDescent="0.3">
      <c r="B8" s="149" t="s">
        <v>441</v>
      </c>
      <c r="D8" s="149"/>
      <c r="E8" s="149"/>
      <c r="F8" s="149"/>
      <c r="G8" s="149"/>
      <c r="H8" s="149"/>
      <c r="I8" s="149"/>
      <c r="J8" s="149"/>
      <c r="K8" s="149"/>
      <c r="L8" s="149"/>
      <c r="M8" s="149"/>
      <c r="N8" s="149"/>
    </row>
    <row r="9" spans="2:15" x14ac:dyDescent="0.3">
      <c r="B9" s="149" t="s">
        <v>430</v>
      </c>
      <c r="D9" s="149"/>
      <c r="E9" s="149"/>
      <c r="F9" s="149"/>
      <c r="G9" s="149"/>
      <c r="H9" s="149"/>
      <c r="I9" s="149"/>
      <c r="J9" s="149"/>
      <c r="K9" s="149"/>
      <c r="L9" s="149"/>
      <c r="M9" s="149"/>
      <c r="N9" s="149"/>
    </row>
    <row r="10" spans="2:15" x14ac:dyDescent="0.3">
      <c r="D10" s="149"/>
      <c r="E10" s="149"/>
      <c r="F10" s="149"/>
      <c r="G10" s="149"/>
      <c r="H10" s="149"/>
      <c r="I10" s="149"/>
      <c r="J10" s="149"/>
      <c r="K10" s="149"/>
      <c r="L10" s="149"/>
      <c r="M10" s="149"/>
      <c r="N10" s="149"/>
    </row>
    <row r="11" spans="2:15" x14ac:dyDescent="0.3">
      <c r="B11" s="151"/>
      <c r="C11" s="151" t="s">
        <v>394</v>
      </c>
      <c r="D11" s="151" t="s">
        <v>411</v>
      </c>
      <c r="E11" s="151" t="s">
        <v>412</v>
      </c>
      <c r="F11" s="151" t="s">
        <v>413</v>
      </c>
      <c r="G11" s="151" t="s">
        <v>414</v>
      </c>
      <c r="H11" s="151" t="s">
        <v>415</v>
      </c>
      <c r="I11" s="151" t="s">
        <v>416</v>
      </c>
      <c r="J11" s="151" t="s">
        <v>417</v>
      </c>
      <c r="K11" s="151" t="s">
        <v>418</v>
      </c>
      <c r="L11" s="151" t="s">
        <v>419</v>
      </c>
      <c r="M11" s="151" t="s">
        <v>420</v>
      </c>
      <c r="N11" s="151" t="s">
        <v>421</v>
      </c>
      <c r="O11" s="151" t="s">
        <v>422</v>
      </c>
    </row>
    <row r="12" spans="2:15" x14ac:dyDescent="0.3">
      <c r="B12" s="152"/>
      <c r="C12" s="152">
        <v>44561</v>
      </c>
      <c r="D12" s="153">
        <v>44592</v>
      </c>
      <c r="E12" s="153">
        <v>44620</v>
      </c>
      <c r="F12" s="153">
        <v>44651</v>
      </c>
      <c r="G12" s="153">
        <v>44681</v>
      </c>
      <c r="H12" s="153">
        <v>44712</v>
      </c>
      <c r="I12" s="153">
        <v>44742</v>
      </c>
      <c r="J12" s="153">
        <v>44773</v>
      </c>
      <c r="K12" s="153">
        <v>44804</v>
      </c>
      <c r="L12" s="153">
        <v>44834</v>
      </c>
      <c r="M12" s="153">
        <v>44865</v>
      </c>
      <c r="N12" s="153">
        <v>44896</v>
      </c>
      <c r="O12" s="153">
        <v>44926</v>
      </c>
    </row>
    <row r="13" spans="2:15" x14ac:dyDescent="0.3">
      <c r="B13" s="154" t="s">
        <v>391</v>
      </c>
      <c r="C13" s="150">
        <v>-50</v>
      </c>
      <c r="D13" s="157"/>
      <c r="E13" s="157"/>
      <c r="F13" s="157"/>
      <c r="G13" s="157"/>
      <c r="H13" s="157"/>
      <c r="I13" s="157"/>
      <c r="J13" s="157"/>
      <c r="K13" s="157"/>
      <c r="L13" s="157"/>
      <c r="M13" s="157"/>
      <c r="N13" s="157"/>
      <c r="O13" s="157"/>
    </row>
    <row r="14" spans="2:15" x14ac:dyDescent="0.3">
      <c r="B14" s="154" t="s">
        <v>392</v>
      </c>
      <c r="C14" s="150">
        <v>100</v>
      </c>
      <c r="D14" s="157"/>
      <c r="E14" s="157"/>
      <c r="F14" s="157"/>
      <c r="G14" s="157"/>
      <c r="H14" s="157"/>
      <c r="I14" s="157"/>
      <c r="J14" s="157"/>
      <c r="K14" s="157"/>
      <c r="L14" s="157"/>
      <c r="M14" s="157"/>
      <c r="N14" s="157"/>
      <c r="O14" s="157"/>
    </row>
    <row r="15" spans="2:15" x14ac:dyDescent="0.3">
      <c r="B15" s="154" t="s">
        <v>402</v>
      </c>
      <c r="C15" s="150">
        <v>0</v>
      </c>
      <c r="D15" s="157"/>
      <c r="E15" s="157"/>
      <c r="F15" s="157"/>
      <c r="G15" s="157"/>
      <c r="H15" s="157"/>
      <c r="I15" s="157"/>
      <c r="J15" s="157"/>
      <c r="K15" s="157"/>
      <c r="L15" s="157"/>
      <c r="M15" s="157"/>
      <c r="N15" s="157"/>
      <c r="O15" s="157"/>
    </row>
    <row r="16" spans="2:15" x14ac:dyDescent="0.3">
      <c r="B16" s="154" t="s">
        <v>425</v>
      </c>
      <c r="C16" s="150">
        <v>0</v>
      </c>
      <c r="D16" s="157"/>
      <c r="E16" s="157"/>
      <c r="F16" s="157"/>
      <c r="G16" s="157"/>
      <c r="H16" s="157"/>
      <c r="I16" s="157"/>
      <c r="J16" s="157"/>
      <c r="K16" s="157"/>
      <c r="L16" s="157"/>
      <c r="M16" s="157"/>
      <c r="N16" s="157"/>
      <c r="O16" s="157"/>
    </row>
    <row r="17" spans="2:16" x14ac:dyDescent="0.3">
      <c r="B17" s="154" t="s">
        <v>393</v>
      </c>
      <c r="C17" s="150">
        <v>-50</v>
      </c>
      <c r="D17" s="157"/>
      <c r="E17" s="157"/>
      <c r="F17" s="157"/>
      <c r="G17" s="157"/>
      <c r="H17" s="157"/>
      <c r="I17" s="157"/>
      <c r="J17" s="157"/>
      <c r="K17" s="157"/>
      <c r="L17" s="157"/>
      <c r="M17" s="157"/>
      <c r="N17" s="157"/>
      <c r="O17" s="157"/>
    </row>
    <row r="18" spans="2:16" x14ac:dyDescent="0.3">
      <c r="B18" s="154" t="s">
        <v>426</v>
      </c>
      <c r="C18" s="150">
        <v>-500</v>
      </c>
      <c r="D18" s="157"/>
      <c r="E18" s="157"/>
      <c r="F18" s="157"/>
      <c r="G18" s="157"/>
      <c r="H18" s="157"/>
      <c r="I18" s="157"/>
      <c r="J18" s="157"/>
      <c r="K18" s="157"/>
      <c r="L18" s="157"/>
      <c r="M18" s="157"/>
      <c r="N18" s="157"/>
      <c r="O18" s="157"/>
    </row>
    <row r="19" spans="2:16" x14ac:dyDescent="0.3">
      <c r="B19" s="154" t="s">
        <v>401</v>
      </c>
      <c r="C19" s="150"/>
      <c r="D19" s="157"/>
      <c r="E19" s="157"/>
      <c r="F19" s="157"/>
      <c r="G19" s="157"/>
      <c r="H19" s="157"/>
      <c r="I19" s="157"/>
      <c r="J19" s="157"/>
      <c r="K19" s="157"/>
      <c r="L19" s="157"/>
      <c r="M19" s="157"/>
      <c r="N19" s="157"/>
      <c r="O19" s="157"/>
    </row>
    <row r="20" spans="2:16" x14ac:dyDescent="0.3">
      <c r="B20" s="155" t="s">
        <v>404</v>
      </c>
      <c r="C20" s="156">
        <f t="shared" ref="C20:O20" si="0">SUM(C13:C19)</f>
        <v>-500</v>
      </c>
      <c r="D20" s="156">
        <f t="shared" si="0"/>
        <v>0</v>
      </c>
      <c r="E20" s="156">
        <f t="shared" si="0"/>
        <v>0</v>
      </c>
      <c r="F20" s="156">
        <f t="shared" si="0"/>
        <v>0</v>
      </c>
      <c r="G20" s="156">
        <f t="shared" si="0"/>
        <v>0</v>
      </c>
      <c r="H20" s="156">
        <f t="shared" si="0"/>
        <v>0</v>
      </c>
      <c r="I20" s="156">
        <f t="shared" si="0"/>
        <v>0</v>
      </c>
      <c r="J20" s="156">
        <f t="shared" si="0"/>
        <v>0</v>
      </c>
      <c r="K20" s="156">
        <f t="shared" si="0"/>
        <v>0</v>
      </c>
      <c r="L20" s="156">
        <f t="shared" si="0"/>
        <v>0</v>
      </c>
      <c r="M20" s="156">
        <f t="shared" si="0"/>
        <v>0</v>
      </c>
      <c r="N20" s="156">
        <f t="shared" si="0"/>
        <v>0</v>
      </c>
      <c r="O20" s="156">
        <f t="shared" si="0"/>
        <v>0</v>
      </c>
    </row>
    <row r="22" spans="2:16" x14ac:dyDescent="0.3">
      <c r="B22" s="160" t="s">
        <v>429</v>
      </c>
      <c r="C22" s="151" t="s">
        <v>394</v>
      </c>
      <c r="D22" s="151" t="s">
        <v>411</v>
      </c>
      <c r="E22" s="151" t="s">
        <v>412</v>
      </c>
      <c r="F22" s="151" t="s">
        <v>413</v>
      </c>
      <c r="G22" s="151" t="s">
        <v>414</v>
      </c>
      <c r="H22" s="151" t="s">
        <v>415</v>
      </c>
      <c r="I22" s="151" t="s">
        <v>416</v>
      </c>
      <c r="J22" s="151" t="s">
        <v>417</v>
      </c>
      <c r="K22" s="151" t="s">
        <v>418</v>
      </c>
      <c r="L22" s="151" t="s">
        <v>419</v>
      </c>
      <c r="M22" s="151" t="s">
        <v>420</v>
      </c>
      <c r="N22" s="151" t="s">
        <v>421</v>
      </c>
      <c r="O22" s="151" t="s">
        <v>422</v>
      </c>
    </row>
    <row r="23" spans="2:16" ht="27" x14ac:dyDescent="0.3">
      <c r="B23" s="159" t="s">
        <v>405</v>
      </c>
      <c r="D23" s="150">
        <v>95</v>
      </c>
      <c r="E23" s="150">
        <v>118</v>
      </c>
      <c r="F23" s="150">
        <v>37</v>
      </c>
      <c r="G23" s="150">
        <v>17</v>
      </c>
      <c r="H23" s="150">
        <v>22</v>
      </c>
      <c r="I23" s="150">
        <v>39</v>
      </c>
      <c r="J23" s="150">
        <v>-32</v>
      </c>
      <c r="K23" s="150">
        <v>4</v>
      </c>
      <c r="L23" s="150">
        <v>118</v>
      </c>
      <c r="M23" s="150">
        <v>99</v>
      </c>
      <c r="N23" s="150">
        <v>3</v>
      </c>
      <c r="O23" s="150">
        <v>-27</v>
      </c>
    </row>
    <row r="24" spans="2:16" ht="27" x14ac:dyDescent="0.3">
      <c r="B24" s="159" t="s">
        <v>406</v>
      </c>
      <c r="D24" s="150">
        <v>-46</v>
      </c>
      <c r="E24" s="150">
        <v>65</v>
      </c>
      <c r="F24" s="150">
        <v>14</v>
      </c>
      <c r="G24" s="150">
        <v>-24</v>
      </c>
      <c r="H24" s="150">
        <v>-19</v>
      </c>
      <c r="I24" s="150">
        <v>74</v>
      </c>
      <c r="J24" s="150">
        <v>-12</v>
      </c>
      <c r="K24" s="150">
        <v>62</v>
      </c>
      <c r="L24" s="150">
        <v>37</v>
      </c>
      <c r="M24" s="150">
        <v>96</v>
      </c>
      <c r="N24" s="150">
        <v>2</v>
      </c>
      <c r="O24" s="150">
        <v>101</v>
      </c>
    </row>
    <row r="25" spans="2:16" ht="27" x14ac:dyDescent="0.3">
      <c r="B25" s="159" t="s">
        <v>407</v>
      </c>
      <c r="D25" s="150">
        <v>4</v>
      </c>
      <c r="E25" s="150">
        <v>96</v>
      </c>
      <c r="F25" s="150">
        <v>14</v>
      </c>
      <c r="G25" s="150">
        <v>68</v>
      </c>
      <c r="H25" s="150">
        <v>37</v>
      </c>
      <c r="I25" s="150">
        <v>23</v>
      </c>
      <c r="J25" s="150">
        <v>-49</v>
      </c>
      <c r="K25" s="150">
        <v>-40</v>
      </c>
      <c r="L25" s="150">
        <v>63</v>
      </c>
      <c r="M25" s="150">
        <v>93</v>
      </c>
      <c r="N25" s="150">
        <v>71</v>
      </c>
      <c r="O25" s="150">
        <v>-18</v>
      </c>
    </row>
    <row r="26" spans="2:16" ht="27" x14ac:dyDescent="0.3">
      <c r="B26" s="159" t="s">
        <v>408</v>
      </c>
      <c r="D26" s="150">
        <v>11</v>
      </c>
      <c r="E26" s="150">
        <v>39</v>
      </c>
      <c r="F26" s="150">
        <v>-16</v>
      </c>
      <c r="G26" s="150">
        <v>-10</v>
      </c>
      <c r="H26" s="150">
        <v>-32</v>
      </c>
      <c r="I26" s="150">
        <v>29</v>
      </c>
      <c r="J26" s="150">
        <v>56</v>
      </c>
      <c r="K26" s="150">
        <v>-49</v>
      </c>
      <c r="L26" s="150">
        <v>-1</v>
      </c>
      <c r="M26" s="150">
        <v>67</v>
      </c>
      <c r="N26" s="150">
        <v>50</v>
      </c>
      <c r="O26" s="150">
        <v>92</v>
      </c>
    </row>
    <row r="27" spans="2:16" ht="27" x14ac:dyDescent="0.3">
      <c r="B27" s="159" t="s">
        <v>409</v>
      </c>
      <c r="D27" s="150">
        <v>119</v>
      </c>
      <c r="E27" s="150">
        <v>97</v>
      </c>
      <c r="F27" s="150">
        <v>71</v>
      </c>
      <c r="G27" s="150">
        <v>0</v>
      </c>
      <c r="H27" s="150">
        <v>43</v>
      </c>
      <c r="I27" s="150">
        <v>105</v>
      </c>
      <c r="J27" s="150">
        <v>-47</v>
      </c>
      <c r="K27" s="150">
        <v>61</v>
      </c>
      <c r="L27" s="150">
        <v>47</v>
      </c>
      <c r="M27" s="150">
        <v>90</v>
      </c>
      <c r="N27" s="150">
        <v>98</v>
      </c>
      <c r="O27" s="150">
        <v>57</v>
      </c>
    </row>
    <row r="28" spans="2:16" ht="27" x14ac:dyDescent="0.3">
      <c r="B28" s="159" t="s">
        <v>410</v>
      </c>
      <c r="D28" s="150">
        <v>-34</v>
      </c>
      <c r="E28" s="150">
        <v>113</v>
      </c>
      <c r="F28" s="150">
        <v>25</v>
      </c>
      <c r="G28" s="150">
        <v>-22</v>
      </c>
      <c r="H28" s="150">
        <v>-3</v>
      </c>
      <c r="I28" s="150">
        <v>47</v>
      </c>
      <c r="J28" s="150">
        <v>76</v>
      </c>
      <c r="K28" s="150">
        <v>81</v>
      </c>
      <c r="L28" s="150">
        <v>42</v>
      </c>
      <c r="M28" s="150">
        <v>-22</v>
      </c>
      <c r="N28" s="150">
        <v>61</v>
      </c>
      <c r="O28" s="150">
        <v>-39</v>
      </c>
    </row>
    <row r="29" spans="2:16" x14ac:dyDescent="0.3">
      <c r="B29" s="155" t="s">
        <v>437</v>
      </c>
      <c r="C29" s="155"/>
      <c r="D29" s="156">
        <f t="shared" ref="D29:O29" si="1">SUM(D23:D28)</f>
        <v>149</v>
      </c>
      <c r="E29" s="156">
        <f t="shared" si="1"/>
        <v>528</v>
      </c>
      <c r="F29" s="156">
        <f t="shared" si="1"/>
        <v>145</v>
      </c>
      <c r="G29" s="156">
        <f t="shared" si="1"/>
        <v>29</v>
      </c>
      <c r="H29" s="156">
        <f t="shared" si="1"/>
        <v>48</v>
      </c>
      <c r="I29" s="156">
        <f t="shared" si="1"/>
        <v>317</v>
      </c>
      <c r="J29" s="156">
        <f t="shared" si="1"/>
        <v>-8</v>
      </c>
      <c r="K29" s="156">
        <f t="shared" si="1"/>
        <v>119</v>
      </c>
      <c r="L29" s="156">
        <f t="shared" si="1"/>
        <v>306</v>
      </c>
      <c r="M29" s="156">
        <f t="shared" si="1"/>
        <v>423</v>
      </c>
      <c r="N29" s="156">
        <f t="shared" si="1"/>
        <v>285</v>
      </c>
      <c r="O29" s="156">
        <f t="shared" si="1"/>
        <v>166</v>
      </c>
      <c r="P29" s="158"/>
    </row>
    <row r="30" spans="2:16" x14ac:dyDescent="0.3">
      <c r="D30" s="149"/>
      <c r="E30" s="149"/>
      <c r="F30" s="149"/>
      <c r="G30" s="149"/>
      <c r="H30" s="149"/>
      <c r="I30" s="149"/>
      <c r="J30" s="149"/>
      <c r="K30" s="149"/>
      <c r="L30" s="149"/>
      <c r="M30" s="149"/>
      <c r="N30" s="149"/>
    </row>
    <row r="31" spans="2:16" x14ac:dyDescent="0.3">
      <c r="D31" s="158">
        <f>D20+D29</f>
        <v>149</v>
      </c>
      <c r="E31" s="158">
        <f t="shared" ref="E31:O31" si="2">E20+E29</f>
        <v>528</v>
      </c>
      <c r="F31" s="158">
        <f t="shared" si="2"/>
        <v>145</v>
      </c>
      <c r="G31" s="158">
        <f t="shared" si="2"/>
        <v>29</v>
      </c>
      <c r="H31" s="158">
        <f t="shared" si="2"/>
        <v>48</v>
      </c>
      <c r="I31" s="158">
        <f t="shared" si="2"/>
        <v>317</v>
      </c>
      <c r="J31" s="158">
        <f t="shared" si="2"/>
        <v>-8</v>
      </c>
      <c r="K31" s="158">
        <f t="shared" si="2"/>
        <v>119</v>
      </c>
      <c r="L31" s="158">
        <f t="shared" si="2"/>
        <v>306</v>
      </c>
      <c r="M31" s="158">
        <f t="shared" si="2"/>
        <v>423</v>
      </c>
      <c r="N31" s="158">
        <f t="shared" si="2"/>
        <v>285</v>
      </c>
      <c r="O31" s="158">
        <f t="shared" si="2"/>
        <v>166</v>
      </c>
    </row>
    <row r="32" spans="2:16" x14ac:dyDescent="0.3">
      <c r="D32" s="158"/>
      <c r="E32" s="158"/>
      <c r="F32" s="158"/>
      <c r="G32" s="158"/>
      <c r="H32" s="158"/>
      <c r="I32" s="158"/>
      <c r="J32" s="158"/>
      <c r="K32" s="158"/>
      <c r="L32" s="158"/>
      <c r="M32" s="158"/>
      <c r="N32" s="158"/>
      <c r="O32" s="158"/>
    </row>
    <row r="33" spans="2:18" x14ac:dyDescent="0.3">
      <c r="D33" s="149"/>
      <c r="E33" s="149"/>
      <c r="F33" s="149"/>
      <c r="G33" s="149"/>
      <c r="H33" s="149"/>
      <c r="I33" s="149"/>
      <c r="J33" s="149"/>
      <c r="K33" s="149"/>
      <c r="L33" s="149"/>
      <c r="M33" s="149"/>
      <c r="N33" s="149"/>
    </row>
    <row r="34" spans="2:18" ht="27" x14ac:dyDescent="0.3">
      <c r="B34" s="160" t="s">
        <v>428</v>
      </c>
      <c r="C34" s="151" t="s">
        <v>394</v>
      </c>
      <c r="D34" s="151" t="s">
        <v>411</v>
      </c>
      <c r="E34" s="151" t="s">
        <v>412</v>
      </c>
      <c r="F34" s="151" t="s">
        <v>413</v>
      </c>
      <c r="G34" s="151" t="s">
        <v>414</v>
      </c>
      <c r="H34" s="151" t="s">
        <v>415</v>
      </c>
      <c r="I34" s="151" t="s">
        <v>416</v>
      </c>
      <c r="J34" s="151" t="s">
        <v>417</v>
      </c>
      <c r="K34" s="151" t="s">
        <v>418</v>
      </c>
      <c r="L34" s="151" t="s">
        <v>419</v>
      </c>
      <c r="M34" s="151" t="s">
        <v>420</v>
      </c>
      <c r="N34" s="151" t="s">
        <v>421</v>
      </c>
      <c r="O34" s="151" t="s">
        <v>422</v>
      </c>
      <c r="R34" s="159" t="s">
        <v>436</v>
      </c>
    </row>
    <row r="35" spans="2:18" ht="27" x14ac:dyDescent="0.3">
      <c r="B35" s="159" t="s">
        <v>405</v>
      </c>
      <c r="D35" s="157"/>
      <c r="E35" s="157"/>
      <c r="F35" s="157"/>
      <c r="G35" s="157"/>
      <c r="H35" s="157"/>
      <c r="I35" s="157"/>
      <c r="J35" s="157"/>
      <c r="K35" s="157"/>
      <c r="L35" s="157"/>
      <c r="M35" s="157"/>
      <c r="N35" s="157"/>
      <c r="O35" s="157"/>
      <c r="Q35" s="159" t="s">
        <v>431</v>
      </c>
      <c r="R35" s="157"/>
    </row>
    <row r="36" spans="2:18" ht="27" x14ac:dyDescent="0.3">
      <c r="B36" s="159" t="s">
        <v>406</v>
      </c>
      <c r="D36" s="157"/>
      <c r="E36" s="157"/>
      <c r="F36" s="157"/>
      <c r="G36" s="157"/>
      <c r="H36" s="157"/>
      <c r="I36" s="157"/>
      <c r="J36" s="157"/>
      <c r="K36" s="157"/>
      <c r="L36" s="157"/>
      <c r="M36" s="157"/>
      <c r="N36" s="157"/>
      <c r="O36" s="157"/>
      <c r="Q36" s="159" t="s">
        <v>432</v>
      </c>
      <c r="R36" s="157"/>
    </row>
    <row r="37" spans="2:18" ht="27" x14ac:dyDescent="0.3">
      <c r="B37" s="159" t="s">
        <v>407</v>
      </c>
      <c r="D37" s="157"/>
      <c r="E37" s="157"/>
      <c r="F37" s="157"/>
      <c r="G37" s="157"/>
      <c r="H37" s="157"/>
      <c r="I37" s="157"/>
      <c r="J37" s="157"/>
      <c r="K37" s="157"/>
      <c r="L37" s="157"/>
      <c r="M37" s="157"/>
      <c r="N37" s="157"/>
      <c r="O37" s="157"/>
      <c r="Q37" s="159" t="s">
        <v>433</v>
      </c>
      <c r="R37" s="157"/>
    </row>
    <row r="38" spans="2:18" ht="27" x14ac:dyDescent="0.3">
      <c r="B38" s="159" t="s">
        <v>408</v>
      </c>
      <c r="D38" s="157"/>
      <c r="E38" s="157"/>
      <c r="F38" s="157"/>
      <c r="G38" s="157"/>
      <c r="H38" s="157"/>
      <c r="I38" s="157"/>
      <c r="J38" s="157"/>
      <c r="K38" s="157"/>
      <c r="L38" s="157"/>
      <c r="M38" s="157"/>
      <c r="N38" s="157"/>
      <c r="O38" s="157"/>
      <c r="Q38" s="159" t="s">
        <v>295</v>
      </c>
      <c r="R38" s="157"/>
    </row>
    <row r="39" spans="2:18" ht="27" x14ac:dyDescent="0.3">
      <c r="B39" s="159" t="s">
        <v>409</v>
      </c>
      <c r="D39" s="157"/>
      <c r="E39" s="157"/>
      <c r="F39" s="157"/>
      <c r="G39" s="157"/>
      <c r="H39" s="157"/>
      <c r="I39" s="157"/>
      <c r="J39" s="157"/>
      <c r="K39" s="157"/>
      <c r="L39" s="157"/>
      <c r="M39" s="157"/>
      <c r="N39" s="157"/>
      <c r="O39" s="157"/>
      <c r="Q39" s="159" t="s">
        <v>435</v>
      </c>
      <c r="R39" s="157"/>
    </row>
    <row r="40" spans="2:18" ht="27" x14ac:dyDescent="0.3">
      <c r="B40" s="159" t="s">
        <v>410</v>
      </c>
      <c r="D40" s="157"/>
      <c r="E40" s="157"/>
      <c r="F40" s="157"/>
      <c r="G40" s="157"/>
      <c r="H40" s="157"/>
      <c r="I40" s="157"/>
      <c r="J40" s="157"/>
      <c r="K40" s="157"/>
      <c r="L40" s="157"/>
      <c r="M40" s="157"/>
      <c r="N40" s="157"/>
      <c r="O40" s="157"/>
      <c r="Q40" s="159" t="s">
        <v>434</v>
      </c>
      <c r="R40" s="157"/>
    </row>
    <row r="41" spans="2:18" x14ac:dyDescent="0.3">
      <c r="B41" s="155" t="s">
        <v>437</v>
      </c>
      <c r="C41" s="155"/>
      <c r="D41" s="156">
        <f t="shared" ref="D41" si="3">SUM(D35:D40)</f>
        <v>0</v>
      </c>
      <c r="E41" s="156">
        <f t="shared" ref="E41" si="4">SUM(E35:E40)</f>
        <v>0</v>
      </c>
      <c r="F41" s="156">
        <f t="shared" ref="F41" si="5">SUM(F35:F40)</f>
        <v>0</v>
      </c>
      <c r="G41" s="156">
        <f t="shared" ref="G41" si="6">SUM(G35:G40)</f>
        <v>0</v>
      </c>
      <c r="H41" s="156">
        <f t="shared" ref="H41" si="7">SUM(H35:H40)</f>
        <v>0</v>
      </c>
      <c r="I41" s="156">
        <f t="shared" ref="I41" si="8">SUM(I35:I40)</f>
        <v>0</v>
      </c>
      <c r="J41" s="156">
        <f t="shared" ref="J41" si="9">SUM(J35:J40)</f>
        <v>0</v>
      </c>
      <c r="K41" s="156">
        <f t="shared" ref="K41" si="10">SUM(K35:K40)</f>
        <v>0</v>
      </c>
      <c r="L41" s="156">
        <f t="shared" ref="L41" si="11">SUM(L35:L40)</f>
        <v>0</v>
      </c>
      <c r="M41" s="156">
        <f t="shared" ref="M41" si="12">SUM(M35:M40)</f>
        <v>0</v>
      </c>
      <c r="N41" s="156">
        <f t="shared" ref="N41" si="13">SUM(N35:N40)</f>
        <v>0</v>
      </c>
      <c r="O41" s="156">
        <f t="shared" ref="O41" si="14">SUM(O35:O40)</f>
        <v>0</v>
      </c>
    </row>
    <row r="43" spans="2:18" x14ac:dyDescent="0.3">
      <c r="D43" s="158">
        <f>D20+D41</f>
        <v>0</v>
      </c>
      <c r="E43" s="158">
        <f t="shared" ref="E43:O43" si="15">E20+E41</f>
        <v>0</v>
      </c>
      <c r="F43" s="158">
        <f t="shared" si="15"/>
        <v>0</v>
      </c>
      <c r="G43" s="158">
        <f t="shared" si="15"/>
        <v>0</v>
      </c>
      <c r="H43" s="158">
        <f t="shared" si="15"/>
        <v>0</v>
      </c>
      <c r="I43" s="158">
        <f t="shared" si="15"/>
        <v>0</v>
      </c>
      <c r="J43" s="158">
        <f t="shared" si="15"/>
        <v>0</v>
      </c>
      <c r="K43" s="158">
        <f t="shared" si="15"/>
        <v>0</v>
      </c>
      <c r="L43" s="158">
        <f t="shared" si="15"/>
        <v>0</v>
      </c>
      <c r="M43" s="158">
        <f t="shared" si="15"/>
        <v>0</v>
      </c>
      <c r="N43" s="158">
        <f t="shared" si="15"/>
        <v>0</v>
      </c>
      <c r="O43" s="158">
        <f t="shared" si="15"/>
        <v>0</v>
      </c>
    </row>
  </sheetData>
  <phoneticPr fontId="43" type="noConversion"/>
  <pageMargins left="0.7" right="0.7" top="0.75" bottom="0.75" header="0.3" footer="0.3"/>
  <pageSetup orientation="portrait" horizontalDpi="0" verticalDpi="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
  <sheetViews>
    <sheetView workbookViewId="0"/>
  </sheetViews>
  <sheetFormatPr baseColWidth="10" defaultColWidth="10.83203125" defaultRowHeight="15" x14ac:dyDescent="0.2"/>
  <cols>
    <col min="1" max="16384" width="10.83203125" style="1"/>
  </cols>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B2"/>
  <sheetViews>
    <sheetView workbookViewId="0"/>
  </sheetViews>
  <sheetFormatPr baseColWidth="10" defaultColWidth="10.83203125" defaultRowHeight="29" x14ac:dyDescent="0.35"/>
  <cols>
    <col min="1" max="16384" width="10.83203125" style="7"/>
  </cols>
  <sheetData>
    <row r="2" spans="2:2" x14ac:dyDescent="0.35">
      <c r="B2" s="7" t="s">
        <v>358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B2:B20"/>
  <sheetViews>
    <sheetView workbookViewId="0"/>
  </sheetViews>
  <sheetFormatPr baseColWidth="10" defaultColWidth="10.83203125" defaultRowHeight="26" x14ac:dyDescent="0.3"/>
  <cols>
    <col min="1" max="1" width="10.83203125" style="12"/>
    <col min="2" max="2" width="175.6640625" style="12" customWidth="1"/>
    <col min="3" max="16384" width="10.83203125" style="12"/>
  </cols>
  <sheetData>
    <row r="2" spans="2:2" x14ac:dyDescent="0.3">
      <c r="B2" s="12" t="s">
        <v>357</v>
      </c>
    </row>
    <row r="20" spans="2:2" ht="108" x14ac:dyDescent="0.3">
      <c r="B20" s="13" t="s">
        <v>112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25</vt:i4>
      </vt:variant>
    </vt:vector>
  </HeadingPairs>
  <TitlesOfParts>
    <vt:vector size="25" baseType="lpstr">
      <vt:lpstr>Class10</vt:lpstr>
      <vt:lpstr>LearningObjectives</vt:lpstr>
      <vt:lpstr>Concepts</vt:lpstr>
      <vt:lpstr>RiskDrivers</vt:lpstr>
      <vt:lpstr>SourcesOfLiquidity</vt:lpstr>
      <vt:lpstr>Liquidity</vt:lpstr>
      <vt:lpstr>Scenario</vt:lpstr>
      <vt:lpstr>Ratios</vt:lpstr>
      <vt:lpstr>Matz_Ch2</vt:lpstr>
      <vt:lpstr>Matz Ch2.6</vt:lpstr>
      <vt:lpstr>Matz Ch2.7</vt:lpstr>
      <vt:lpstr>Matz Ch2.9</vt:lpstr>
      <vt:lpstr>Liquidity Report</vt:lpstr>
      <vt:lpstr>Matz_Ch4</vt:lpstr>
      <vt:lpstr>Matz_Ch4_Stress</vt:lpstr>
      <vt:lpstr>Matz_Ch7</vt:lpstr>
      <vt:lpstr>NextClass</vt:lpstr>
      <vt:lpstr>IMix1</vt:lpstr>
      <vt:lpstr>IMix1Calc</vt:lpstr>
      <vt:lpstr>IMix2</vt:lpstr>
      <vt:lpstr>IMix2Calc</vt:lpstr>
      <vt:lpstr>LiquidityReport</vt:lpstr>
      <vt:lpstr>Remember</vt:lpstr>
      <vt:lpstr>O_Discussion</vt:lpstr>
      <vt:lpstr>BonusMaterial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David Romoff</cp:lastModifiedBy>
  <dcterms:created xsi:type="dcterms:W3CDTF">2017-03-21T22:03:29Z</dcterms:created>
  <dcterms:modified xsi:type="dcterms:W3CDTF">2026-09-07T02:18:31Z</dcterms:modified>
</cp:coreProperties>
</file>