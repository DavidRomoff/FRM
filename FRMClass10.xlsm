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8_{DD8F471B-B4D0-434D-9093-9EF2339C5449}" xr6:coauthVersionLast="47" xr6:coauthVersionMax="47" xr10:uidLastSave="{00000000-0000-0000-0000-000000000000}"/>
  <bookViews>
    <workbookView xWindow="0" yWindow="0" windowWidth="28800" windowHeight="16200" xr2:uid="{00000000-000D-0000-FFFF-FFFF00000000}"/>
  </bookViews>
  <sheets>
    <sheet name="Class10" sheetId="23" r:id="rId1"/>
    <sheet name="LearningObjectives" sheetId="40" r:id="rId2"/>
    <sheet name="Concepts" sheetId="7" r:id="rId3"/>
    <sheet name="RiskDrivers" sheetId="33" r:id="rId4"/>
    <sheet name="SourcesOfLiquidity" sheetId="38" r:id="rId5"/>
    <sheet name="Liquidity" sheetId="44" r:id="rId6"/>
    <sheet name="Scenario" sheetId="19" state="hidden" r:id="rId7"/>
    <sheet name="Ratios" sheetId="15" r:id="rId8"/>
    <sheet name="Matz_Ch2" sheetId="16" r:id="rId9"/>
    <sheet name="Matz Ch2.6" sheetId="50" r:id="rId10"/>
    <sheet name="Matz Ch2.7" sheetId="51" r:id="rId11"/>
    <sheet name="Matz Ch2.9" sheetId="52" r:id="rId12"/>
    <sheet name="Liquidity Report" sheetId="53" state="hidden" r:id="rId13"/>
    <sheet name="Matz_Ch4" sheetId="17" r:id="rId14"/>
    <sheet name="Matz_Ch4_Stress" sheetId="54" r:id="rId15"/>
    <sheet name="Matz_Ch7" sheetId="21" r:id="rId16"/>
    <sheet name="NextClass" sheetId="48" r:id="rId17"/>
    <sheet name="IMix1" sheetId="34" r:id="rId18"/>
    <sheet name="IMix1Calc" sheetId="35" r:id="rId19"/>
    <sheet name="IMix2" sheetId="36" r:id="rId20"/>
    <sheet name="IMix2Calc" sheetId="37" r:id="rId21"/>
    <sheet name="LiquidityReport" sheetId="55" r:id="rId22"/>
    <sheet name="Remember" sheetId="20" r:id="rId23"/>
    <sheet name="O_Discussion" sheetId="25" r:id="rId24"/>
    <sheet name="BonusMaterial" sheetId="28"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a" localSheetId="1">#REF!</definedName>
    <definedName name="a" localSheetId="3">#REF!</definedName>
    <definedName name="a" localSheetId="4">#REF!</definedName>
    <definedName name="a">#REF!</definedName>
    <definedName name="AccrualPMT">[1]CDS!$I$21:$I$25</definedName>
    <definedName name="alan">[2]Excel!$C$10</definedName>
    <definedName name="alpha" localSheetId="1">#REF!</definedName>
    <definedName name="alpha" localSheetId="3">#REF!</definedName>
    <definedName name="alpha" localSheetId="4">#REF!</definedName>
    <definedName name="alpha">#REF!</definedName>
    <definedName name="bid" localSheetId="1">#REF!</definedName>
    <definedName name="bid" localSheetId="3">#REF!</definedName>
    <definedName name="bid" localSheetId="4">#REF!</definedName>
    <definedName name="bid">#REF!</definedName>
    <definedName name="Bond_Value" localSheetId="17">#REF!</definedName>
    <definedName name="Bond_Value" localSheetId="19">#REF!</definedName>
    <definedName name="Bond_Value" localSheetId="1">#REF!</definedName>
    <definedName name="Bond_Value" localSheetId="3">#REF!</definedName>
    <definedName name="Bond_Value" localSheetId="4">#REF!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7">#REF!</definedName>
    <definedName name="CouponPmt" localSheetId="19">#REF!</definedName>
    <definedName name="CouponPmt" localSheetId="1">#REF!</definedName>
    <definedName name="CouponPmt" localSheetId="3">#REF!</definedName>
    <definedName name="CouponPmt" localSheetId="4">#REF!</definedName>
    <definedName name="CouponPmt">#REF!</definedName>
    <definedName name="CouponRate" localSheetId="17">#REF!</definedName>
    <definedName name="CouponRate" localSheetId="19">#REF!</definedName>
    <definedName name="CouponRate" localSheetId="1">#REF!</definedName>
    <definedName name="CouponRate" localSheetId="3">#REF!</definedName>
    <definedName name="CouponRate" localSheetId="4">#REF!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7">#REF!</definedName>
    <definedName name="Face" localSheetId="19">#REF!</definedName>
    <definedName name="Face" localSheetId="1">#REF!</definedName>
    <definedName name="Face" localSheetId="3">#REF!</definedName>
    <definedName name="Face" localSheetId="4">#REF!</definedName>
    <definedName name="Face">#REF!</definedName>
    <definedName name="forward_rate">[5]FX_Intro!$C$68</definedName>
    <definedName name="Frequency" localSheetId="17">#REF!</definedName>
    <definedName name="Frequency" localSheetId="19">#REF!</definedName>
    <definedName name="Frequency" localSheetId="1">#REF!</definedName>
    <definedName name="Frequency" localSheetId="3">#REF!</definedName>
    <definedName name="Frequency" localSheetId="4">#REF!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#REF!</definedName>
    <definedName name="midprice" localSheetId="3">#REF!</definedName>
    <definedName name="midprice" localSheetId="4">#REF!</definedName>
    <definedName name="midprice">#REF!</definedName>
    <definedName name="mu" localSheetId="1">#REF!</definedName>
    <definedName name="mu" localSheetId="3">#REF!</definedName>
    <definedName name="mu" localSheetId="4">#REF!</definedName>
    <definedName name="mu">#REF!</definedName>
    <definedName name="n" localSheetId="17">#REF!</definedName>
    <definedName name="n" localSheetId="19">#REF!</definedName>
    <definedName name="n" localSheetId="1">#REF!</definedName>
    <definedName name="n" localSheetId="3">#REF!</definedName>
    <definedName name="n" localSheetId="4">#REF!</definedName>
    <definedName name="n">#REF!</definedName>
    <definedName name="n_" localSheetId="17">#REF!</definedName>
    <definedName name="n_" localSheetId="19">#REF!</definedName>
    <definedName name="n_" localSheetId="1">#REF!</definedName>
    <definedName name="n_" localSheetId="3">#REF!</definedName>
    <definedName name="n_" localSheetId="4">#REF!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#REF!</definedName>
    <definedName name="offer" localSheetId="3">#REF!</definedName>
    <definedName name="offer" localSheetId="4">#REF!</definedName>
    <definedName name="offer">#REF!</definedName>
    <definedName name="p">[6]Bond!$F$6</definedName>
    <definedName name="PD">[1]CDS!$C$21:$C$25</definedName>
    <definedName name="Period" localSheetId="17">#REF!</definedName>
    <definedName name="Period" localSheetId="19">#REF!</definedName>
    <definedName name="Period" localSheetId="1">#REF!</definedName>
    <definedName name="Period" localSheetId="3">#REF!</definedName>
    <definedName name="Period" localSheetId="4">#REF!</definedName>
    <definedName name="Period">#REF!</definedName>
    <definedName name="peso_rate">[5]FX_Intro!$C$66</definedName>
    <definedName name="pmt" localSheetId="17">#REF!</definedName>
    <definedName name="pmt" localSheetId="19">#REF!</definedName>
    <definedName name="pmt" localSheetId="1">#REF!</definedName>
    <definedName name="pmt" localSheetId="3">#REF!</definedName>
    <definedName name="pmt" localSheetId="4">#REF!</definedName>
    <definedName name="pmt">#REF!</definedName>
    <definedName name="pmt_" localSheetId="17">#REF!</definedName>
    <definedName name="pmt_" localSheetId="19">#REF!</definedName>
    <definedName name="pmt_" localSheetId="1">#REF!</definedName>
    <definedName name="pmt_" localSheetId="3">#REF!</definedName>
    <definedName name="pmt_" localSheetId="4">#REF!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#REF!</definedName>
    <definedName name="s" localSheetId="3">#REF!</definedName>
    <definedName name="s" localSheetId="4">#REF!</definedName>
    <definedName name="s">#REF!</definedName>
    <definedName name="S0">#REF!</definedName>
    <definedName name="S0_e_qt">[3]OptionsHW!$C$17:$E$17</definedName>
    <definedName name="SD">#REF!</definedName>
    <definedName name="Shares" localSheetId="1">#REF!</definedName>
    <definedName name="Shares" localSheetId="3">#REF!</definedName>
    <definedName name="Shares" localSheetId="4">#REF!</definedName>
    <definedName name="Shares">#REF!</definedName>
    <definedName name="sigma" localSheetId="1">#REF!</definedName>
    <definedName name="sigma" localSheetId="3">#REF!</definedName>
    <definedName name="sigma" localSheetId="4">#REF!</definedName>
    <definedName name="sigma">#REF!</definedName>
    <definedName name="simS" localSheetId="1">#REF!</definedName>
    <definedName name="simS" localSheetId="3">#REF!</definedName>
    <definedName name="simS" localSheetId="4">#REF!</definedName>
    <definedName name="simS">#REF!</definedName>
    <definedName name="sims_a">[8]VaR1!$I$17:$I$37</definedName>
    <definedName name="sims_h">[8]VaR1!$H$17:$H$37</definedName>
    <definedName name="simSpread" localSheetId="1">#REF!</definedName>
    <definedName name="simSpread" localSheetId="3">#REF!</definedName>
    <definedName name="simSpread" localSheetId="4">#REF!</definedName>
    <definedName name="simSpread">#REF!</definedName>
    <definedName name="simSpreadPerShare" localSheetId="1">#REF!</definedName>
    <definedName name="simSpreadPerShare" localSheetId="3">#REF!</definedName>
    <definedName name="simSpreadPerShare" localSheetId="4">#REF!</definedName>
    <definedName name="simSpreadPerShare">#REF!</definedName>
    <definedName name="Spot">[3]fxHW!$F$3:$H$3</definedName>
    <definedName name="spread" localSheetId="1">#REF!</definedName>
    <definedName name="spread" localSheetId="3">#REF!</definedName>
    <definedName name="spread" localSheetId="4">#REF!</definedName>
    <definedName name="spread">#REF!</definedName>
    <definedName name="SpreadVaR" localSheetId="1">#REF!</definedName>
    <definedName name="SpreadVaR" localSheetId="3">#REF!</definedName>
    <definedName name="SpreadVaR" localSheetId="4">#REF!</definedName>
    <definedName name="SpreadVaR">#REF!</definedName>
    <definedName name="StartingPortfolio">[1]ExporeInf!$C$29:$H$29</definedName>
    <definedName name="t">[1]CDS!$B$11:$B$15</definedName>
    <definedName name="t_">[1]CDS!$B$21:$B$25</definedName>
    <definedName name="table_asf" localSheetId="21">[9]ASF!$C$31:$D$34</definedName>
    <definedName name="table_asf">[10]ASF!$C$31:$D$34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7">#REF!</definedName>
    <definedName name="v" localSheetId="19">#REF!</definedName>
    <definedName name="v" localSheetId="1">#REF!</definedName>
    <definedName name="v" localSheetId="3">#REF!</definedName>
    <definedName name="v" localSheetId="4">#REF!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7">#REF!</definedName>
    <definedName name="YTM" localSheetId="19">#REF!</definedName>
    <definedName name="YTM" localSheetId="1">#REF!</definedName>
    <definedName name="YTM" localSheetId="3">#REF!</definedName>
    <definedName name="YTM" localSheetId="4">#REF!</definedName>
    <definedName name="YTM">#REF!</definedName>
    <definedName name="YTM_rf" localSheetId="17">#REF!</definedName>
    <definedName name="YTM_rf" localSheetId="19">#REF!</definedName>
    <definedName name="YTM_rf" localSheetId="1">#REF!</definedName>
    <definedName name="YTM_rf" localSheetId="3">#REF!</definedName>
    <definedName name="YTM_rf" localSheetId="4">#REF!</definedName>
    <definedName name="YTM_rf">#REF!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41" i="55" l="1"/>
  <c r="N41" i="55"/>
  <c r="M41" i="55"/>
  <c r="L41" i="55"/>
  <c r="K41" i="55"/>
  <c r="J41" i="55"/>
  <c r="I41" i="55"/>
  <c r="H41" i="55"/>
  <c r="G41" i="55"/>
  <c r="F41" i="55"/>
  <c r="E41" i="55"/>
  <c r="D41" i="55"/>
  <c r="D29" i="55" l="1"/>
  <c r="E29" i="55"/>
  <c r="F29" i="55"/>
  <c r="G29" i="55"/>
  <c r="H29" i="55"/>
  <c r="I29" i="55"/>
  <c r="J29" i="55"/>
  <c r="K29" i="55"/>
  <c r="L29" i="55"/>
  <c r="M29" i="55"/>
  <c r="N29" i="55"/>
  <c r="O29" i="55"/>
  <c r="K3" i="35"/>
  <c r="G3" i="35" s="1"/>
  <c r="C20" i="55"/>
  <c r="D20" i="55" s="1"/>
  <c r="E20" i="55" l="1"/>
  <c r="D31" i="55"/>
  <c r="D43" i="55"/>
  <c r="O20" i="55"/>
  <c r="K20" i="55"/>
  <c r="L20" i="55"/>
  <c r="M20" i="55"/>
  <c r="L15" i="54"/>
  <c r="L16" i="54"/>
  <c r="L17" i="54"/>
  <c r="L18" i="54"/>
  <c r="L19" i="54"/>
  <c r="L20" i="54"/>
  <c r="L21" i="54"/>
  <c r="L22" i="54"/>
  <c r="L23" i="54"/>
  <c r="K16" i="54"/>
  <c r="K17" i="54"/>
  <c r="K18" i="54"/>
  <c r="K19" i="54"/>
  <c r="K20" i="54"/>
  <c r="K21" i="54"/>
  <c r="K22" i="54"/>
  <c r="K23" i="54"/>
  <c r="K15" i="54"/>
  <c r="N20" i="55" l="1"/>
  <c r="M43" i="55"/>
  <c r="M31" i="55"/>
  <c r="L31" i="55"/>
  <c r="L43" i="55"/>
  <c r="K43" i="55"/>
  <c r="K31" i="55"/>
  <c r="O31" i="55"/>
  <c r="O43" i="55"/>
  <c r="F20" i="55"/>
  <c r="E43" i="55"/>
  <c r="E31" i="55"/>
  <c r="E4" i="53"/>
  <c r="E21" i="53"/>
  <c r="D37" i="53" s="1"/>
  <c r="K24" i="53"/>
  <c r="L24" i="53"/>
  <c r="M24" i="53"/>
  <c r="N24" i="53"/>
  <c r="O24" i="53"/>
  <c r="P24" i="53"/>
  <c r="Q24" i="53"/>
  <c r="J24" i="53"/>
  <c r="K13" i="53"/>
  <c r="L13" i="53"/>
  <c r="M13" i="53"/>
  <c r="N13" i="53"/>
  <c r="O13" i="53"/>
  <c r="P13" i="53"/>
  <c r="Q13" i="53"/>
  <c r="J13" i="53"/>
  <c r="T7" i="53"/>
  <c r="T13" i="53" s="1"/>
  <c r="S7" i="53"/>
  <c r="S13" i="53" s="1"/>
  <c r="R7" i="53"/>
  <c r="R13" i="53" s="1"/>
  <c r="I4" i="53"/>
  <c r="J4" i="53" s="1"/>
  <c r="G20" i="55" l="1"/>
  <c r="F31" i="55"/>
  <c r="F43" i="55"/>
  <c r="N43" i="55"/>
  <c r="N31" i="55"/>
  <c r="K26" i="53"/>
  <c r="L26" i="53"/>
  <c r="D30" i="53"/>
  <c r="T18" i="53" s="1"/>
  <c r="T24" i="53" s="1"/>
  <c r="T26" i="53" s="1"/>
  <c r="J26" i="53"/>
  <c r="M26" i="53"/>
  <c r="D31" i="53"/>
  <c r="D32" i="53"/>
  <c r="D35" i="53"/>
  <c r="D28" i="53"/>
  <c r="R18" i="53" s="1"/>
  <c r="R24" i="53" s="1"/>
  <c r="R26" i="53" s="1"/>
  <c r="D36" i="53"/>
  <c r="D34" i="53"/>
  <c r="D33" i="53"/>
  <c r="D29" i="53"/>
  <c r="S18" i="53" s="1"/>
  <c r="S24" i="53" s="1"/>
  <c r="S26" i="53" s="1"/>
  <c r="P26" i="53"/>
  <c r="O26" i="53"/>
  <c r="Q26" i="53"/>
  <c r="N26" i="53"/>
  <c r="T4" i="53"/>
  <c r="S4" i="53"/>
  <c r="R4" i="53"/>
  <c r="Q4" i="53"/>
  <c r="P4" i="53"/>
  <c r="O4" i="53"/>
  <c r="N4" i="53"/>
  <c r="M4" i="53"/>
  <c r="L4" i="53"/>
  <c r="K4" i="53"/>
  <c r="F47" i="52"/>
  <c r="F48" i="52" s="1"/>
  <c r="D47" i="52"/>
  <c r="D48" i="52" s="1"/>
  <c r="C47" i="52"/>
  <c r="C48" i="52" s="1"/>
  <c r="F39" i="52"/>
  <c r="D39" i="52"/>
  <c r="C39" i="52"/>
  <c r="F33" i="52"/>
  <c r="D33" i="52"/>
  <c r="C33" i="52"/>
  <c r="F28" i="52"/>
  <c r="D28" i="52"/>
  <c r="C28" i="52"/>
  <c r="F23" i="52"/>
  <c r="D23" i="52"/>
  <c r="C23" i="52"/>
  <c r="F18" i="52"/>
  <c r="C18" i="52"/>
  <c r="F14" i="52"/>
  <c r="D14" i="52"/>
  <c r="C14" i="52"/>
  <c r="F9" i="52"/>
  <c r="D9" i="52"/>
  <c r="C9" i="52"/>
  <c r="F44" i="51"/>
  <c r="D44" i="51"/>
  <c r="C44" i="51"/>
  <c r="F38" i="51"/>
  <c r="D38" i="51"/>
  <c r="C38" i="51"/>
  <c r="F33" i="51"/>
  <c r="D33" i="51"/>
  <c r="C33" i="51"/>
  <c r="F28" i="51"/>
  <c r="D28" i="51"/>
  <c r="C28" i="51"/>
  <c r="F23" i="51"/>
  <c r="D23" i="51"/>
  <c r="C23" i="51"/>
  <c r="F19" i="51"/>
  <c r="D19" i="51"/>
  <c r="C19" i="51"/>
  <c r="F14" i="51"/>
  <c r="D14" i="51"/>
  <c r="C14" i="51"/>
  <c r="F10" i="51"/>
  <c r="D10" i="51"/>
  <c r="C10" i="51"/>
  <c r="F16" i="50"/>
  <c r="D16" i="50"/>
  <c r="C16" i="50"/>
  <c r="H20" i="55" l="1"/>
  <c r="G43" i="55"/>
  <c r="G31" i="55"/>
  <c r="C45" i="51"/>
  <c r="F45" i="51"/>
  <c r="D45" i="51"/>
  <c r="D40" i="52"/>
  <c r="D50" i="52" s="1"/>
  <c r="C40" i="52"/>
  <c r="C50" i="52" s="1"/>
  <c r="F40" i="52"/>
  <c r="F50" i="52" s="1"/>
  <c r="U29" i="35"/>
  <c r="T29" i="35"/>
  <c r="S29" i="35"/>
  <c r="R29" i="35"/>
  <c r="I20" i="55" l="1"/>
  <c r="H43" i="55"/>
  <c r="H31" i="55"/>
  <c r="U27" i="37"/>
  <c r="U18" i="37" s="1"/>
  <c r="T27" i="37"/>
  <c r="T29" i="37" s="1"/>
  <c r="S27" i="37"/>
  <c r="S13" i="37" s="1"/>
  <c r="R27" i="37"/>
  <c r="R5" i="37" s="1"/>
  <c r="Q27" i="37"/>
  <c r="Q18" i="37" s="1"/>
  <c r="T28" i="37"/>
  <c r="C25" i="37"/>
  <c r="K23" i="37"/>
  <c r="J23" i="37"/>
  <c r="I23" i="37"/>
  <c r="G20" i="37"/>
  <c r="H23" i="37" s="1"/>
  <c r="G21" i="37"/>
  <c r="T22" i="37"/>
  <c r="T18" i="37"/>
  <c r="K5" i="37"/>
  <c r="K13" i="37"/>
  <c r="K14" i="37"/>
  <c r="K11" i="37"/>
  <c r="K18" i="37"/>
  <c r="J5" i="37"/>
  <c r="J13" i="37"/>
  <c r="J14" i="37"/>
  <c r="J11" i="37"/>
  <c r="J18" i="37" s="1"/>
  <c r="I5" i="37"/>
  <c r="I13" i="37"/>
  <c r="I11" i="37" s="1"/>
  <c r="I18" i="37" s="1"/>
  <c r="I14" i="37"/>
  <c r="H5" i="37"/>
  <c r="H13" i="37"/>
  <c r="H11" i="37" s="1"/>
  <c r="H18" i="37" s="1"/>
  <c r="H14" i="37"/>
  <c r="G5" i="37"/>
  <c r="G13" i="37"/>
  <c r="G14" i="37"/>
  <c r="G11" i="37"/>
  <c r="G18" i="37"/>
  <c r="C13" i="37"/>
  <c r="T9" i="37"/>
  <c r="U5" i="37"/>
  <c r="T5" i="37"/>
  <c r="U27" i="35"/>
  <c r="U28" i="35"/>
  <c r="T27" i="35"/>
  <c r="T28" i="35" s="1"/>
  <c r="S27" i="35"/>
  <c r="S28" i="35"/>
  <c r="R27" i="35"/>
  <c r="R28" i="35" s="1"/>
  <c r="Q27" i="35"/>
  <c r="K24" i="35"/>
  <c r="I23" i="35"/>
  <c r="J24" i="35" s="1"/>
  <c r="H23" i="35"/>
  <c r="G21" i="35"/>
  <c r="H24" i="35" s="1"/>
  <c r="G22" i="35"/>
  <c r="G23" i="35"/>
  <c r="C17" i="35"/>
  <c r="C23" i="35" s="1"/>
  <c r="C20" i="35"/>
  <c r="U22" i="35"/>
  <c r="T22" i="35"/>
  <c r="S22" i="35"/>
  <c r="K5" i="35"/>
  <c r="K19" i="35" s="1"/>
  <c r="K11" i="35"/>
  <c r="J5" i="35"/>
  <c r="J11" i="35"/>
  <c r="J19" i="35"/>
  <c r="I5" i="35"/>
  <c r="I11" i="35"/>
  <c r="I19" i="35"/>
  <c r="H5" i="35"/>
  <c r="H19" i="35" s="1"/>
  <c r="H11" i="35"/>
  <c r="G5" i="35"/>
  <c r="G19" i="35" s="1"/>
  <c r="G11" i="35"/>
  <c r="U18" i="35"/>
  <c r="S18" i="35"/>
  <c r="C5" i="35"/>
  <c r="C9" i="35"/>
  <c r="C14" i="35"/>
  <c r="U13" i="35"/>
  <c r="S13" i="35"/>
  <c r="R13" i="35"/>
  <c r="U9" i="35"/>
  <c r="S9" i="35"/>
  <c r="R9" i="35"/>
  <c r="U5" i="35"/>
  <c r="S5" i="35"/>
  <c r="R5" i="35"/>
  <c r="J20" i="55" l="1"/>
  <c r="I31" i="55"/>
  <c r="I43" i="55"/>
  <c r="Q5" i="37"/>
  <c r="T13" i="37"/>
  <c r="S22" i="37"/>
  <c r="S28" i="37"/>
  <c r="R9" i="37"/>
  <c r="R29" i="37"/>
  <c r="R18" i="37"/>
  <c r="R22" i="37"/>
  <c r="R28" i="37"/>
  <c r="R13" i="37"/>
  <c r="Q29" i="35"/>
  <c r="Q22" i="35"/>
  <c r="Q13" i="35"/>
  <c r="Q18" i="35"/>
  <c r="Q9" i="35"/>
  <c r="T18" i="35"/>
  <c r="I24" i="35"/>
  <c r="T5" i="35"/>
  <c r="T9" i="35"/>
  <c r="T13" i="35"/>
  <c r="R22" i="35"/>
  <c r="S5" i="37"/>
  <c r="Q22" i="37"/>
  <c r="U22" i="37"/>
  <c r="Q28" i="37"/>
  <c r="U28" i="37"/>
  <c r="R18" i="35"/>
  <c r="S9" i="37"/>
  <c r="Q13" i="37"/>
  <c r="U13" i="37"/>
  <c r="S18" i="37"/>
  <c r="Q29" i="37"/>
  <c r="S29" i="37"/>
  <c r="U29" i="37"/>
  <c r="Q9" i="37"/>
  <c r="U9" i="37"/>
  <c r="J31" i="55" l="1"/>
  <c r="J43" i="55"/>
</calcChain>
</file>

<file path=xl/sharedStrings.xml><?xml version="1.0" encoding="utf-8"?>
<sst xmlns="http://schemas.openxmlformats.org/spreadsheetml/2006/main" count="694" uniqueCount="445">
  <si>
    <t>Concepts</t>
  </si>
  <si>
    <t>Unencumbered Assets</t>
  </si>
  <si>
    <t>Rolling over debt</t>
  </si>
  <si>
    <t>What’s the risk?</t>
  </si>
  <si>
    <t>Liquidity Ratios for Banks</t>
  </si>
  <si>
    <t>loan / deposits</t>
  </si>
  <si>
    <t>short term debt / total</t>
  </si>
  <si>
    <t>Short Term Debt for Banks</t>
  </si>
  <si>
    <t>overnight funding</t>
  </si>
  <si>
    <t>repo</t>
  </si>
  <si>
    <t>CD’s</t>
  </si>
  <si>
    <t>How to NOT do risk management:</t>
  </si>
  <si>
    <t>Borrow short term to sell insurance at the tail</t>
  </si>
  <si>
    <t>What to be on the lookout for?</t>
  </si>
  <si>
    <t>Is funding sufficient?</t>
  </si>
  <si>
    <t>Funding consistent with risk appetite?</t>
  </si>
  <si>
    <t>Regulation: Liquidity Buffers</t>
  </si>
  <si>
    <t>What’s the benefit?</t>
  </si>
  <si>
    <t>Banks use deposits to borrow short and lend long</t>
  </si>
  <si>
    <t>interest coverage ratio (EBIT / interest payments)</t>
  </si>
  <si>
    <t>Coverage</t>
  </si>
  <si>
    <t>Debt to equity ratio (debt / equity)</t>
  </si>
  <si>
    <t>Debt to capital ratio (debt / debt + equity)</t>
  </si>
  <si>
    <t>Debt to assets ratio</t>
  </si>
  <si>
    <t>Solvency Ratios</t>
  </si>
  <si>
    <t>ccc = Turnovers: inventory + receivables - payables</t>
  </si>
  <si>
    <t>time to receive cash from operations</t>
  </si>
  <si>
    <t>cash conversion cycle</t>
  </si>
  <si>
    <t>quick assets / daily cash expenses</t>
  </si>
  <si>
    <t>cash / current liabilities</t>
  </si>
  <si>
    <t>cash ratio</t>
  </si>
  <si>
    <t>(excludes inventory)</t>
  </si>
  <si>
    <t>quick assets / current liabilities</t>
  </si>
  <si>
    <t>quick ratio</t>
  </si>
  <si>
    <t>current assets / current liabilities</t>
  </si>
  <si>
    <t>current ratio</t>
  </si>
  <si>
    <t>Short Term</t>
  </si>
  <si>
    <t>Be sure to display adjustments as an adjustment row.</t>
  </si>
  <si>
    <t>Cash flow forecasts</t>
  </si>
  <si>
    <t>Tools</t>
  </si>
  <si>
    <t>Determine buffer size</t>
  </si>
  <si>
    <t>Control in-flow and out-flow</t>
  </si>
  <si>
    <t>Understand cash flow sources and uses</t>
  </si>
  <si>
    <t>Solutions</t>
  </si>
  <si>
    <t>Exclude Off-Balance Sheet Exposures</t>
  </si>
  <si>
    <t>Single View</t>
  </si>
  <si>
    <t>Historical</t>
  </si>
  <si>
    <t>Matz page 2-7</t>
  </si>
  <si>
    <t>Matz page 2-4</t>
  </si>
  <si>
    <t>No Benchmarks.</t>
  </si>
  <si>
    <t>Loans assumed to be illiquid.</t>
  </si>
  <si>
    <t>All assets other than loans assumed to be liquid.</t>
  </si>
  <si>
    <t>Inform management.</t>
  </si>
  <si>
    <t>Compare need to availability.</t>
  </si>
  <si>
    <t>Calculate the amount of liquid funds.</t>
  </si>
  <si>
    <t>Total the customer cash flows and the treasury cash flows.</t>
  </si>
  <si>
    <t>Add treasury cash flows.</t>
  </si>
  <si>
    <t>For each of them, identify cash flows from customers.</t>
  </si>
  <si>
    <t>Define scenarios and levels.</t>
  </si>
  <si>
    <t>8 Steps in stress testing</t>
  </si>
  <si>
    <t>VaR failed in 2007-2008</t>
  </si>
  <si>
    <t>contingent vs structural risk</t>
  </si>
  <si>
    <t>VaR</t>
  </si>
  <si>
    <t>comply with regulators</t>
  </si>
  <si>
    <t>assist in bank management</t>
  </si>
  <si>
    <t>identify opportunities for quick responses</t>
  </si>
  <si>
    <t>highlight potential problems</t>
  </si>
  <si>
    <t>Stress Tests</t>
  </si>
  <si>
    <t>Is this an example of failed liquidity?</t>
  </si>
  <si>
    <t>Future lawsuits may follow and could cost $30</t>
  </si>
  <si>
    <t>A lawsuit costs the company $20.</t>
  </si>
  <si>
    <t>Same company as before.</t>
  </si>
  <si>
    <t>How about this?</t>
  </si>
  <si>
    <t>What do you do?</t>
  </si>
  <si>
    <t>Another point of view:</t>
  </si>
  <si>
    <t>How much is your company worth?</t>
  </si>
  <si>
    <t>No one will lend to you.</t>
  </si>
  <si>
    <t>What's your company worth?</t>
  </si>
  <si>
    <t>Interest rates are at 10%</t>
  </si>
  <si>
    <t>For each of them, identify contractual cash flows.</t>
  </si>
  <si>
    <t>Annuities and annuities in insurance</t>
  </si>
  <si>
    <t>Hedge funds with lock-in periods</t>
  </si>
  <si>
    <t>Encourage concentration in sources with sticky funds.</t>
  </si>
  <si>
    <t>Repo Lines</t>
  </si>
  <si>
    <t>Debt</t>
  </si>
  <si>
    <t>Securitization</t>
  </si>
  <si>
    <t>Equity</t>
  </si>
  <si>
    <t>Multiple funding sources</t>
  </si>
  <si>
    <t>Liability diversification i.e multiple funding sources can help.</t>
  </si>
  <si>
    <t>You can memorize this book to make a career out of it.</t>
  </si>
  <si>
    <t>Liquidity risk can only be thought of under scenarios.</t>
  </si>
  <si>
    <t>Counter Balancing Capacity CBC</t>
  </si>
  <si>
    <t>Worst Case Cash Requirement</t>
  </si>
  <si>
    <t>Forward Cash Exposure FCE</t>
  </si>
  <si>
    <t>Liquidity, Buyouts, and CLOs</t>
  </si>
  <si>
    <t>Liquidity Risk Management Text</t>
  </si>
  <si>
    <t>Financial leverage ratio (assets / equity)</t>
  </si>
  <si>
    <t>Ch2</t>
  </si>
  <si>
    <t>Ch4</t>
  </si>
  <si>
    <t>Ch7</t>
  </si>
  <si>
    <t>http://www.investopedia.com/terms/c/cashconversioncycle.asp</t>
  </si>
  <si>
    <t>Loan to deposit ratios are not measures of liquidity risk</t>
  </si>
  <si>
    <t>Scenario</t>
  </si>
  <si>
    <t>Do you want to declare bankruptcy or sell?</t>
  </si>
  <si>
    <t>You have $500 in cash and you hear of the distressed company above.</t>
  </si>
  <si>
    <t>You are a hedge fund manager in Private Equity.</t>
  </si>
  <si>
    <t>What RoI can you make for yourself?</t>
  </si>
  <si>
    <t>How much capital would you put at risk?</t>
  </si>
  <si>
    <t>Deficiencies in liquidity ratios:</t>
  </si>
  <si>
    <t>How much do you think the textbook price was in 2011?</t>
  </si>
  <si>
    <t>https://www.investopedia.com/terms/c/capital-buffer.asp</t>
  </si>
  <si>
    <t>At the end of a year, some back luck occurs, and you owe $60M immediately.</t>
  </si>
  <si>
    <t>Your company generates $56M in Free Cash Flows per year</t>
  </si>
  <si>
    <t>After using up your year's FCF how much do you still owe?</t>
  </si>
  <si>
    <t>The term originates in Greek mythology. Cassandra was a daughter of Priam, the King of Troy. Struck by her beauty, Apollo provided her with the gift of prophecy, but when Cassandra refused Apollo's romantic advances, he placed a curse ensuring that nobody would believe her warnings. Cassandra was left with the knowledge of future events, but could neither alter these events nor convince others of the validity of her predictions.</t>
  </si>
  <si>
    <t>Title</t>
  </si>
  <si>
    <t>Description</t>
  </si>
  <si>
    <t>Instructions</t>
  </si>
  <si>
    <t>US$ million</t>
  </si>
  <si>
    <t>Assets</t>
  </si>
  <si>
    <t>Q1</t>
  </si>
  <si>
    <t>Q2</t>
  </si>
  <si>
    <t>Q3</t>
  </si>
  <si>
    <t>Q4</t>
  </si>
  <si>
    <t>US$ mn</t>
  </si>
  <si>
    <t>Current Assets</t>
  </si>
  <si>
    <t>Inflows</t>
  </si>
  <si>
    <t>Cash &amp; bank accounts</t>
  </si>
  <si>
    <t>Sales</t>
  </si>
  <si>
    <t>Accounts receivable</t>
  </si>
  <si>
    <t>Accounts payable</t>
  </si>
  <si>
    <t>Fixed Assets</t>
  </si>
  <si>
    <t>Property, plant &amp; equipment</t>
  </si>
  <si>
    <t>Other</t>
  </si>
  <si>
    <t>Long term investments</t>
  </si>
  <si>
    <t>Outflows</t>
  </si>
  <si>
    <t>Total Assets</t>
  </si>
  <si>
    <t>Payroll</t>
  </si>
  <si>
    <t>Liabilities &amp; Equity</t>
  </si>
  <si>
    <t>Current Liabilities</t>
  </si>
  <si>
    <t>Short term debt</t>
  </si>
  <si>
    <t>Long term debt</t>
  </si>
  <si>
    <t>Capital expenditure</t>
  </si>
  <si>
    <t>Shareholder Equity</t>
  </si>
  <si>
    <t>Total Liabilities &amp; Equity</t>
  </si>
  <si>
    <t>Net Cash Flow</t>
  </si>
  <si>
    <t>Beginning cash &amp; bank accounts</t>
  </si>
  <si>
    <t>Intangible assets</t>
  </si>
  <si>
    <t>Funding Liquidity</t>
  </si>
  <si>
    <t>Investment Liquidity</t>
  </si>
  <si>
    <t>Investment mix for an industrial company</t>
  </si>
  <si>
    <t>COMPANY H SUMMARY BALANCE SHEET</t>
  </si>
  <si>
    <t>COMPANY H INVESTMENT MIX</t>
  </si>
  <si>
    <t>Expected</t>
  </si>
  <si>
    <t>Yield</t>
  </si>
  <si>
    <t>Liquidity</t>
  </si>
  <si>
    <t>% p.a.</t>
  </si>
  <si>
    <t>(Days)</t>
  </si>
  <si>
    <t>Money Market</t>
  </si>
  <si>
    <t>% of total</t>
  </si>
  <si>
    <t>Treasuries</t>
  </si>
  <si>
    <t>Short term investments</t>
  </si>
  <si>
    <t>Royalties</t>
  </si>
  <si>
    <t>CD's</t>
  </si>
  <si>
    <t>Investments</t>
  </si>
  <si>
    <t>Working capital</t>
  </si>
  <si>
    <t>Fixed Income</t>
  </si>
  <si>
    <t>Bonds</t>
  </si>
  <si>
    <t>ABS</t>
  </si>
  <si>
    <t>Patents</t>
  </si>
  <si>
    <t>Fixed costs</t>
  </si>
  <si>
    <t>Equities</t>
  </si>
  <si>
    <t>Employee retirement</t>
  </si>
  <si>
    <t>Stocks</t>
  </si>
  <si>
    <t>ETF's</t>
  </si>
  <si>
    <t>Preferred stock</t>
  </si>
  <si>
    <t>Bank fees &amp; interest</t>
  </si>
  <si>
    <t>Derivatives</t>
  </si>
  <si>
    <t>Futures</t>
  </si>
  <si>
    <t>Other Liabilities</t>
  </si>
  <si>
    <t>OTC</t>
  </si>
  <si>
    <t>Collateral/Margin</t>
  </si>
  <si>
    <t>Beginning investments</t>
  </si>
  <si>
    <t>Alternative Investments</t>
  </si>
  <si>
    <t>Beginning debt</t>
  </si>
  <si>
    <t>Commercial Real Estate</t>
  </si>
  <si>
    <t>Net change</t>
  </si>
  <si>
    <t>Private Equity</t>
  </si>
  <si>
    <t>Hedge Funds</t>
  </si>
  <si>
    <t>Total</t>
  </si>
  <si>
    <t>Weighted average expected liquidity (days)</t>
  </si>
  <si>
    <t>Investment mix for a financial institution</t>
  </si>
  <si>
    <t>INSURER SUMMARY BALANCE SHEET</t>
  </si>
  <si>
    <t>INSURER 2019 CASH FLOW FORECAST</t>
  </si>
  <si>
    <t>INSURER INVESTMENT MIX</t>
  </si>
  <si>
    <t>Property &amp; casualty premiums</t>
  </si>
  <si>
    <t>Assets for sale</t>
  </si>
  <si>
    <t>Life insurance premiums</t>
  </si>
  <si>
    <t>Reinsurance claims pending</t>
  </si>
  <si>
    <t>Property &amp; equipment</t>
  </si>
  <si>
    <t>Other assets</t>
  </si>
  <si>
    <t>Property &amp; casualty claims</t>
  </si>
  <si>
    <t>Life insurance claims</t>
  </si>
  <si>
    <t>Property &amp; casualty reserve</t>
  </si>
  <si>
    <t>Life insurance reserve</t>
  </si>
  <si>
    <t>Contract-holder funds</t>
  </si>
  <si>
    <t>Claims pending</t>
  </si>
  <si>
    <t>Unearned premiums</t>
  </si>
  <si>
    <t>Other liabilities</t>
  </si>
  <si>
    <t>Mortgage loans</t>
  </si>
  <si>
    <t>Weighted average expected yield (%)</t>
  </si>
  <si>
    <t>Non-financial Sector</t>
  </si>
  <si>
    <t>Financial Sector</t>
  </si>
  <si>
    <t>Checking accounts</t>
  </si>
  <si>
    <t>Payment float</t>
  </si>
  <si>
    <t>Zero coupon bond</t>
  </si>
  <si>
    <t>Interest Bearing</t>
  </si>
  <si>
    <t>Time deposits</t>
  </si>
  <si>
    <t>Repo’s and interbank market</t>
  </si>
  <si>
    <t>Discount window </t>
  </si>
  <si>
    <t>Short term bank debt</t>
  </si>
  <si>
    <t>Commercial paper</t>
  </si>
  <si>
    <t>Supplier credit and pre-payments</t>
  </si>
  <si>
    <t>Long term bank debt</t>
  </si>
  <si>
    <t>Bond issuance</t>
  </si>
  <si>
    <t>Leasing</t>
  </si>
  <si>
    <t>Revolving credit lines</t>
  </si>
  <si>
    <t>Incorporate costs, benefits and risks in the pricing and performance</t>
  </si>
  <si>
    <t>Actively monitor and control exposure and funding needs</t>
  </si>
  <si>
    <t>Actively manage intraday liquidity/risk to meet payment/settlement</t>
  </si>
  <si>
    <t>Actively manage collateral positions</t>
  </si>
  <si>
    <t>Conduct stress tests on regular basis to identify potential strain</t>
  </si>
  <si>
    <t>Publicly disclose information on regular basis</t>
  </si>
  <si>
    <t>Solvency</t>
  </si>
  <si>
    <t>Ability to pay now</t>
  </si>
  <si>
    <t>Ability to pay later</t>
  </si>
  <si>
    <t>How to Manage Liquidity</t>
  </si>
  <si>
    <t>Liquidity Metrics</t>
  </si>
  <si>
    <t>Describe drivers of funding liquidity</t>
  </si>
  <si>
    <t>Identify types of liquidity risk</t>
  </si>
  <si>
    <t>Design a funding mix for an industrial company</t>
  </si>
  <si>
    <t>Design a funding mix of a financial institution</t>
  </si>
  <si>
    <t>Choose liquidity risk metrics</t>
  </si>
  <si>
    <t>Low bank deposits</t>
  </si>
  <si>
    <t>Insuffient planning</t>
  </si>
  <si>
    <t>Low perceived creditworthyness</t>
  </si>
  <si>
    <t>Low supply of funding</t>
  </si>
  <si>
    <t>Lines of Credit</t>
  </si>
  <si>
    <t>Prepaid services e.g. insurance premium</t>
  </si>
  <si>
    <t>Non-Interest Bearing</t>
  </si>
  <si>
    <t>Sources of Liquidity</t>
  </si>
  <si>
    <t>Liquidity Risk Drivers</t>
  </si>
  <si>
    <t>Plan</t>
  </si>
  <si>
    <t>Define risk tolerance</t>
  </si>
  <si>
    <t>Define best practices</t>
  </si>
  <si>
    <t>Establish controls: identify, measure, monitor.</t>
  </si>
  <si>
    <t>Diversify funding sources</t>
  </si>
  <si>
    <t>Have a formal contingency funding plan (CFP)</t>
  </si>
  <si>
    <t>Maintain a cushion of unencumbered high quality liquid assets</t>
  </si>
  <si>
    <t>Basel III</t>
  </si>
  <si>
    <t>Liquidity Coverage Ratio (high quality liquid assets / net cash outflows in a 30-day period)</t>
  </si>
  <si>
    <t>Net Stable Funding Ratio (amount of stable funding / required amount of stable funding)</t>
  </si>
  <si>
    <t>Lots of conclusions for banks at the end of the chapter</t>
  </si>
  <si>
    <t>COMPANY H 2020 CASH FLOW FORECAST</t>
  </si>
  <si>
    <t>Risk Management and Financial Institutions</t>
  </si>
  <si>
    <t>Liquidity Risk Chapter</t>
  </si>
  <si>
    <t>Liquidity VaR</t>
  </si>
  <si>
    <t>Chapter 2, 4, 7</t>
  </si>
  <si>
    <t>Liquidity Risk Management</t>
  </si>
  <si>
    <t>Exhibit 2.6</t>
  </si>
  <si>
    <t>Simplified Contractual Cash-Flow Gap</t>
  </si>
  <si>
    <t>Month</t>
  </si>
  <si>
    <t>Months</t>
  </si>
  <si>
    <t>3-11</t>
  </si>
  <si>
    <t>US Treasuries, AFS</t>
  </si>
  <si>
    <t>US Agencies, AFS (non-MBS)</t>
  </si>
  <si>
    <t>Municipal securities (AFS)</t>
  </si>
  <si>
    <t>All other</t>
  </si>
  <si>
    <t>Personal Loans (contractual)</t>
  </si>
  <si>
    <t>Personal Line of Credit Payments (Contractual)</t>
  </si>
  <si>
    <t>Mortgage Payments (Contractual)</t>
  </si>
  <si>
    <t>Payments (Contractual)</t>
  </si>
  <si>
    <t>Insured CDs — contractual maturities</t>
  </si>
  <si>
    <t>Uninsured CDs — contractual maturities</t>
  </si>
  <si>
    <t>NET CASH FLOW</t>
  </si>
  <si>
    <t>Exhibit 2.7</t>
  </si>
  <si>
    <t>Simplified Cash-Flow Gap Forecast with Assumptions</t>
  </si>
  <si>
    <t>Forecast</t>
  </si>
  <si>
    <t>with Assumptions?</t>
  </si>
  <si>
    <t xml:space="preserve">     Net Securities</t>
  </si>
  <si>
    <t>New Loans</t>
  </si>
  <si>
    <t xml:space="preserve">     Net Installment Loans</t>
  </si>
  <si>
    <t>Personal Line of Credit Prepayment Estimate</t>
  </si>
  <si>
    <t>Personal Line of Credit Advances</t>
  </si>
  <si>
    <t xml:space="preserve">     Net Personal Line</t>
  </si>
  <si>
    <t>Mortgage Prepayment Estimate</t>
  </si>
  <si>
    <t xml:space="preserve">     Net Mortgage Loans</t>
  </si>
  <si>
    <t>Corporate Loans</t>
  </si>
  <si>
    <t>Estimated Prepayments</t>
  </si>
  <si>
    <t>New Loans and Rollovers</t>
  </si>
  <si>
    <t xml:space="preserve">     Net Corporate Loans - Fixed</t>
  </si>
  <si>
    <t>Corporate Lines of Credit</t>
  </si>
  <si>
    <t>Optional Pay downs</t>
  </si>
  <si>
    <t>Advances under existing lines</t>
  </si>
  <si>
    <t xml:space="preserve">     Net Commerical - Lines of Credit</t>
  </si>
  <si>
    <t>Indeterminate Maturity Deposits</t>
  </si>
  <si>
    <t>Check Accounts (net change)</t>
  </si>
  <si>
    <t>Saving Accounts (net change)</t>
  </si>
  <si>
    <t>MMDAs (net change)</t>
  </si>
  <si>
    <t xml:space="preserve">     Net change in Indeterminate Maturity Deposits</t>
  </si>
  <si>
    <t>Time Deposits</t>
  </si>
  <si>
    <t>Insured CDs - new</t>
  </si>
  <si>
    <t>Uninsured CDs — new</t>
  </si>
  <si>
    <t>Exhibit 2.9</t>
  </si>
  <si>
    <t>Simplified Contractual Cash Flow Gap in the Proper Format</t>
  </si>
  <si>
    <t>Compare</t>
  </si>
  <si>
    <t>2.7 (if it’s different)</t>
  </si>
  <si>
    <t>Personal Loans Prepayment</t>
  </si>
  <si>
    <t>`</t>
  </si>
  <si>
    <t>FORWARD CASH EXPOSURE</t>
  </si>
  <si>
    <t>Investment Securities</t>
  </si>
  <si>
    <t>CHANGE IN COUNTER BALANCING CAPACITY</t>
  </si>
  <si>
    <t>face</t>
  </si>
  <si>
    <t>couponrate</t>
  </si>
  <si>
    <t>pmt</t>
  </si>
  <si>
    <t>pmtperyear</t>
  </si>
  <si>
    <t>p</t>
  </si>
  <si>
    <t>years</t>
  </si>
  <si>
    <t>n</t>
  </si>
  <si>
    <t>pmts</t>
  </si>
  <si>
    <t>Tenor</t>
  </si>
  <si>
    <t>2D</t>
  </si>
  <si>
    <t>1W</t>
  </si>
  <si>
    <t>2W</t>
  </si>
  <si>
    <t>1M</t>
  </si>
  <si>
    <t>2M</t>
  </si>
  <si>
    <t>3M</t>
  </si>
  <si>
    <t>6M</t>
  </si>
  <si>
    <t>1Y</t>
  </si>
  <si>
    <t>2Y</t>
  </si>
  <si>
    <t>3Y</t>
  </si>
  <si>
    <t>ASSETS</t>
  </si>
  <si>
    <t>Product1</t>
  </si>
  <si>
    <t>Product2</t>
  </si>
  <si>
    <t>Product3</t>
  </si>
  <si>
    <t>Product4</t>
  </si>
  <si>
    <t>Product5</t>
  </si>
  <si>
    <t>Net Asset</t>
  </si>
  <si>
    <t>LIABILITIES</t>
  </si>
  <si>
    <t>Product6</t>
  </si>
  <si>
    <t>Product7</t>
  </si>
  <si>
    <t>Product8</t>
  </si>
  <si>
    <t>Product9</t>
  </si>
  <si>
    <t>Product10</t>
  </si>
  <si>
    <t>Net Liability</t>
  </si>
  <si>
    <t>Liquidity Gap</t>
  </si>
  <si>
    <t>Treasury - Purchase</t>
  </si>
  <si>
    <t>Corporate Bond - Issue</t>
  </si>
  <si>
    <t>Maturity Transformation</t>
  </si>
  <si>
    <t>The Cassandra Effect</t>
  </si>
  <si>
    <t>Please make comments on this week's discussion.</t>
  </si>
  <si>
    <t>Terminology</t>
  </si>
  <si>
    <t>8 Steps of Stress Testing</t>
  </si>
  <si>
    <t>Rates</t>
  </si>
  <si>
    <t>BorrowingAbility</t>
  </si>
  <si>
    <t>LoanUtilization</t>
  </si>
  <si>
    <t>Scenario A</t>
  </si>
  <si>
    <t>Stress Level 1</t>
  </si>
  <si>
    <t>good</t>
  </si>
  <si>
    <t>okay</t>
  </si>
  <si>
    <t>Stress Level 2</t>
  </si>
  <si>
    <t>bad</t>
  </si>
  <si>
    <t>Stress Level 3</t>
  </si>
  <si>
    <t>worse</t>
  </si>
  <si>
    <t>For each scenario and stress …</t>
  </si>
  <si>
    <t>Scenario B</t>
  </si>
  <si>
    <t>Scenario C</t>
  </si>
  <si>
    <t>Compare the quantity of forecasted need to the quantity of forecasted funds available.</t>
  </si>
  <si>
    <t>Communicate to management</t>
  </si>
  <si>
    <t>Retail Deposits</t>
  </si>
  <si>
    <t>Retail Mortgage Prepayment</t>
  </si>
  <si>
    <t>Non-discretionary Treasury Cash Flows</t>
  </si>
  <si>
    <r>
      <t xml:space="preserve">For each scenario, define </t>
    </r>
    <r>
      <rPr>
        <sz val="16"/>
        <color rgb="FF7030A0"/>
        <rFont val="Calibri (Body)"/>
      </rPr>
      <t>stresses</t>
    </r>
  </si>
  <si>
    <r>
      <t xml:space="preserve">Estimate cash flows from </t>
    </r>
    <r>
      <rPr>
        <sz val="16"/>
        <color theme="5" tint="-0.499984740745262"/>
        <rFont val="Calibri (Body)"/>
      </rPr>
      <t>customer behavior</t>
    </r>
  </si>
  <si>
    <r>
      <t xml:space="preserve">Add </t>
    </r>
    <r>
      <rPr>
        <sz val="16"/>
        <color rgb="FF00B0F0"/>
        <rFont val="Calibri (Body)"/>
      </rPr>
      <t>non-discretionary treasury cash flows</t>
    </r>
  </si>
  <si>
    <r>
      <t xml:space="preserve">Total the above two -&gt; </t>
    </r>
    <r>
      <rPr>
        <sz val="16"/>
        <color rgb="FFFFC000"/>
        <rFont val="Calibri (Body)"/>
      </rPr>
      <t>forecasted liquidity requirement</t>
    </r>
  </si>
  <si>
    <t>Forecasted Liquidity Requirement</t>
  </si>
  <si>
    <t>Standby Liquidity Available</t>
  </si>
  <si>
    <r>
      <t xml:space="preserve">Determine the amount of </t>
    </r>
    <r>
      <rPr>
        <sz val="16"/>
        <color rgb="FF00B050"/>
        <rFont val="Calibri (Body)"/>
      </rPr>
      <t>standby liquidity available</t>
    </r>
    <r>
      <rPr>
        <sz val="16"/>
        <color theme="1"/>
        <rFont val="Calibri"/>
        <family val="2"/>
        <scheme val="minor"/>
      </rPr>
      <t xml:space="preserve"> -&gt; counter balancing capacity</t>
    </r>
  </si>
  <si>
    <r>
      <rPr>
        <sz val="16"/>
        <rFont val="Calibri (Body)"/>
      </rPr>
      <t xml:space="preserve">Define </t>
    </r>
    <r>
      <rPr>
        <sz val="16"/>
        <color rgb="FFC00000"/>
        <rFont val="Calibri (Body)"/>
      </rPr>
      <t>scenarios</t>
    </r>
  </si>
  <si>
    <t>"Overindebtedness"</t>
  </si>
  <si>
    <t>Overnight</t>
  </si>
  <si>
    <t xml:space="preserve">     Net Personal Lines</t>
  </si>
  <si>
    <t>Purchase $50m Treasury bond with annual coupon of 4% maturing on 03/31/2030</t>
  </si>
  <si>
    <t>Issue $100m Corporate bond semi-annual coupon with 2% maturing on 04/30/2024</t>
  </si>
  <si>
    <t>Purchase $50m Mortgage Back Security (MBS) 4% with semi-annual payments maturing on 06/30/2029</t>
  </si>
  <si>
    <t>Now</t>
  </si>
  <si>
    <t>Liquidity Risk</t>
  </si>
  <si>
    <t>Hull Chapter 24</t>
  </si>
  <si>
    <t xml:space="preserve">In the yellow shaded cells, enter the amount which you think is suitable for each type of investment based on its expected liquidity.  
In the text box below the yellow cells, enter your reasoning for your investment selections.
Answer the question below.
</t>
  </si>
  <si>
    <t>What principles and concepts guide your decisions?  Offer 3 ideas, breifly summarized.</t>
  </si>
  <si>
    <t>In the yellow shaded cells, enter the amount which you think is suitable for each type of investment based on its expected liquidity. 
Answer the questions below.</t>
  </si>
  <si>
    <t>What additional information would you like to ask from your risk analyst in order to help make your decisions?</t>
  </si>
  <si>
    <t>You are a bank analyst working for the bank's treasury department.</t>
  </si>
  <si>
    <t>Purchase $100m 5 years GS CDS (2% premium paid semi-annually) maturing on 06/30/2024</t>
  </si>
  <si>
    <t>Sell forward, settling on 03/31/2022, $50m 5-year Treasury bond</t>
  </si>
  <si>
    <t>Its' the start of Q1.</t>
  </si>
  <si>
    <t>Net Cashflow</t>
  </si>
  <si>
    <t>Net Installment Loans</t>
  </si>
  <si>
    <t>Net Personal Lines</t>
  </si>
  <si>
    <t>Net Mortgage Loans</t>
  </si>
  <si>
    <t>Net Corporate Loans - Fixed</t>
  </si>
  <si>
    <t>Net Commerical - Lines of Credit</t>
  </si>
  <si>
    <t>Net change in Indeterminate Maturity Deposits</t>
  </si>
  <si>
    <t>Month1</t>
  </si>
  <si>
    <t>Month2</t>
  </si>
  <si>
    <t>Month3</t>
  </si>
  <si>
    <t>Month4</t>
  </si>
  <si>
    <t>Month5</t>
  </si>
  <si>
    <t>Month6</t>
  </si>
  <si>
    <t>Month7</t>
  </si>
  <si>
    <t>Month8</t>
  </si>
  <si>
    <t>Month9</t>
  </si>
  <si>
    <t>Month10</t>
  </si>
  <si>
    <t>Month11</t>
  </si>
  <si>
    <t>Month12</t>
  </si>
  <si>
    <t>Your manager has presented you with the set of major current and upcoming fixed income transactions below.</t>
  </si>
  <si>
    <t>For this analysis, forward transactions are considered as cashflows since price and intention are set.</t>
  </si>
  <si>
    <t>Sell forward, settling on 07/31/2022, $50m 5-year Treasury bond</t>
  </si>
  <si>
    <t>You are asked to post the cash flows to the corresponding time buckets (yellow).</t>
  </si>
  <si>
    <t>Purchase $500m 5 years GS Bond, semi annual coupon of 4% , maturing on 06/30/2024</t>
  </si>
  <si>
    <t>Consider the sum of these treasury cash flows to be Counter Balancing Capacity.</t>
  </si>
  <si>
    <t>Scenario - Highest Stress Level</t>
  </si>
  <si>
    <t>Base Cash Flows</t>
  </si>
  <si>
    <t>Populate a high stress level scenario.</t>
  </si>
  <si>
    <t>In the section on the right, breifly describe the scenario first in general then and how it impacts each line item.</t>
  </si>
  <si>
    <t>Installment Loans</t>
  </si>
  <si>
    <t>Personal Lines</t>
  </si>
  <si>
    <t>Mortgage Loans</t>
  </si>
  <si>
    <t>IMDA</t>
  </si>
  <si>
    <t>Commerical LoC</t>
  </si>
  <si>
    <t>Scenario Description</t>
  </si>
  <si>
    <t>Forward Cash Exposures</t>
  </si>
  <si>
    <t>You are an investment analyst at a property, casualty and life insurer. This financial institution thrives on maturity transformation and has significant investing expertise.  You work on an investments team and currently you are collaborating with the treasury department of your company.  
The company’s annual cash flow forecast has just been updated.  You have been asked to review the liquidity profile of the current investment portfolio and recommend any changes which could maintain or improve its liquidity without reducing the portfolio’s current yield.
While not necessary, the risk management function prefers an average liquidity of 10 days.</t>
  </si>
  <si>
    <t>You are a financial analyst at the Treasury Department of Company H, a bio-engineering firm which has just completed its initial public stock offering. You are asked to recommend an investment mix for the company’s pool of $250M cash resulting from the public stock offering.
The company will receive the money at the start of the year.  For the first quarter of the year, Q1, the funds will just be invested in treasury bonds while your team decides how to allocate the capital.
This company has no expertise in investing and has an internal rate of return of 30% in its business.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</si>
</sst>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43" formatCode="_(* #,##0.00_);_(* \(#,##0.00\);_(* &quot;-&quot;??_);_(@_)"/>
    <numFmt numFmtId="164" formatCode="0.0"/>
    <numFmt numFmtId="165" formatCode="0.0%"/>
    <numFmt numFmtId="166" formatCode="0_);\(0\)"/>
    <numFmt numFmtId="167" formatCode="_(* #,##0_);_(* \(#,##0\);_(* &quot;-&quot;??_);_(@_)"/>
    <numFmt numFmtId="168" formatCode="_(&quot;$&quot;* #,##0_);_(&quot;$&quot;* \(#,##0\);_(&quot;$&quot;* &quot;-&quot;??_);_(@_)"/>
  </numFmts>
  <fonts count="44"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sz val="18"/>
      <color theme="1"/>
      <name val="Calibri"/>
      <family val="2"/>
      <scheme val="minor"/>
    </font>
    <font>
      <sz val="11"/>
      <color rgb="FFFF0000"/>
      <name val="Calibri"/>
      <family val="2"/>
      <scheme val="minor"/>
    </font>
    <font>
      <b/>
      <sz val="11"/>
      <color theme="1"/>
      <name val="Calibri"/>
      <family val="2"/>
      <scheme val="minor"/>
    </font>
    <font>
      <sz val="11"/>
      <color rgb="FF0033CC"/>
      <name val="Calibri"/>
      <family val="2"/>
      <scheme val="minor"/>
    </font>
    <font>
      <i/>
      <sz val="11"/>
      <color rgb="FF0033CC"/>
      <name val="Calibri"/>
      <family val="2"/>
      <scheme val="minor"/>
    </font>
    <font>
      <i/>
      <sz val="11"/>
      <color rgb="FFFF0000"/>
      <name val="Calibri"/>
      <family val="2"/>
      <scheme val="minor"/>
    </font>
    <font>
      <sz val="11"/>
      <name val="Calibri"/>
      <family val="2"/>
      <scheme val="minor"/>
    </font>
    <font>
      <u/>
      <sz val="20"/>
      <color theme="1"/>
      <name val="Calibri"/>
      <family val="2"/>
      <scheme val="minor"/>
    </font>
    <font>
      <b/>
      <sz val="20"/>
      <color theme="1"/>
      <name val="Calibri"/>
      <family val="2"/>
      <scheme val="minor"/>
    </font>
    <font>
      <sz val="11"/>
      <color theme="1"/>
      <name val="Calibri"/>
      <family val="2"/>
      <scheme val="minor"/>
    </font>
    <font>
      <b/>
      <sz val="20"/>
      <color rgb="FF333333"/>
      <name val="Calibri"/>
      <family val="2"/>
    </font>
    <font>
      <sz val="20"/>
      <color rgb="FF333333"/>
      <name val="Calibri"/>
      <family val="2"/>
    </font>
    <font>
      <sz val="20"/>
      <name val="Calibri"/>
      <family val="2"/>
    </font>
    <font>
      <sz val="16"/>
      <color theme="1"/>
      <name val="Calibri"/>
      <family val="2"/>
      <scheme val="minor"/>
    </font>
    <font>
      <sz val="16"/>
      <color rgb="FFFF0000"/>
      <name val="Calibri"/>
      <family val="2"/>
      <scheme val="minor"/>
    </font>
    <font>
      <sz val="16"/>
      <name val="Calibri (Body)"/>
    </font>
    <font>
      <sz val="16"/>
      <color rgb="FF7030A0"/>
      <name val="Calibri (Body)"/>
    </font>
    <font>
      <sz val="16"/>
      <color theme="5" tint="-0.499984740745262"/>
      <name val="Calibri (Body)"/>
    </font>
    <font>
      <sz val="16"/>
      <color theme="5" tint="-0.499984740745262"/>
      <name val="Calibri"/>
      <family val="2"/>
      <scheme val="minor"/>
    </font>
    <font>
      <sz val="16"/>
      <color rgb="FF7030A0"/>
      <name val="Calibri"/>
      <family val="2"/>
      <scheme val="minor"/>
    </font>
    <font>
      <sz val="16"/>
      <color rgb="FF00B0F0"/>
      <name val="Calibri (Body)"/>
    </font>
    <font>
      <sz val="16"/>
      <color rgb="FF00B0F0"/>
      <name val="Calibri"/>
      <family val="2"/>
      <scheme val="minor"/>
    </font>
    <font>
      <sz val="16"/>
      <color rgb="FFFFC000"/>
      <name val="Calibri (Body)"/>
    </font>
    <font>
      <sz val="16"/>
      <color rgb="FF00B050"/>
      <name val="Calibri (Body)"/>
    </font>
    <font>
      <sz val="16"/>
      <color rgb="FF00B050"/>
      <name val="Calibri"/>
      <family val="2"/>
      <scheme val="minor"/>
    </font>
    <font>
      <sz val="16"/>
      <color rgb="FFC00000"/>
      <name val="Calibri (Body)"/>
    </font>
    <font>
      <sz val="16"/>
      <color rgb="FFFF0000"/>
      <name val="Calibri (Body)"/>
    </font>
    <font>
      <sz val="16"/>
      <color rgb="FFC00000"/>
      <name val="Calibri"/>
      <family val="2"/>
      <scheme val="minor"/>
    </font>
    <font>
      <sz val="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bgColor indexed="64"/>
      </patternFill>
    </fill>
    <fill>
      <patternFill patternType="solid">
        <fgColor theme="2" tint="-0.249977111117893"/>
        <bgColor indexed="64"/>
      </patternFill>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s>
  <cellStyleXfs count="14">
    <xf numFmtId="0" fontId="0" fillId="0" borderId="0"/>
    <xf numFmtId="0" fontId="11" fillId="0" borderId="0"/>
    <xf numFmtId="9" fontId="11" fillId="0" borderId="0" applyFont="0" applyFill="0" applyBorder="0" applyAlignment="0" applyProtection="0"/>
    <xf numFmtId="0" fontId="10" fillId="0" borderId="0"/>
    <xf numFmtId="0" fontId="9" fillId="0" borderId="0"/>
    <xf numFmtId="0" fontId="8" fillId="0" borderId="0"/>
    <xf numFmtId="0" fontId="14" fillId="0" borderId="0" applyNumberFormat="0" applyFill="0" applyBorder="0" applyAlignment="0" applyProtection="0"/>
    <xf numFmtId="0" fontId="6" fillId="0" borderId="0"/>
    <xf numFmtId="0" fontId="5" fillId="0" borderId="0"/>
    <xf numFmtId="0" fontId="3" fillId="0" borderId="0"/>
    <xf numFmtId="43" fontId="24" fillId="0" borderId="0" applyFont="0" applyFill="0" applyBorder="0" applyAlignment="0" applyProtection="0"/>
    <xf numFmtId="44" fontId="24" fillId="0" borderId="0" applyFont="0" applyFill="0" applyBorder="0" applyAlignment="0" applyProtection="0"/>
    <xf numFmtId="0" fontId="2" fillId="0" borderId="0"/>
    <xf numFmtId="0" fontId="1" fillId="0" borderId="0"/>
  </cellStyleXfs>
  <cellXfs count="171">
    <xf numFmtId="0" fontId="0" fillId="0" borderId="0" xfId="0"/>
    <xf numFmtId="0" fontId="0" fillId="2" borderId="0" xfId="0" applyFill="1"/>
    <xf numFmtId="0" fontId="10" fillId="3" borderId="0" xfId="3" applyFill="1"/>
    <xf numFmtId="0" fontId="12" fillId="2" borderId="0" xfId="0" applyFont="1" applyFill="1"/>
    <xf numFmtId="0" fontId="9" fillId="3" borderId="0" xfId="4" applyFill="1"/>
    <xf numFmtId="0" fontId="12" fillId="3" borderId="0" xfId="3" applyFont="1" applyFill="1"/>
    <xf numFmtId="0" fontId="12" fillId="3" borderId="0" xfId="0" applyFont="1" applyFill="1"/>
    <xf numFmtId="0" fontId="13" fillId="3" borderId="0" xfId="5" applyFont="1" applyFill="1"/>
    <xf numFmtId="0" fontId="13" fillId="3" borderId="0" xfId="0" applyFont="1" applyFill="1"/>
    <xf numFmtId="0" fontId="7" fillId="3" borderId="0" xfId="3" applyFont="1" applyFill="1"/>
    <xf numFmtId="0" fontId="15" fillId="3" borderId="0" xfId="3" applyFont="1" applyFill="1"/>
    <xf numFmtId="0" fontId="7" fillId="3" borderId="0" xfId="4" applyFont="1" applyFill="1"/>
    <xf numFmtId="0" fontId="14" fillId="2" borderId="0" xfId="6" applyFill="1"/>
    <xf numFmtId="0" fontId="12" fillId="3" borderId="0" xfId="7" applyFont="1" applyFill="1"/>
    <xf numFmtId="0" fontId="12" fillId="3" borderId="0" xfId="7" applyFont="1" applyFill="1" applyAlignment="1">
      <alignment wrapText="1"/>
    </xf>
    <xf numFmtId="0" fontId="17" fillId="0" borderId="0" xfId="0" applyFont="1"/>
    <xf numFmtId="0" fontId="0" fillId="0" borderId="0" xfId="0" applyAlignment="1">
      <alignment horizontal="center"/>
    </xf>
    <xf numFmtId="0" fontId="18" fillId="0" borderId="0" xfId="0" applyFont="1" applyAlignment="1">
      <alignment horizontal="center"/>
    </xf>
    <xf numFmtId="0" fontId="17" fillId="0" borderId="0" xfId="0" applyFont="1" applyAlignment="1">
      <alignment horizontal="center"/>
    </xf>
    <xf numFmtId="15" fontId="0" fillId="0" borderId="0" xfId="0" applyNumberFormat="1" applyAlignment="1">
      <alignment horizontal="center"/>
    </xf>
    <xf numFmtId="15" fontId="17" fillId="0" borderId="0" xfId="0" applyNumberFormat="1" applyFont="1" applyAlignment="1">
      <alignment horizontal="center"/>
    </xf>
    <xf numFmtId="0" fontId="18" fillId="0" borderId="0" xfId="0" applyFont="1"/>
    <xf numFmtId="0" fontId="0" fillId="0" borderId="6" xfId="0" applyBorder="1" applyAlignment="1">
      <alignment horizontal="center"/>
    </xf>
    <xf numFmtId="0" fontId="17" fillId="0" borderId="0" xfId="0" applyFont="1" applyAlignment="1">
      <alignment horizontal="left"/>
    </xf>
    <xf numFmtId="0" fontId="19" fillId="0" borderId="0" xfId="0" applyFont="1"/>
    <xf numFmtId="0" fontId="19" fillId="0" borderId="7"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0" fillId="0" borderId="0" xfId="0" applyFont="1" applyAlignment="1">
      <alignment horizontal="center"/>
    </xf>
    <xf numFmtId="164" fontId="19" fillId="0" borderId="0" xfId="0" applyNumberFormat="1" applyFont="1" applyAlignment="1">
      <alignment horizontal="center"/>
    </xf>
    <xf numFmtId="0" fontId="19" fillId="0" borderId="0" xfId="0" applyFont="1" applyAlignment="1">
      <alignment horizontal="center"/>
    </xf>
    <xf numFmtId="165" fontId="19" fillId="0" borderId="0" xfId="0" applyNumberFormat="1" applyFont="1" applyAlignment="1">
      <alignment horizontal="center"/>
    </xf>
    <xf numFmtId="9" fontId="16" fillId="0" borderId="6" xfId="0" applyNumberFormat="1" applyFont="1" applyBorder="1" applyAlignment="1">
      <alignment horizontal="center"/>
    </xf>
    <xf numFmtId="9" fontId="19" fillId="0" borderId="0" xfId="0" applyNumberFormat="1" applyFont="1" applyAlignment="1">
      <alignment horizontal="center"/>
    </xf>
    <xf numFmtId="9" fontId="16" fillId="0" borderId="7" xfId="0" applyNumberFormat="1" applyFont="1" applyBorder="1" applyAlignment="1">
      <alignment horizontal="center"/>
    </xf>
    <xf numFmtId="166" fontId="0" fillId="0" borderId="0" xfId="0" applyNumberFormat="1" applyAlignment="1">
      <alignment horizontal="center"/>
    </xf>
    <xf numFmtId="166" fontId="19" fillId="0" borderId="0" xfId="0" applyNumberFormat="1" applyFont="1" applyAlignment="1">
      <alignment horizontal="center"/>
    </xf>
    <xf numFmtId="0" fontId="21" fillId="0" borderId="0" xfId="0" applyFont="1"/>
    <xf numFmtId="0" fontId="21" fillId="0" borderId="7" xfId="0" applyFont="1" applyBorder="1" applyAlignment="1">
      <alignment horizontal="center"/>
    </xf>
    <xf numFmtId="0" fontId="21" fillId="0" borderId="8" xfId="0" applyFont="1" applyBorder="1" applyAlignment="1">
      <alignment horizontal="center"/>
    </xf>
    <xf numFmtId="0" fontId="21" fillId="0" borderId="6" xfId="0" applyFont="1" applyBorder="1" applyAlignment="1">
      <alignment horizontal="center"/>
    </xf>
    <xf numFmtId="0" fontId="22" fillId="2" borderId="0" xfId="0" applyFont="1" applyFill="1"/>
    <xf numFmtId="0" fontId="23" fillId="2" borderId="0" xfId="0" applyFont="1" applyFill="1"/>
    <xf numFmtId="0" fontId="15" fillId="2" borderId="0" xfId="0" applyFont="1" applyFill="1"/>
    <xf numFmtId="0" fontId="12" fillId="2" borderId="0" xfId="8" applyFont="1" applyFill="1"/>
    <xf numFmtId="0" fontId="0" fillId="4" borderId="7" xfId="0" applyFill="1" applyBorder="1" applyAlignment="1">
      <alignment horizontal="center"/>
    </xf>
    <xf numFmtId="0" fontId="4" fillId="3" borderId="0" xfId="4" applyFont="1" applyFill="1"/>
    <xf numFmtId="0" fontId="12" fillId="2" borderId="0" xfId="9" applyFont="1" applyFill="1"/>
    <xf numFmtId="0" fontId="12" fillId="2" borderId="0" xfId="3" applyFont="1" applyFill="1"/>
    <xf numFmtId="0" fontId="12" fillId="0" borderId="0" xfId="0" applyFont="1"/>
    <xf numFmtId="0" fontId="12" fillId="0" borderId="0" xfId="0" applyFont="1" applyAlignment="1">
      <alignment wrapText="1"/>
    </xf>
    <xf numFmtId="0" fontId="23" fillId="0" borderId="0" xfId="0" applyFont="1"/>
    <xf numFmtId="0" fontId="12" fillId="5" borderId="13" xfId="0" applyFont="1" applyFill="1" applyBorder="1" applyAlignment="1">
      <alignment wrapText="1"/>
    </xf>
    <xf numFmtId="0" fontId="12" fillId="5" borderId="14" xfId="0" applyFont="1" applyFill="1" applyBorder="1" applyAlignment="1">
      <alignment horizontal="center"/>
    </xf>
    <xf numFmtId="0" fontId="12" fillId="5" borderId="15" xfId="0" applyFont="1" applyFill="1" applyBorder="1" applyAlignment="1">
      <alignment horizontal="center"/>
    </xf>
    <xf numFmtId="0" fontId="12" fillId="5" borderId="16" xfId="0" applyFont="1" applyFill="1" applyBorder="1" applyAlignment="1">
      <alignment wrapText="1"/>
    </xf>
    <xf numFmtId="0" fontId="12" fillId="5" borderId="17" xfId="0" applyFont="1" applyFill="1" applyBorder="1" applyAlignment="1">
      <alignment horizontal="center"/>
    </xf>
    <xf numFmtId="16" fontId="12" fillId="5" borderId="17" xfId="0" quotePrefix="1" applyNumberFormat="1" applyFont="1" applyFill="1" applyBorder="1" applyAlignment="1">
      <alignment horizontal="center"/>
    </xf>
    <xf numFmtId="0" fontId="12" fillId="5" borderId="18" xfId="0" applyFont="1" applyFill="1" applyBorder="1" applyAlignment="1">
      <alignment horizontal="center"/>
    </xf>
    <xf numFmtId="0" fontId="12" fillId="0" borderId="19" xfId="0" applyFont="1" applyBorder="1" applyAlignment="1">
      <alignment wrapText="1"/>
    </xf>
    <xf numFmtId="37" fontId="12" fillId="0" borderId="20" xfId="10" applyNumberFormat="1" applyFont="1" applyBorder="1"/>
    <xf numFmtId="37" fontId="12" fillId="0" borderId="21" xfId="10" applyNumberFormat="1" applyFont="1" applyBorder="1"/>
    <xf numFmtId="0" fontId="12" fillId="0" borderId="22" xfId="0" applyFont="1" applyBorder="1" applyAlignment="1">
      <alignment wrapText="1"/>
    </xf>
    <xf numFmtId="37" fontId="12" fillId="0" borderId="23" xfId="10" applyNumberFormat="1" applyFont="1" applyBorder="1"/>
    <xf numFmtId="37" fontId="12" fillId="0" borderId="24" xfId="10" applyNumberFormat="1" applyFont="1" applyBorder="1"/>
    <xf numFmtId="0" fontId="12" fillId="0" borderId="25" xfId="0" applyFont="1" applyBorder="1" applyAlignment="1">
      <alignment wrapText="1"/>
    </xf>
    <xf numFmtId="37" fontId="12" fillId="0" borderId="26" xfId="10" applyNumberFormat="1" applyFont="1" applyBorder="1"/>
    <xf numFmtId="37" fontId="12" fillId="0" borderId="27" xfId="10" applyNumberFormat="1" applyFont="1" applyBorder="1"/>
    <xf numFmtId="0" fontId="12" fillId="0" borderId="28" xfId="0" applyFont="1" applyBorder="1" applyAlignment="1">
      <alignment wrapText="1"/>
    </xf>
    <xf numFmtId="37" fontId="12" fillId="0" borderId="8" xfId="10" applyNumberFormat="1" applyFont="1" applyBorder="1"/>
    <xf numFmtId="37" fontId="12" fillId="0" borderId="29" xfId="10" applyNumberFormat="1" applyFont="1" applyBorder="1"/>
    <xf numFmtId="0" fontId="12" fillId="0" borderId="30" xfId="0" applyFont="1" applyBorder="1" applyAlignment="1">
      <alignment wrapText="1"/>
    </xf>
    <xf numFmtId="37" fontId="12" fillId="0" borderId="6" xfId="10" applyNumberFormat="1" applyFont="1" applyBorder="1"/>
    <xf numFmtId="37" fontId="12" fillId="0" borderId="31" xfId="10" applyNumberFormat="1" applyFont="1" applyBorder="1"/>
    <xf numFmtId="0" fontId="23" fillId="0" borderId="32" xfId="0" applyFont="1" applyBorder="1" applyAlignment="1">
      <alignment wrapText="1"/>
    </xf>
    <xf numFmtId="37" fontId="23" fillId="0" borderId="33" xfId="10" applyNumberFormat="1" applyFont="1" applyBorder="1"/>
    <xf numFmtId="37" fontId="23" fillId="0" borderId="34" xfId="10" applyNumberFormat="1" applyFont="1" applyBorder="1"/>
    <xf numFmtId="167" fontId="12" fillId="0" borderId="0" xfId="10" applyNumberFormat="1" applyFont="1"/>
    <xf numFmtId="37" fontId="12" fillId="0" borderId="11" xfId="10" applyNumberFormat="1" applyFont="1" applyBorder="1"/>
    <xf numFmtId="0" fontId="12" fillId="0" borderId="5" xfId="0" applyFont="1" applyBorder="1"/>
    <xf numFmtId="37" fontId="12" fillId="0" borderId="35" xfId="10" applyNumberFormat="1" applyFont="1" applyBorder="1"/>
    <xf numFmtId="0" fontId="12" fillId="0" borderId="4" xfId="0" applyFont="1" applyBorder="1"/>
    <xf numFmtId="37" fontId="12" fillId="0" borderId="9" xfId="10" applyNumberFormat="1" applyFont="1" applyBorder="1"/>
    <xf numFmtId="0" fontId="12" fillId="2" borderId="32" xfId="0" applyFont="1" applyFill="1" applyBorder="1" applyAlignment="1">
      <alignment wrapText="1"/>
    </xf>
    <xf numFmtId="37" fontId="12" fillId="2" borderId="33" xfId="10" applyNumberFormat="1" applyFont="1" applyFill="1" applyBorder="1"/>
    <xf numFmtId="37" fontId="12" fillId="2" borderId="36" xfId="10" applyNumberFormat="1" applyFont="1" applyFill="1" applyBorder="1"/>
    <xf numFmtId="0" fontId="12" fillId="6" borderId="4" xfId="0" applyFont="1" applyFill="1" applyBorder="1"/>
    <xf numFmtId="0" fontId="23" fillId="0" borderId="22" xfId="0" applyFont="1" applyBorder="1" applyAlignment="1">
      <alignment wrapText="1"/>
    </xf>
    <xf numFmtId="0" fontId="12" fillId="0" borderId="3" xfId="0" applyFont="1" applyBorder="1"/>
    <xf numFmtId="0" fontId="12" fillId="5" borderId="5" xfId="0" applyFont="1" applyFill="1" applyBorder="1" applyAlignment="1">
      <alignment horizontal="center"/>
    </xf>
    <xf numFmtId="0" fontId="12" fillId="5" borderId="3" xfId="0" applyFont="1" applyFill="1" applyBorder="1" applyAlignment="1">
      <alignment horizontal="center"/>
    </xf>
    <xf numFmtId="0" fontId="2" fillId="3" borderId="0" xfId="3" applyFont="1" applyFill="1"/>
    <xf numFmtId="167" fontId="2" fillId="3" borderId="0" xfId="10" applyNumberFormat="1" applyFont="1" applyFill="1"/>
    <xf numFmtId="0" fontId="2" fillId="2" borderId="0" xfId="3" applyFont="1" applyFill="1"/>
    <xf numFmtId="168" fontId="2" fillId="2" borderId="0" xfId="11" applyNumberFormat="1" applyFont="1" applyFill="1"/>
    <xf numFmtId="0" fontId="2" fillId="7" borderId="39" xfId="3" applyFont="1" applyFill="1" applyBorder="1"/>
    <xf numFmtId="10" fontId="2" fillId="2" borderId="0" xfId="3" applyNumberFormat="1" applyFont="1" applyFill="1"/>
    <xf numFmtId="6" fontId="2" fillId="2" borderId="0" xfId="3" applyNumberFormat="1" applyFont="1" applyFill="1"/>
    <xf numFmtId="14" fontId="2" fillId="7" borderId="40" xfId="3" applyNumberFormat="1" applyFont="1" applyFill="1" applyBorder="1"/>
    <xf numFmtId="14" fontId="2" fillId="7" borderId="17" xfId="10" applyNumberFormat="1" applyFont="1" applyFill="1" applyBorder="1"/>
    <xf numFmtId="0" fontId="2" fillId="3" borderId="9" xfId="3" applyFont="1" applyFill="1" applyBorder="1"/>
    <xf numFmtId="0" fontId="2" fillId="3" borderId="10" xfId="3" applyFont="1" applyFill="1" applyBorder="1"/>
    <xf numFmtId="167" fontId="2" fillId="3" borderId="7" xfId="10" applyNumberFormat="1" applyFont="1" applyFill="1" applyBorder="1"/>
    <xf numFmtId="0" fontId="2" fillId="3" borderId="11" xfId="3" applyFont="1" applyFill="1" applyBorder="1"/>
    <xf numFmtId="0" fontId="2" fillId="3" borderId="12" xfId="3" applyFont="1" applyFill="1" applyBorder="1"/>
    <xf numFmtId="167" fontId="2" fillId="3" borderId="8" xfId="10" applyNumberFormat="1" applyFont="1" applyFill="1" applyBorder="1"/>
    <xf numFmtId="0" fontId="2" fillId="2" borderId="0" xfId="3" applyFont="1" applyFill="1" applyAlignment="1">
      <alignment horizontal="right"/>
    </xf>
    <xf numFmtId="0" fontId="2" fillId="7" borderId="0" xfId="3" applyFont="1" applyFill="1"/>
    <xf numFmtId="167" fontId="2" fillId="7" borderId="7" xfId="10" applyNumberFormat="1" applyFont="1" applyFill="1" applyBorder="1"/>
    <xf numFmtId="167" fontId="2" fillId="3" borderId="6" xfId="10" applyNumberFormat="1" applyFont="1" applyFill="1" applyBorder="1"/>
    <xf numFmtId="167" fontId="2" fillId="7" borderId="14" xfId="10" applyNumberFormat="1" applyFont="1" applyFill="1" applyBorder="1" applyAlignment="1">
      <alignment horizontal="right"/>
    </xf>
    <xf numFmtId="0" fontId="28" fillId="8" borderId="0" xfId="12" applyFont="1" applyFill="1"/>
    <xf numFmtId="0" fontId="28" fillId="8" borderId="0" xfId="12" applyFont="1" applyFill="1" applyAlignment="1">
      <alignment horizontal="center"/>
    </xf>
    <xf numFmtId="0" fontId="33" fillId="8" borderId="0" xfId="12" applyFont="1" applyFill="1" applyAlignment="1">
      <alignment horizontal="center"/>
    </xf>
    <xf numFmtId="0" fontId="34" fillId="8" borderId="0" xfId="12" applyFont="1" applyFill="1"/>
    <xf numFmtId="0" fontId="28" fillId="8" borderId="5" xfId="12" applyFont="1" applyFill="1" applyBorder="1" applyAlignment="1">
      <alignment horizontal="center"/>
    </xf>
    <xf numFmtId="0" fontId="33" fillId="8" borderId="5" xfId="12" applyFont="1" applyFill="1" applyBorder="1" applyAlignment="1">
      <alignment horizontal="center"/>
    </xf>
    <xf numFmtId="0" fontId="28" fillId="8" borderId="4" xfId="12" applyFont="1" applyFill="1" applyBorder="1" applyAlignment="1">
      <alignment horizontal="center"/>
    </xf>
    <xf numFmtId="0" fontId="33" fillId="8" borderId="4" xfId="12" applyFont="1" applyFill="1" applyBorder="1" applyAlignment="1">
      <alignment horizontal="center"/>
    </xf>
    <xf numFmtId="0" fontId="28" fillId="8" borderId="3" xfId="12" applyFont="1" applyFill="1" applyBorder="1" applyAlignment="1">
      <alignment horizontal="center"/>
    </xf>
    <xf numFmtId="0" fontId="33" fillId="8" borderId="3" xfId="12" applyFont="1" applyFill="1" applyBorder="1" applyAlignment="1">
      <alignment horizontal="center"/>
    </xf>
    <xf numFmtId="0" fontId="36" fillId="8" borderId="0" xfId="12" applyFont="1" applyFill="1" applyAlignment="1">
      <alignment horizontal="center"/>
    </xf>
    <xf numFmtId="2" fontId="36" fillId="8" borderId="5" xfId="12" applyNumberFormat="1" applyFont="1" applyFill="1" applyBorder="1" applyAlignment="1">
      <alignment horizontal="center"/>
    </xf>
    <xf numFmtId="2" fontId="36" fillId="8" borderId="4" xfId="12" applyNumberFormat="1" applyFont="1" applyFill="1" applyBorder="1" applyAlignment="1">
      <alignment horizontal="center"/>
    </xf>
    <xf numFmtId="2" fontId="36" fillId="8" borderId="3" xfId="12" applyNumberFormat="1" applyFont="1" applyFill="1" applyBorder="1" applyAlignment="1">
      <alignment horizontal="center"/>
    </xf>
    <xf numFmtId="0" fontId="39" fillId="8" borderId="0" xfId="12" applyFont="1" applyFill="1"/>
    <xf numFmtId="2" fontId="39" fillId="8" borderId="5" xfId="12" applyNumberFormat="1" applyFont="1" applyFill="1" applyBorder="1" applyAlignment="1">
      <alignment horizontal="center"/>
    </xf>
    <xf numFmtId="2" fontId="39" fillId="8" borderId="4" xfId="12" applyNumberFormat="1" applyFont="1" applyFill="1" applyBorder="1" applyAlignment="1">
      <alignment horizontal="center"/>
    </xf>
    <xf numFmtId="2" fontId="39" fillId="8" borderId="3" xfId="12" applyNumberFormat="1" applyFont="1" applyFill="1" applyBorder="1" applyAlignment="1">
      <alignment horizontal="center"/>
    </xf>
    <xf numFmtId="0" fontId="29" fillId="8" borderId="0" xfId="12" applyFont="1" applyFill="1" applyAlignment="1">
      <alignment horizontal="center"/>
    </xf>
    <xf numFmtId="2" fontId="29" fillId="8" borderId="5" xfId="12" applyNumberFormat="1" applyFont="1" applyFill="1" applyBorder="1" applyAlignment="1">
      <alignment horizontal="center"/>
    </xf>
    <xf numFmtId="2" fontId="29" fillId="8" borderId="4" xfId="12" applyNumberFormat="1" applyFont="1" applyFill="1" applyBorder="1" applyAlignment="1">
      <alignment horizontal="center"/>
    </xf>
    <xf numFmtId="2" fontId="29" fillId="8" borderId="3" xfId="12" applyNumberFormat="1" applyFont="1" applyFill="1" applyBorder="1" applyAlignment="1">
      <alignment horizontal="center"/>
    </xf>
    <xf numFmtId="0" fontId="41" fillId="8" borderId="0" xfId="12" applyFont="1" applyFill="1"/>
    <xf numFmtId="0" fontId="42" fillId="8" borderId="0" xfId="12" applyFont="1" applyFill="1"/>
    <xf numFmtId="167" fontId="1" fillId="7" borderId="14" xfId="10" applyNumberFormat="1" applyFont="1" applyFill="1" applyBorder="1" applyAlignment="1">
      <alignment horizontal="right"/>
    </xf>
    <xf numFmtId="0" fontId="23" fillId="9" borderId="32" xfId="0" applyFont="1" applyFill="1" applyBorder="1" applyAlignment="1">
      <alignment wrapText="1"/>
    </xf>
    <xf numFmtId="37" fontId="23" fillId="9" borderId="33" xfId="10" applyNumberFormat="1" applyFont="1" applyFill="1" applyBorder="1"/>
    <xf numFmtId="37" fontId="23" fillId="9" borderId="36" xfId="10" applyNumberFormat="1" applyFont="1" applyFill="1" applyBorder="1"/>
    <xf numFmtId="0" fontId="0" fillId="4" borderId="8" xfId="0" applyFill="1" applyBorder="1" applyAlignment="1">
      <alignment horizontal="center"/>
    </xf>
    <xf numFmtId="0" fontId="12" fillId="3" borderId="0" xfId="0" applyFont="1" applyFill="1" applyAlignment="1">
      <alignment horizontal="center"/>
    </xf>
    <xf numFmtId="0" fontId="25" fillId="8" borderId="1" xfId="0" applyFont="1" applyFill="1" applyBorder="1" applyAlignment="1">
      <alignment vertical="center" wrapText="1"/>
    </xf>
    <xf numFmtId="0" fontId="27" fillId="8" borderId="2" xfId="0" applyFont="1" applyFill="1" applyBorder="1" applyAlignment="1">
      <alignment vertical="center" wrapText="1"/>
    </xf>
    <xf numFmtId="0" fontId="25" fillId="8" borderId="5" xfId="0" applyFont="1" applyFill="1" applyBorder="1" applyAlignment="1">
      <alignment vertical="center" wrapText="1"/>
    </xf>
    <xf numFmtId="0" fontId="26" fillId="8" borderId="5" xfId="0" applyFont="1" applyFill="1" applyBorder="1" applyAlignment="1">
      <alignment vertical="center" wrapText="1"/>
    </xf>
    <xf numFmtId="0" fontId="26" fillId="8" borderId="2" xfId="0" applyFont="1" applyFill="1" applyBorder="1" applyAlignment="1">
      <alignment vertical="center" wrapText="1"/>
    </xf>
    <xf numFmtId="0" fontId="25" fillId="8" borderId="1" xfId="0" applyFont="1" applyFill="1" applyBorder="1" applyAlignment="1">
      <alignment horizontal="center" vertical="center" wrapText="1"/>
    </xf>
    <xf numFmtId="0" fontId="25" fillId="8" borderId="5" xfId="0" applyFont="1" applyFill="1" applyBorder="1" applyAlignment="1">
      <alignment horizontal="center" vertical="center" wrapText="1"/>
    </xf>
    <xf numFmtId="0" fontId="12" fillId="4" borderId="0" xfId="0" applyFont="1" applyFill="1"/>
    <xf numFmtId="0" fontId="12" fillId="3" borderId="0" xfId="0" applyFont="1" applyFill="1" applyAlignment="1">
      <alignment horizontal="right"/>
    </xf>
    <xf numFmtId="0" fontId="12" fillId="3" borderId="0" xfId="13" applyFont="1" applyFill="1"/>
    <xf numFmtId="167" fontId="12" fillId="3" borderId="0" xfId="10" applyNumberFormat="1" applyFont="1" applyFill="1" applyBorder="1"/>
    <xf numFmtId="167" fontId="12" fillId="7" borderId="0" xfId="10" applyNumberFormat="1" applyFont="1" applyFill="1" applyBorder="1" applyAlignment="1">
      <alignment horizontal="center"/>
    </xf>
    <xf numFmtId="14" fontId="12" fillId="7" borderId="0" xfId="13" applyNumberFormat="1" applyFont="1" applyFill="1"/>
    <xf numFmtId="14" fontId="12" fillId="7" borderId="0" xfId="10" applyNumberFormat="1" applyFont="1" applyFill="1" applyBorder="1" applyAlignment="1">
      <alignment horizontal="center"/>
    </xf>
    <xf numFmtId="0" fontId="12" fillId="2" borderId="0" xfId="13" applyFont="1" applyFill="1"/>
    <xf numFmtId="0" fontId="12" fillId="7" borderId="0" xfId="13" applyFont="1" applyFill="1"/>
    <xf numFmtId="167" fontId="12" fillId="7" borderId="0" xfId="10" applyNumberFormat="1" applyFont="1" applyFill="1" applyBorder="1"/>
    <xf numFmtId="167" fontId="12" fillId="4" borderId="0" xfId="10" applyNumberFormat="1" applyFont="1" applyFill="1" applyBorder="1"/>
    <xf numFmtId="167" fontId="12" fillId="3" borderId="0" xfId="13" applyNumberFormat="1" applyFont="1" applyFill="1"/>
    <xf numFmtId="0" fontId="12" fillId="10" borderId="0" xfId="0" applyFont="1" applyFill="1" applyAlignment="1">
      <alignment wrapText="1"/>
    </xf>
    <xf numFmtId="167" fontId="12" fillId="7" borderId="0" xfId="10" applyNumberFormat="1" applyFont="1" applyFill="1" applyBorder="1" applyAlignment="1">
      <alignment horizontal="left"/>
    </xf>
    <xf numFmtId="0" fontId="23" fillId="6" borderId="13" xfId="0" applyFont="1" applyFill="1" applyBorder="1" applyAlignment="1">
      <alignment horizontal="center" vertical="center" wrapText="1"/>
    </xf>
    <xf numFmtId="0" fontId="12" fillId="6" borderId="16" xfId="0" applyFont="1" applyFill="1" applyBorder="1" applyAlignment="1">
      <alignment horizontal="center" vertical="center" wrapText="1"/>
    </xf>
    <xf numFmtId="0" fontId="23" fillId="6" borderId="14" xfId="0" applyFont="1" applyFill="1" applyBorder="1" applyAlignment="1">
      <alignment horizontal="center" vertical="center" wrapText="1"/>
    </xf>
    <xf numFmtId="0" fontId="12" fillId="6" borderId="17" xfId="0" applyFont="1" applyFill="1" applyBorder="1" applyAlignment="1">
      <alignment horizontal="center" vertical="center" wrapText="1"/>
    </xf>
    <xf numFmtId="0" fontId="23" fillId="6" borderId="37" xfId="0" applyFont="1" applyFill="1" applyBorder="1" applyAlignment="1">
      <alignment horizontal="center" vertical="center" wrapText="1"/>
    </xf>
    <xf numFmtId="0" fontId="12" fillId="6" borderId="38" xfId="0" applyFont="1" applyFill="1" applyBorder="1" applyAlignment="1">
      <alignment horizontal="center" vertical="center" wrapText="1"/>
    </xf>
    <xf numFmtId="37" fontId="23" fillId="6" borderId="14" xfId="0" applyNumberFormat="1" applyFont="1" applyFill="1" applyBorder="1" applyAlignment="1">
      <alignment horizontal="center" vertical="center" wrapText="1"/>
    </xf>
    <xf numFmtId="37" fontId="23" fillId="6" borderId="37" xfId="0" applyNumberFormat="1" applyFont="1" applyFill="1" applyBorder="1" applyAlignment="1">
      <alignment horizontal="center" vertical="center" wrapText="1"/>
    </xf>
    <xf numFmtId="0" fontId="17" fillId="0" borderId="0" xfId="0" applyFont="1" applyAlignment="1">
      <alignment horizontal="center"/>
    </xf>
  </cellXfs>
  <cellStyles count="14">
    <cellStyle name="Comma" xfId="10" builtinId="3"/>
    <cellStyle name="Currency 2" xfId="11" xr:uid="{862B2922-440D-AF4C-9CC6-8F7D5BCE46DB}"/>
    <cellStyle name="Hyperlink" xfId="6" builtinId="8"/>
    <cellStyle name="Normal" xfId="0" builtinId="0"/>
    <cellStyle name="Normal 2" xfId="3" xr:uid="{00000000-0005-0000-0000-000002000000}"/>
    <cellStyle name="Normal 2 2" xfId="5" xr:uid="{00000000-0005-0000-0000-000003000000}"/>
    <cellStyle name="Normal 2 3" xfId="13" xr:uid="{49EAF277-D74F-0943-B9D5-8B00E973B48A}"/>
    <cellStyle name="Normal 3" xfId="1" xr:uid="{00000000-0005-0000-0000-000004000000}"/>
    <cellStyle name="Normal 4" xfId="4" xr:uid="{00000000-0005-0000-0000-000005000000}"/>
    <cellStyle name="Normal 5" xfId="7" xr:uid="{00000000-0005-0000-0000-000006000000}"/>
    <cellStyle name="Normal 6" xfId="8" xr:uid="{93945ADB-214D-BC42-BAE8-C8C1D66B06CD}"/>
    <cellStyle name="Normal 6 2" xfId="12" xr:uid="{5FD72345-ABB9-9F47-9337-FAD00FC2D45B}"/>
    <cellStyle name="Normal 7" xfId="9" xr:uid="{4C66DE0C-695A-1D4F-979E-9960A44C998C}"/>
    <cellStyle name="Percent 2" xfId="2"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7.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tiff"/></Relationships>
</file>

<file path=xl/drawings/drawing1.xml><?xml version="1.0" encoding="utf-8"?>
<xdr:wsDr xmlns:xdr="http://schemas.openxmlformats.org/drawingml/2006/spreadsheetDrawing" xmlns:a="http://schemas.openxmlformats.org/drawingml/2006/main">
  <xdr:oneCellAnchor>
    <xdr:from>
      <xdr:col>2</xdr:col>
      <xdr:colOff>28575</xdr:colOff>
      <xdr:row>6</xdr:row>
      <xdr:rowOff>76200</xdr:rowOff>
    </xdr:from>
    <xdr:ext cx="6769100" cy="5978525"/>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775" y="1295400"/>
          <a:ext cx="6769100" cy="5978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47625</xdr:colOff>
      <xdr:row>36</xdr:row>
      <xdr:rowOff>123825</xdr:rowOff>
    </xdr:from>
    <xdr:ext cx="6391275" cy="4933950"/>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3825" y="7439025"/>
          <a:ext cx="6391275" cy="4933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63</xdr:row>
      <xdr:rowOff>190500</xdr:rowOff>
    </xdr:from>
    <xdr:ext cx="6902450" cy="5457825"/>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84300" y="12992100"/>
          <a:ext cx="6902450" cy="5457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102</xdr:row>
      <xdr:rowOff>161925</xdr:rowOff>
    </xdr:from>
    <xdr:ext cx="5470525" cy="3870325"/>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84300" y="20888325"/>
          <a:ext cx="5470525" cy="3870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47</xdr:row>
      <xdr:rowOff>0</xdr:rowOff>
    </xdr:from>
    <xdr:to>
      <xdr:col>9</xdr:col>
      <xdr:colOff>2491670</xdr:colOff>
      <xdr:row>75</xdr:row>
      <xdr:rowOff>160514</xdr:rowOff>
    </xdr:to>
    <xdr:pic>
      <xdr:nvPicPr>
        <xdr:cNvPr id="2" name="Picture 1">
          <a:extLst>
            <a:ext uri="{FF2B5EF4-FFF2-40B4-BE49-F238E27FC236}">
              <a16:creationId xmlns:a16="http://schemas.microsoft.com/office/drawing/2014/main" id="{0C2EBB75-C702-164F-9E30-20BD27367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5111" y="12657667"/>
          <a:ext cx="12341226" cy="7667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812800</xdr:colOff>
      <xdr:row>1</xdr:row>
      <xdr:rowOff>25400</xdr:rowOff>
    </xdr:from>
    <xdr:to>
      <xdr:col>13</xdr:col>
      <xdr:colOff>393700</xdr:colOff>
      <xdr:row>46</xdr:row>
      <xdr:rowOff>63500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12800" y="215900"/>
          <a:ext cx="10312400" cy="861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Basel III Calculations</a:t>
          </a:r>
        </a:p>
        <a:p>
          <a:endParaRPr lang="en-US" sz="2000"/>
        </a:p>
        <a:p>
          <a:r>
            <a:rPr lang="en-US" sz="2000"/>
            <a:t>Note whether assets are unencumbered when considering liquidity.</a:t>
          </a:r>
        </a:p>
        <a:p>
          <a:endParaRPr lang="en-US" sz="2000"/>
        </a:p>
        <a:p>
          <a:r>
            <a:rPr lang="en-US" sz="2000"/>
            <a:t>Borrowing short term and investing long term is risky.</a:t>
          </a:r>
        </a:p>
        <a:p>
          <a:endParaRPr lang="en-US" sz="2000"/>
        </a:p>
        <a:p>
          <a:r>
            <a:rPr lang="en-US" sz="2000"/>
            <a:t>Capital during good times is not enough to cover capital required in bad times.</a:t>
          </a:r>
        </a:p>
        <a:p>
          <a:endParaRPr lang="en-US" sz="2000"/>
        </a:p>
        <a:p>
          <a:r>
            <a:rPr lang="en-US" sz="2000"/>
            <a:t>Loan to deposit ratios are not measures of liquidity risk</a:t>
          </a:r>
        </a:p>
        <a:p>
          <a:endParaRPr lang="en-US" sz="2000"/>
        </a:p>
        <a:p>
          <a:r>
            <a:rPr lang="en-US" sz="2000"/>
            <a:t>8 Steps in stress testing	</a:t>
          </a:r>
        </a:p>
        <a:p>
          <a:r>
            <a:rPr lang="en-US" sz="2000"/>
            <a:t>1	Define scenarios and levels.</a:t>
          </a:r>
        </a:p>
        <a:p>
          <a:r>
            <a:rPr lang="en-US" sz="2000"/>
            <a:t>2	For each of them, identify contractual cash flows.</a:t>
          </a:r>
        </a:p>
        <a:p>
          <a:r>
            <a:rPr lang="en-US" sz="2000"/>
            <a:t>3	For each of them, identify cash flows from customers.</a:t>
          </a:r>
        </a:p>
        <a:p>
          <a:r>
            <a:rPr lang="en-US" sz="2000"/>
            <a:t>4	Add treasury cash flows.</a:t>
          </a:r>
        </a:p>
        <a:p>
          <a:r>
            <a:rPr lang="en-US" sz="2000"/>
            <a:t>5	Total the customer cash flows and the treasury cash flows.</a:t>
          </a:r>
        </a:p>
        <a:p>
          <a:r>
            <a:rPr lang="en-US" sz="2000"/>
            <a:t>6	Calculate the amount of liquid funds.</a:t>
          </a:r>
        </a:p>
        <a:p>
          <a:r>
            <a:rPr lang="en-US" sz="2000"/>
            <a:t>7	Compare need to availability.</a:t>
          </a:r>
        </a:p>
        <a:p>
          <a:r>
            <a:rPr lang="en-US" sz="2000"/>
            <a:t>8	Inform management.</a:t>
          </a:r>
        </a:p>
        <a:p>
          <a:endParaRPr lang="en-US" sz="2000"/>
        </a:p>
        <a:p>
          <a:r>
            <a:rPr lang="en-US" sz="2000"/>
            <a:t>Concepts in 'Concepts' tab</a:t>
          </a:r>
        </a:p>
        <a:p>
          <a:endParaRPr lang="en-US" sz="2000"/>
        </a:p>
        <a:p>
          <a:r>
            <a:rPr lang="en-US" sz="2000"/>
            <a:t>Liquidity</a:t>
          </a:r>
          <a:r>
            <a:rPr lang="en-US" sz="2000" baseline="0"/>
            <a:t> VaR can be estimated using historical spreads.</a:t>
          </a:r>
        </a:p>
        <a:p>
          <a:r>
            <a:rPr lang="en-US" sz="2000" baseline="0"/>
            <a:t>Matz would not recommend that.</a:t>
          </a:r>
        </a:p>
        <a:p>
          <a:endParaRPr lang="en-US" sz="2000" baseline="0"/>
        </a:p>
        <a:p>
          <a:r>
            <a:rPr lang="en-US" sz="2000" baseline="0"/>
            <a:t>There are price-copiers in the market.</a:t>
          </a:r>
          <a:endParaRPr lang="en-US"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2540000</xdr:colOff>
      <xdr:row>18</xdr:row>
      <xdr:rowOff>88900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825500" y="330200"/>
          <a:ext cx="2540000" cy="5372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9.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RMClass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refreshError="1"/>
      <sheetData sheetId="1" refreshError="1"/>
      <sheetData sheetId="2" refreshError="1"/>
      <sheetData sheetId="3" refreshError="1"/>
      <sheetData sheetId="4" refreshError="1">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efreshError="1">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efreshError="1">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refreshError="1"/>
      <sheetData sheetId="1" refreshError="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efreshError="1">
        <row r="3">
          <cell r="F3">
            <v>10.837769560171987</v>
          </cell>
        </row>
      </sheetData>
      <sheetData sheetId="3" refreshError="1"/>
      <sheetData sheetId="4" refreshError="1">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refreshError="1"/>
      <sheetData sheetId="6" refreshError="1">
        <row r="26">
          <cell r="E26">
            <v>1200.2040073638184</v>
          </cell>
        </row>
      </sheetData>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https://www.investopedia.com/terms/c/capital-buffer.asp"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hyperlink" Target="http://www.investopedia.com/terms/c/cashconversioncycle.asp"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C10"/>
  <sheetViews>
    <sheetView tabSelected="1" workbookViewId="0"/>
  </sheetViews>
  <sheetFormatPr baseColWidth="10" defaultColWidth="10.83203125" defaultRowHeight="26" x14ac:dyDescent="0.3"/>
  <cols>
    <col min="1" max="16384" width="10.83203125" style="3"/>
  </cols>
  <sheetData>
    <row r="3" spans="2:3" x14ac:dyDescent="0.3">
      <c r="B3" s="3" t="s">
        <v>0</v>
      </c>
    </row>
    <row r="5" spans="2:3" x14ac:dyDescent="0.3">
      <c r="B5" s="3" t="s">
        <v>102</v>
      </c>
    </row>
    <row r="7" spans="2:3" x14ac:dyDescent="0.3">
      <c r="B7" s="3" t="s">
        <v>95</v>
      </c>
    </row>
    <row r="8" spans="2:3" x14ac:dyDescent="0.3">
      <c r="C8" s="3" t="s">
        <v>97</v>
      </c>
    </row>
    <row r="9" spans="2:3" x14ac:dyDescent="0.3">
      <c r="C9" s="3" t="s">
        <v>98</v>
      </c>
    </row>
    <row r="10" spans="2:3" x14ac:dyDescent="0.3">
      <c r="C10" s="3" t="s">
        <v>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C6"/>
  <sheetViews>
    <sheetView workbookViewId="0"/>
  </sheetViews>
  <sheetFormatPr baseColWidth="10" defaultColWidth="8.83203125" defaultRowHeight="26" x14ac:dyDescent="0.3"/>
  <cols>
    <col min="1" max="2" width="8.83203125" style="3"/>
    <col min="3" max="3" width="8.83203125" style="43"/>
    <col min="4" max="16384" width="8.83203125" style="3"/>
  </cols>
  <sheetData>
    <row r="2" spans="2:2" x14ac:dyDescent="0.3">
      <c r="B2" s="3" t="s">
        <v>238</v>
      </c>
    </row>
    <row r="3" spans="2:2" x14ac:dyDescent="0.3">
      <c r="B3" s="3" t="s">
        <v>239</v>
      </c>
    </row>
    <row r="4" spans="2:2" x14ac:dyDescent="0.3">
      <c r="B4" s="3" t="s">
        <v>240</v>
      </c>
    </row>
    <row r="5" spans="2:2" x14ac:dyDescent="0.3">
      <c r="B5" s="3" t="s">
        <v>241</v>
      </c>
    </row>
    <row r="6" spans="2:2" x14ac:dyDescent="0.3">
      <c r="B6" s="3" t="s">
        <v>242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D37"/>
  <sheetViews>
    <sheetView zoomScale="90" workbookViewId="0"/>
  </sheetViews>
  <sheetFormatPr baseColWidth="10" defaultColWidth="8.83203125" defaultRowHeight="26" x14ac:dyDescent="0.3"/>
  <cols>
    <col min="1" max="16384" width="8.83203125" style="3"/>
  </cols>
  <sheetData>
    <row r="2" spans="2:4" x14ac:dyDescent="0.3">
      <c r="B2" s="3" t="s">
        <v>361</v>
      </c>
    </row>
    <row r="3" spans="2:4" x14ac:dyDescent="0.3">
      <c r="C3" s="3" t="s">
        <v>155</v>
      </c>
    </row>
    <row r="4" spans="2:4" x14ac:dyDescent="0.3">
      <c r="D4" s="3" t="s">
        <v>234</v>
      </c>
    </row>
    <row r="5" spans="2:4" x14ac:dyDescent="0.3">
      <c r="C5" s="3" t="s">
        <v>233</v>
      </c>
    </row>
    <row r="6" spans="2:4" x14ac:dyDescent="0.3">
      <c r="D6" s="3" t="s">
        <v>235</v>
      </c>
    </row>
    <row r="7" spans="2:4" x14ac:dyDescent="0.3">
      <c r="D7" s="3" t="s">
        <v>390</v>
      </c>
    </row>
    <row r="9" spans="2:4" x14ac:dyDescent="0.3">
      <c r="B9" s="3" t="s">
        <v>237</v>
      </c>
    </row>
    <row r="10" spans="2:4" x14ac:dyDescent="0.3">
      <c r="C10" s="3" t="s">
        <v>148</v>
      </c>
    </row>
    <row r="11" spans="2:4" x14ac:dyDescent="0.3">
      <c r="C11" s="3" t="s">
        <v>149</v>
      </c>
    </row>
    <row r="13" spans="2:4" x14ac:dyDescent="0.3">
      <c r="B13" s="3" t="s">
        <v>1</v>
      </c>
    </row>
    <row r="15" spans="2:4" x14ac:dyDescent="0.3">
      <c r="B15" s="3" t="s">
        <v>16</v>
      </c>
    </row>
    <row r="16" spans="2:4" x14ac:dyDescent="0.3">
      <c r="C16" s="12" t="s">
        <v>110</v>
      </c>
    </row>
    <row r="17" spans="2:4" x14ac:dyDescent="0.3">
      <c r="D17" s="12"/>
    </row>
    <row r="18" spans="2:4" x14ac:dyDescent="0.3">
      <c r="B18" s="3" t="s">
        <v>2</v>
      </c>
    </row>
    <row r="19" spans="2:4" x14ac:dyDescent="0.3">
      <c r="C19" s="3" t="s">
        <v>3</v>
      </c>
    </row>
    <row r="20" spans="2:4" x14ac:dyDescent="0.3">
      <c r="C20" s="3" t="s">
        <v>17</v>
      </c>
    </row>
    <row r="22" spans="2:4" x14ac:dyDescent="0.3">
      <c r="B22" s="3" t="s">
        <v>358</v>
      </c>
    </row>
    <row r="23" spans="2:4" x14ac:dyDescent="0.3">
      <c r="C23" s="3" t="s">
        <v>18</v>
      </c>
    </row>
    <row r="24" spans="2:4" x14ac:dyDescent="0.3">
      <c r="C24" s="3" t="s">
        <v>11</v>
      </c>
    </row>
    <row r="25" spans="2:4" x14ac:dyDescent="0.3">
      <c r="D25" s="3" t="s">
        <v>12</v>
      </c>
    </row>
    <row r="27" spans="2:4" x14ac:dyDescent="0.3">
      <c r="B27" s="3" t="s">
        <v>4</v>
      </c>
    </row>
    <row r="28" spans="2:4" x14ac:dyDescent="0.3">
      <c r="C28" s="3" t="s">
        <v>5</v>
      </c>
    </row>
    <row r="29" spans="2:4" x14ac:dyDescent="0.3">
      <c r="C29" s="3" t="s">
        <v>6</v>
      </c>
    </row>
    <row r="30" spans="2:4" x14ac:dyDescent="0.3">
      <c r="C30" s="3" t="s">
        <v>7</v>
      </c>
    </row>
    <row r="31" spans="2:4" x14ac:dyDescent="0.3">
      <c r="D31" s="3" t="s">
        <v>8</v>
      </c>
    </row>
    <row r="32" spans="2:4" x14ac:dyDescent="0.3">
      <c r="D32" s="3" t="s">
        <v>9</v>
      </c>
    </row>
    <row r="33" spans="2:4" x14ac:dyDescent="0.3">
      <c r="D33" s="3" t="s">
        <v>10</v>
      </c>
    </row>
    <row r="35" spans="2:4" x14ac:dyDescent="0.3">
      <c r="B35" s="3" t="s">
        <v>13</v>
      </c>
    </row>
    <row r="36" spans="2:4" x14ac:dyDescent="0.3">
      <c r="C36" s="3" t="s">
        <v>14</v>
      </c>
    </row>
    <row r="37" spans="2:4" x14ac:dyDescent="0.3">
      <c r="C37" s="3" t="s">
        <v>15</v>
      </c>
    </row>
  </sheetData>
  <hyperlinks>
    <hyperlink ref="C16" r:id="rId1" xr:uid="{00000000-0004-0000-06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B7"/>
  <sheetViews>
    <sheetView zoomScaleNormal="100" workbookViewId="0"/>
  </sheetViews>
  <sheetFormatPr baseColWidth="10" defaultColWidth="8.83203125" defaultRowHeight="26" x14ac:dyDescent="0.3"/>
  <cols>
    <col min="1" max="16384" width="8.83203125" style="3"/>
  </cols>
  <sheetData>
    <row r="2" spans="2:2" x14ac:dyDescent="0.3">
      <c r="B2" s="3" t="s">
        <v>251</v>
      </c>
    </row>
    <row r="4" spans="2:2" x14ac:dyDescent="0.3">
      <c r="B4" s="3" t="s">
        <v>246</v>
      </c>
    </row>
    <row r="5" spans="2:2" x14ac:dyDescent="0.3">
      <c r="B5" s="3" t="s">
        <v>245</v>
      </c>
    </row>
    <row r="6" spans="2:2" x14ac:dyDescent="0.3">
      <c r="B6" s="3" t="s">
        <v>244</v>
      </c>
    </row>
    <row r="7" spans="2:2" x14ac:dyDescent="0.3">
      <c r="B7" s="3" t="s">
        <v>243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I20"/>
  <sheetViews>
    <sheetView zoomScaleNormal="100" workbookViewId="0"/>
  </sheetViews>
  <sheetFormatPr baseColWidth="10" defaultColWidth="8.83203125" defaultRowHeight="26" x14ac:dyDescent="0.3"/>
  <cols>
    <col min="1" max="1" width="8.83203125" style="3"/>
    <col min="2" max="2" width="8.83203125" style="3" customWidth="1"/>
    <col min="3" max="6" width="8.83203125" style="3"/>
    <col min="7" max="7" width="12.6640625" style="3" customWidth="1"/>
    <col min="8" max="16384" width="8.83203125" style="3"/>
  </cols>
  <sheetData>
    <row r="2" spans="2:9" x14ac:dyDescent="0.3">
      <c r="B2" s="42" t="s">
        <v>250</v>
      </c>
    </row>
    <row r="3" spans="2:9" x14ac:dyDescent="0.3">
      <c r="D3" s="12"/>
    </row>
    <row r="4" spans="2:9" x14ac:dyDescent="0.3">
      <c r="D4" s="12"/>
    </row>
    <row r="5" spans="2:9" x14ac:dyDescent="0.3">
      <c r="B5" s="41" t="s">
        <v>211</v>
      </c>
      <c r="D5" s="12"/>
      <c r="H5" s="41" t="s">
        <v>212</v>
      </c>
    </row>
    <row r="7" spans="2:9" x14ac:dyDescent="0.3">
      <c r="B7" s="3" t="s">
        <v>220</v>
      </c>
      <c r="H7" s="3" t="s">
        <v>249</v>
      </c>
    </row>
    <row r="8" spans="2:9" x14ac:dyDescent="0.3">
      <c r="B8" s="3" t="s">
        <v>221</v>
      </c>
      <c r="I8" s="3" t="s">
        <v>213</v>
      </c>
    </row>
    <row r="9" spans="2:9" x14ac:dyDescent="0.3">
      <c r="B9" s="3" t="s">
        <v>222</v>
      </c>
      <c r="I9" s="3" t="s">
        <v>214</v>
      </c>
    </row>
    <row r="10" spans="2:9" x14ac:dyDescent="0.3">
      <c r="B10" s="3" t="s">
        <v>223</v>
      </c>
      <c r="I10" s="3" t="s">
        <v>248</v>
      </c>
    </row>
    <row r="11" spans="2:9" x14ac:dyDescent="0.3">
      <c r="B11" s="3" t="s">
        <v>224</v>
      </c>
      <c r="I11" s="3" t="s">
        <v>215</v>
      </c>
    </row>
    <row r="12" spans="2:9" x14ac:dyDescent="0.3">
      <c r="B12" s="3" t="s">
        <v>225</v>
      </c>
    </row>
    <row r="13" spans="2:9" x14ac:dyDescent="0.3">
      <c r="B13" s="3" t="s">
        <v>226</v>
      </c>
      <c r="H13" s="3" t="s">
        <v>216</v>
      </c>
    </row>
    <row r="14" spans="2:9" x14ac:dyDescent="0.3">
      <c r="I14" s="3" t="s">
        <v>217</v>
      </c>
    </row>
    <row r="15" spans="2:9" x14ac:dyDescent="0.3">
      <c r="I15" s="3" t="s">
        <v>10</v>
      </c>
    </row>
    <row r="16" spans="2:9" x14ac:dyDescent="0.3">
      <c r="I16" s="3" t="s">
        <v>218</v>
      </c>
    </row>
    <row r="17" spans="9:9" x14ac:dyDescent="0.3">
      <c r="I17" s="3" t="s">
        <v>85</v>
      </c>
    </row>
    <row r="18" spans="9:9" x14ac:dyDescent="0.3">
      <c r="I18" s="3" t="s">
        <v>247</v>
      </c>
    </row>
    <row r="19" spans="9:9" x14ac:dyDescent="0.3">
      <c r="I19" s="3" t="s">
        <v>141</v>
      </c>
    </row>
    <row r="20" spans="9:9" x14ac:dyDescent="0.3">
      <c r="I20" s="3" t="s">
        <v>219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A80E-D079-B84E-8143-E31D04EC9528}">
  <sheetPr>
    <tabColor rgb="FFFF0000"/>
  </sheetPr>
  <dimension ref="B2:B16"/>
  <sheetViews>
    <sheetView workbookViewId="0"/>
  </sheetViews>
  <sheetFormatPr baseColWidth="10" defaultRowHeight="26" x14ac:dyDescent="0.3"/>
  <cols>
    <col min="1" max="16384" width="10.83203125" style="44"/>
  </cols>
  <sheetData>
    <row r="2" spans="2:2" x14ac:dyDescent="0.3">
      <c r="B2" s="44" t="s">
        <v>236</v>
      </c>
    </row>
    <row r="4" spans="2:2" x14ac:dyDescent="0.3">
      <c r="B4" s="44" t="s">
        <v>252</v>
      </c>
    </row>
    <row r="5" spans="2:2" x14ac:dyDescent="0.3">
      <c r="B5" s="44" t="s">
        <v>253</v>
      </c>
    </row>
    <row r="6" spans="2:2" x14ac:dyDescent="0.3">
      <c r="B6" s="44" t="s">
        <v>254</v>
      </c>
    </row>
    <row r="7" spans="2:2" x14ac:dyDescent="0.3">
      <c r="B7" s="44" t="s">
        <v>227</v>
      </c>
    </row>
    <row r="8" spans="2:2" x14ac:dyDescent="0.3">
      <c r="B8" s="44" t="s">
        <v>255</v>
      </c>
    </row>
    <row r="9" spans="2:2" x14ac:dyDescent="0.3">
      <c r="B9" s="44" t="s">
        <v>228</v>
      </c>
    </row>
    <row r="10" spans="2:2" x14ac:dyDescent="0.3">
      <c r="B10" s="44" t="s">
        <v>256</v>
      </c>
    </row>
    <row r="11" spans="2:2" x14ac:dyDescent="0.3">
      <c r="B11" s="44" t="s">
        <v>229</v>
      </c>
    </row>
    <row r="12" spans="2:2" x14ac:dyDescent="0.3">
      <c r="B12" s="44" t="s">
        <v>230</v>
      </c>
    </row>
    <row r="13" spans="2:2" x14ac:dyDescent="0.3">
      <c r="B13" s="44" t="s">
        <v>231</v>
      </c>
    </row>
    <row r="14" spans="2:2" x14ac:dyDescent="0.3">
      <c r="B14" s="44" t="s">
        <v>257</v>
      </c>
    </row>
    <row r="15" spans="2:2" x14ac:dyDescent="0.3">
      <c r="B15" s="44" t="s">
        <v>258</v>
      </c>
    </row>
    <row r="16" spans="2:2" x14ac:dyDescent="0.3">
      <c r="B16" s="44" t="s">
        <v>232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B2:C26"/>
  <sheetViews>
    <sheetView workbookViewId="0"/>
  </sheetViews>
  <sheetFormatPr baseColWidth="10" defaultColWidth="10.83203125" defaultRowHeight="26" x14ac:dyDescent="0.3"/>
  <cols>
    <col min="1" max="16384" width="10.83203125" style="5"/>
  </cols>
  <sheetData>
    <row r="2" spans="2:2" x14ac:dyDescent="0.3">
      <c r="B2" s="5" t="s">
        <v>94</v>
      </c>
    </row>
    <row r="4" spans="2:2" x14ac:dyDescent="0.3">
      <c r="B4" s="5" t="s">
        <v>112</v>
      </c>
    </row>
    <row r="5" spans="2:2" x14ac:dyDescent="0.3">
      <c r="B5" s="5" t="s">
        <v>78</v>
      </c>
    </row>
    <row r="6" spans="2:2" x14ac:dyDescent="0.3">
      <c r="B6" s="5" t="s">
        <v>77</v>
      </c>
    </row>
    <row r="8" spans="2:2" x14ac:dyDescent="0.3">
      <c r="B8" s="5" t="s">
        <v>111</v>
      </c>
    </row>
    <row r="9" spans="2:2" x14ac:dyDescent="0.3">
      <c r="B9" s="5" t="s">
        <v>113</v>
      </c>
    </row>
    <row r="10" spans="2:2" x14ac:dyDescent="0.3">
      <c r="B10" s="5" t="s">
        <v>76</v>
      </c>
    </row>
    <row r="11" spans="2:2" x14ac:dyDescent="0.3">
      <c r="B11" s="5" t="s">
        <v>103</v>
      </c>
    </row>
    <row r="12" spans="2:2" x14ac:dyDescent="0.3">
      <c r="B12" s="5" t="s">
        <v>75</v>
      </c>
    </row>
    <row r="13" spans="2:2" x14ac:dyDescent="0.3">
      <c r="B13" s="5" t="s">
        <v>68</v>
      </c>
    </row>
    <row r="15" spans="2:2" x14ac:dyDescent="0.3">
      <c r="B15" s="5" t="s">
        <v>74</v>
      </c>
    </row>
    <row r="16" spans="2:2" x14ac:dyDescent="0.3">
      <c r="B16" s="5" t="s">
        <v>105</v>
      </c>
    </row>
    <row r="17" spans="2:3" x14ac:dyDescent="0.3">
      <c r="B17" s="5" t="s">
        <v>104</v>
      </c>
    </row>
    <row r="18" spans="2:3" x14ac:dyDescent="0.3">
      <c r="B18" s="5" t="s">
        <v>73</v>
      </c>
    </row>
    <row r="19" spans="2:3" x14ac:dyDescent="0.3">
      <c r="C19" s="5" t="s">
        <v>106</v>
      </c>
    </row>
    <row r="20" spans="2:3" x14ac:dyDescent="0.3">
      <c r="C20" s="5" t="s">
        <v>107</v>
      </c>
    </row>
    <row r="22" spans="2:3" x14ac:dyDescent="0.3">
      <c r="B22" s="5" t="s">
        <v>72</v>
      </c>
    </row>
    <row r="23" spans="2:3" x14ac:dyDescent="0.3">
      <c r="B23" s="5" t="s">
        <v>71</v>
      </c>
    </row>
    <row r="24" spans="2:3" x14ac:dyDescent="0.3">
      <c r="B24" s="5" t="s">
        <v>70</v>
      </c>
    </row>
    <row r="25" spans="2:3" x14ac:dyDescent="0.3">
      <c r="B25" s="5" t="s">
        <v>69</v>
      </c>
    </row>
    <row r="26" spans="2:3" x14ac:dyDescent="0.3">
      <c r="B26" s="5" t="s">
        <v>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B2:C31"/>
  <sheetViews>
    <sheetView workbookViewId="0"/>
  </sheetViews>
  <sheetFormatPr baseColWidth="10" defaultColWidth="11" defaultRowHeight="26" x14ac:dyDescent="0.3"/>
  <cols>
    <col min="1" max="16384" width="11" style="48"/>
  </cols>
  <sheetData>
    <row r="2" spans="2:3" x14ac:dyDescent="0.3">
      <c r="B2" s="48" t="s">
        <v>36</v>
      </c>
    </row>
    <row r="3" spans="2:3" x14ac:dyDescent="0.3">
      <c r="C3" s="48" t="s">
        <v>35</v>
      </c>
    </row>
    <row r="4" spans="2:3" x14ac:dyDescent="0.3">
      <c r="C4" s="48" t="s">
        <v>34</v>
      </c>
    </row>
    <row r="6" spans="2:3" x14ac:dyDescent="0.3">
      <c r="C6" s="48" t="s">
        <v>33</v>
      </c>
    </row>
    <row r="7" spans="2:3" x14ac:dyDescent="0.3">
      <c r="C7" s="48" t="s">
        <v>32</v>
      </c>
    </row>
    <row r="8" spans="2:3" x14ac:dyDescent="0.3">
      <c r="C8" s="48" t="s">
        <v>31</v>
      </c>
    </row>
    <row r="10" spans="2:3" x14ac:dyDescent="0.3">
      <c r="C10" s="48" t="s">
        <v>30</v>
      </c>
    </row>
    <row r="11" spans="2:3" x14ac:dyDescent="0.3">
      <c r="C11" s="48" t="s">
        <v>29</v>
      </c>
    </row>
    <row r="13" spans="2:3" x14ac:dyDescent="0.3">
      <c r="C13" s="48" t="s">
        <v>28</v>
      </c>
    </row>
    <row r="15" spans="2:3" x14ac:dyDescent="0.3">
      <c r="C15" s="48" t="s">
        <v>27</v>
      </c>
    </row>
    <row r="16" spans="2:3" x14ac:dyDescent="0.3">
      <c r="C16" s="12" t="s">
        <v>100</v>
      </c>
    </row>
    <row r="17" spans="2:3" x14ac:dyDescent="0.3">
      <c r="C17" s="48" t="s">
        <v>26</v>
      </c>
    </row>
    <row r="18" spans="2:3" x14ac:dyDescent="0.3">
      <c r="C18" s="48" t="s">
        <v>25</v>
      </c>
    </row>
    <row r="20" spans="2:3" x14ac:dyDescent="0.3">
      <c r="B20" s="48" t="s">
        <v>24</v>
      </c>
    </row>
    <row r="21" spans="2:3" x14ac:dyDescent="0.3">
      <c r="C21" s="48" t="s">
        <v>23</v>
      </c>
    </row>
    <row r="22" spans="2:3" x14ac:dyDescent="0.3">
      <c r="C22" s="48" t="s">
        <v>22</v>
      </c>
    </row>
    <row r="23" spans="2:3" x14ac:dyDescent="0.3">
      <c r="C23" s="48" t="s">
        <v>21</v>
      </c>
    </row>
    <row r="24" spans="2:3" x14ac:dyDescent="0.3">
      <c r="C24" s="48" t="s">
        <v>96</v>
      </c>
    </row>
    <row r="26" spans="2:3" x14ac:dyDescent="0.3">
      <c r="B26" s="48" t="s">
        <v>20</v>
      </c>
    </row>
    <row r="27" spans="2:3" x14ac:dyDescent="0.3">
      <c r="C27" s="48" t="s">
        <v>19</v>
      </c>
    </row>
    <row r="29" spans="2:3" x14ac:dyDescent="0.3">
      <c r="B29" s="48" t="s">
        <v>259</v>
      </c>
    </row>
    <row r="30" spans="2:3" x14ac:dyDescent="0.3">
      <c r="C30" s="48" t="s">
        <v>260</v>
      </c>
    </row>
    <row r="31" spans="2:3" x14ac:dyDescent="0.3">
      <c r="C31" s="48" t="s">
        <v>261</v>
      </c>
    </row>
  </sheetData>
  <hyperlinks>
    <hyperlink ref="C16" r:id="rId1" xr:uid="{00000000-0004-0000-0800-000000000000}"/>
  </hyperlink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B2:D127"/>
  <sheetViews>
    <sheetView workbookViewId="0"/>
  </sheetViews>
  <sheetFormatPr baseColWidth="10" defaultColWidth="8.83203125" defaultRowHeight="16" x14ac:dyDescent="0.2"/>
  <cols>
    <col min="1" max="16384" width="8.83203125" style="2"/>
  </cols>
  <sheetData>
    <row r="2" spans="2:3" x14ac:dyDescent="0.2">
      <c r="B2" s="9" t="s">
        <v>101</v>
      </c>
    </row>
    <row r="3" spans="2:3" x14ac:dyDescent="0.2">
      <c r="C3" s="2" t="s">
        <v>51</v>
      </c>
    </row>
    <row r="4" spans="2:3" x14ac:dyDescent="0.2">
      <c r="C4" s="2" t="s">
        <v>50</v>
      </c>
    </row>
    <row r="5" spans="2:3" x14ac:dyDescent="0.2">
      <c r="C5" s="2" t="s">
        <v>49</v>
      </c>
    </row>
    <row r="6" spans="2:3" x14ac:dyDescent="0.2">
      <c r="C6" s="2" t="s">
        <v>48</v>
      </c>
    </row>
    <row r="63" spans="3:3" x14ac:dyDescent="0.2">
      <c r="C63" s="2" t="s">
        <v>47</v>
      </c>
    </row>
    <row r="94" spans="3:4" x14ac:dyDescent="0.2">
      <c r="C94" s="9" t="s">
        <v>108</v>
      </c>
    </row>
    <row r="95" spans="3:4" x14ac:dyDescent="0.2">
      <c r="D95" s="2" t="s">
        <v>46</v>
      </c>
    </row>
    <row r="96" spans="3:4" x14ac:dyDescent="0.2">
      <c r="D96" s="2" t="s">
        <v>45</v>
      </c>
    </row>
    <row r="97" spans="3:4" x14ac:dyDescent="0.2">
      <c r="D97" s="2" t="s">
        <v>44</v>
      </c>
    </row>
    <row r="99" spans="3:4" x14ac:dyDescent="0.2">
      <c r="C99" s="2" t="s">
        <v>43</v>
      </c>
    </row>
    <row r="100" spans="3:4" x14ac:dyDescent="0.2">
      <c r="D100" s="2" t="s">
        <v>42</v>
      </c>
    </row>
    <row r="101" spans="3:4" x14ac:dyDescent="0.2">
      <c r="D101" s="2" t="s">
        <v>41</v>
      </c>
    </row>
    <row r="102" spans="3:4" x14ac:dyDescent="0.2">
      <c r="D102" s="2" t="s">
        <v>40</v>
      </c>
    </row>
    <row r="125" spans="3:4" x14ac:dyDescent="0.2">
      <c r="C125" s="2" t="s">
        <v>39</v>
      </c>
    </row>
    <row r="126" spans="3:4" x14ac:dyDescent="0.2">
      <c r="D126" s="2" t="s">
        <v>38</v>
      </c>
    </row>
    <row r="127" spans="3:4" x14ac:dyDescent="0.2">
      <c r="D127" s="2" t="s">
        <v>37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EC30-05F4-4545-9D8E-17D9C14783B4}">
  <sheetPr>
    <tabColor rgb="FFFF0000"/>
  </sheetPr>
  <dimension ref="A1:F24"/>
  <sheetViews>
    <sheetView showGridLines="0" zoomScaleNormal="100" workbookViewId="0"/>
  </sheetViews>
  <sheetFormatPr baseColWidth="10" defaultColWidth="10.5" defaultRowHeight="26" x14ac:dyDescent="0.3"/>
  <cols>
    <col min="1" max="1" width="10.5" style="49"/>
    <col min="2" max="2" width="68.33203125" style="50" bestFit="1" customWidth="1"/>
    <col min="3" max="3" width="14.83203125" style="49" customWidth="1"/>
    <col min="4" max="4" width="17" style="49" customWidth="1"/>
    <col min="5" max="5" width="19.83203125" style="49" customWidth="1"/>
    <col min="6" max="16384" width="10.5" style="49"/>
  </cols>
  <sheetData>
    <row r="1" spans="1:6" x14ac:dyDescent="0.3">
      <c r="A1" s="49" t="s">
        <v>269</v>
      </c>
    </row>
    <row r="2" spans="1:6" x14ac:dyDescent="0.3">
      <c r="A2" s="51" t="s">
        <v>270</v>
      </c>
    </row>
    <row r="3" spans="1:6" ht="27" thickBot="1" x14ac:dyDescent="0.35"/>
    <row r="4" spans="1:6" x14ac:dyDescent="0.3">
      <c r="B4" s="52"/>
      <c r="C4" s="53" t="s">
        <v>271</v>
      </c>
      <c r="D4" s="53" t="s">
        <v>271</v>
      </c>
      <c r="E4" s="53" t="s">
        <v>272</v>
      </c>
      <c r="F4" s="54" t="s">
        <v>271</v>
      </c>
    </row>
    <row r="5" spans="1:6" ht="27" thickBot="1" x14ac:dyDescent="0.35">
      <c r="B5" s="55"/>
      <c r="C5" s="56">
        <v>1</v>
      </c>
      <c r="D5" s="56">
        <v>2</v>
      </c>
      <c r="E5" s="57" t="s">
        <v>273</v>
      </c>
      <c r="F5" s="58">
        <v>12</v>
      </c>
    </row>
    <row r="6" spans="1:6" ht="27" x14ac:dyDescent="0.3">
      <c r="B6" s="59" t="s">
        <v>274</v>
      </c>
      <c r="C6" s="60">
        <v>0</v>
      </c>
      <c r="D6" s="60">
        <v>0</v>
      </c>
      <c r="E6" s="60"/>
      <c r="F6" s="61">
        <v>0</v>
      </c>
    </row>
    <row r="7" spans="1:6" ht="27" x14ac:dyDescent="0.3">
      <c r="B7" s="62" t="s">
        <v>275</v>
      </c>
      <c r="C7" s="63">
        <v>1000</v>
      </c>
      <c r="D7" s="63">
        <v>0</v>
      </c>
      <c r="E7" s="63"/>
      <c r="F7" s="64">
        <v>0</v>
      </c>
    </row>
    <row r="8" spans="1:6" ht="27" x14ac:dyDescent="0.3">
      <c r="B8" s="62" t="s">
        <v>276</v>
      </c>
      <c r="C8" s="63">
        <v>0</v>
      </c>
      <c r="D8" s="63">
        <v>0</v>
      </c>
      <c r="E8" s="63"/>
      <c r="F8" s="64">
        <v>0</v>
      </c>
    </row>
    <row r="9" spans="1:6" ht="28" thickBot="1" x14ac:dyDescent="0.35">
      <c r="B9" s="65" t="s">
        <v>277</v>
      </c>
      <c r="C9" s="66">
        <v>0</v>
      </c>
      <c r="D9" s="66">
        <v>0</v>
      </c>
      <c r="E9" s="66"/>
      <c r="F9" s="67">
        <v>0</v>
      </c>
    </row>
    <row r="10" spans="1:6" ht="27" x14ac:dyDescent="0.3">
      <c r="B10" s="59" t="s">
        <v>278</v>
      </c>
      <c r="C10" s="60">
        <v>29</v>
      </c>
      <c r="D10" s="60">
        <v>17</v>
      </c>
      <c r="E10" s="60"/>
      <c r="F10" s="61">
        <v>16</v>
      </c>
    </row>
    <row r="11" spans="1:6" ht="28" thickBot="1" x14ac:dyDescent="0.35">
      <c r="B11" s="65" t="s">
        <v>279</v>
      </c>
      <c r="C11" s="66">
        <v>3</v>
      </c>
      <c r="D11" s="66">
        <v>3</v>
      </c>
      <c r="E11" s="66"/>
      <c r="F11" s="67">
        <v>3</v>
      </c>
    </row>
    <row r="12" spans="1:6" ht="27" x14ac:dyDescent="0.3">
      <c r="B12" s="68" t="s">
        <v>280</v>
      </c>
      <c r="C12" s="69">
        <v>12</v>
      </c>
      <c r="D12" s="69">
        <v>61</v>
      </c>
      <c r="E12" s="69"/>
      <c r="F12" s="70">
        <v>6</v>
      </c>
    </row>
    <row r="13" spans="1:6" ht="27" x14ac:dyDescent="0.3">
      <c r="B13" s="62" t="s">
        <v>281</v>
      </c>
      <c r="C13" s="63">
        <v>59</v>
      </c>
      <c r="D13" s="63">
        <v>75</v>
      </c>
      <c r="E13" s="63"/>
      <c r="F13" s="64">
        <v>61</v>
      </c>
    </row>
    <row r="14" spans="1:6" ht="27" x14ac:dyDescent="0.3">
      <c r="B14" s="62" t="s">
        <v>282</v>
      </c>
      <c r="C14" s="63">
        <v>-68</v>
      </c>
      <c r="D14" s="63">
        <v>-68</v>
      </c>
      <c r="E14" s="63"/>
      <c r="F14" s="64">
        <v>-68</v>
      </c>
    </row>
    <row r="15" spans="1:6" ht="28" thickBot="1" x14ac:dyDescent="0.35">
      <c r="B15" s="71" t="s">
        <v>283</v>
      </c>
      <c r="C15" s="72">
        <v>-32</v>
      </c>
      <c r="D15" s="72">
        <v>-32</v>
      </c>
      <c r="E15" s="72"/>
      <c r="F15" s="73">
        <v>-32</v>
      </c>
    </row>
    <row r="16" spans="1:6" ht="28" thickBot="1" x14ac:dyDescent="0.35">
      <c r="B16" s="74" t="s">
        <v>284</v>
      </c>
      <c r="C16" s="75">
        <f>SUM(C6:C15)</f>
        <v>1003</v>
      </c>
      <c r="D16" s="75">
        <f>SUM(D6:D15)</f>
        <v>56</v>
      </c>
      <c r="E16" s="75"/>
      <c r="F16" s="76">
        <f>SUM(F6:F15)</f>
        <v>-14</v>
      </c>
    </row>
    <row r="17" spans="3:6" x14ac:dyDescent="0.3">
      <c r="C17" s="77"/>
      <c r="D17" s="77"/>
      <c r="E17" s="77"/>
      <c r="F17" s="77"/>
    </row>
    <row r="18" spans="3:6" x14ac:dyDescent="0.3">
      <c r="C18" s="77"/>
      <c r="D18" s="77"/>
      <c r="E18" s="77"/>
      <c r="F18" s="77"/>
    </row>
    <row r="19" spans="3:6" x14ac:dyDescent="0.3">
      <c r="C19" s="77"/>
      <c r="D19" s="77"/>
      <c r="E19" s="77"/>
      <c r="F19" s="77"/>
    </row>
    <row r="20" spans="3:6" x14ac:dyDescent="0.3">
      <c r="C20" s="77"/>
      <c r="D20" s="77"/>
      <c r="E20" s="77"/>
      <c r="F20" s="77"/>
    </row>
    <row r="21" spans="3:6" x14ac:dyDescent="0.3">
      <c r="C21" s="77"/>
      <c r="D21" s="77"/>
      <c r="E21" s="77"/>
      <c r="F21" s="77"/>
    </row>
    <row r="22" spans="3:6" x14ac:dyDescent="0.3">
      <c r="C22" s="77"/>
      <c r="D22" s="77"/>
      <c r="E22" s="77"/>
      <c r="F22" s="77"/>
    </row>
    <row r="23" spans="3:6" x14ac:dyDescent="0.3">
      <c r="C23" s="77"/>
      <c r="D23" s="77"/>
      <c r="E23" s="77"/>
      <c r="F23" s="77"/>
    </row>
    <row r="24" spans="3:6" x14ac:dyDescent="0.3">
      <c r="C24" s="77"/>
      <c r="D24" s="77"/>
      <c r="E24" s="77"/>
      <c r="F24" s="77"/>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89577-C6DA-0A4E-BBFE-F609AA10A4A5}">
  <sheetPr>
    <tabColor rgb="FFFF0000"/>
  </sheetPr>
  <dimension ref="A1:G53"/>
  <sheetViews>
    <sheetView showGridLines="0" zoomScaleNormal="100" workbookViewId="0"/>
  </sheetViews>
  <sheetFormatPr baseColWidth="10" defaultColWidth="7.83203125" defaultRowHeight="26" x14ac:dyDescent="0.3"/>
  <cols>
    <col min="1" max="1" width="7.83203125" style="49"/>
    <col min="2" max="2" width="73.5" style="50" bestFit="1" customWidth="1"/>
    <col min="3" max="6" width="18.6640625" style="49" customWidth="1"/>
    <col min="7" max="7" width="26.6640625" style="49" customWidth="1"/>
    <col min="8" max="16384" width="7.83203125" style="49"/>
  </cols>
  <sheetData>
    <row r="1" spans="1:7" x14ac:dyDescent="0.3">
      <c r="A1" s="49" t="s">
        <v>285</v>
      </c>
    </row>
    <row r="2" spans="1:7" x14ac:dyDescent="0.3">
      <c r="A2" s="51" t="s">
        <v>286</v>
      </c>
    </row>
    <row r="3" spans="1:7" ht="27" thickBot="1" x14ac:dyDescent="0.35"/>
    <row r="4" spans="1:7" x14ac:dyDescent="0.3">
      <c r="B4" s="52"/>
      <c r="C4" s="53" t="s">
        <v>271</v>
      </c>
      <c r="D4" s="53" t="s">
        <v>271</v>
      </c>
      <c r="E4" s="53" t="s">
        <v>272</v>
      </c>
      <c r="F4" s="54" t="s">
        <v>271</v>
      </c>
      <c r="G4" s="54" t="s">
        <v>287</v>
      </c>
    </row>
    <row r="5" spans="1:7" ht="27" thickBot="1" x14ac:dyDescent="0.35">
      <c r="B5" s="55"/>
      <c r="C5" s="56">
        <v>1</v>
      </c>
      <c r="D5" s="56">
        <v>2</v>
      </c>
      <c r="E5" s="57" t="s">
        <v>273</v>
      </c>
      <c r="F5" s="58">
        <v>12</v>
      </c>
      <c r="G5" s="58" t="s">
        <v>288</v>
      </c>
    </row>
    <row r="6" spans="1:7" ht="27" x14ac:dyDescent="0.3">
      <c r="B6" s="68" t="s">
        <v>274</v>
      </c>
      <c r="C6" s="69">
        <v>-1000</v>
      </c>
      <c r="D6" s="69">
        <v>0</v>
      </c>
      <c r="E6" s="69"/>
      <c r="F6" s="78">
        <v>0</v>
      </c>
      <c r="G6" s="79" t="b">
        <v>0</v>
      </c>
    </row>
    <row r="7" spans="1:7" ht="27" x14ac:dyDescent="0.3">
      <c r="B7" s="62" t="s">
        <v>275</v>
      </c>
      <c r="C7" s="63">
        <v>1000</v>
      </c>
      <c r="D7" s="63">
        <v>0</v>
      </c>
      <c r="E7" s="63"/>
      <c r="F7" s="80">
        <v>0</v>
      </c>
      <c r="G7" s="81" t="b">
        <v>0</v>
      </c>
    </row>
    <row r="8" spans="1:7" ht="27" x14ac:dyDescent="0.3">
      <c r="B8" s="62" t="s">
        <v>276</v>
      </c>
      <c r="C8" s="63">
        <v>0</v>
      </c>
      <c r="D8" s="63">
        <v>0</v>
      </c>
      <c r="E8" s="63"/>
      <c r="F8" s="80">
        <v>0</v>
      </c>
      <c r="G8" s="81" t="b">
        <v>0</v>
      </c>
    </row>
    <row r="9" spans="1:7" ht="28" thickBot="1" x14ac:dyDescent="0.35">
      <c r="B9" s="71" t="s">
        <v>277</v>
      </c>
      <c r="C9" s="72">
        <v>0</v>
      </c>
      <c r="D9" s="72">
        <v>-20</v>
      </c>
      <c r="E9" s="72"/>
      <c r="F9" s="82">
        <v>0</v>
      </c>
      <c r="G9" s="81" t="b">
        <v>0</v>
      </c>
    </row>
    <row r="10" spans="1:7" ht="28" thickBot="1" x14ac:dyDescent="0.35">
      <c r="B10" s="83" t="s">
        <v>289</v>
      </c>
      <c r="C10" s="84">
        <f>SUM(C6:C9)</f>
        <v>0</v>
      </c>
      <c r="D10" s="84">
        <f>SUM(D6:D9)</f>
        <v>-20</v>
      </c>
      <c r="E10" s="84"/>
      <c r="F10" s="85">
        <f>SUM(F6:F9)</f>
        <v>0</v>
      </c>
      <c r="G10" s="81"/>
    </row>
    <row r="11" spans="1:7" ht="27" x14ac:dyDescent="0.3">
      <c r="B11" s="68" t="s">
        <v>278</v>
      </c>
      <c r="C11" s="69">
        <v>29</v>
      </c>
      <c r="D11" s="69">
        <v>17</v>
      </c>
      <c r="E11" s="69"/>
      <c r="F11" s="78">
        <v>16</v>
      </c>
      <c r="G11" s="81" t="b">
        <v>0</v>
      </c>
    </row>
    <row r="12" spans="1:7" ht="27" x14ac:dyDescent="0.3">
      <c r="B12" s="62" t="s">
        <v>279</v>
      </c>
      <c r="C12" s="63">
        <v>4</v>
      </c>
      <c r="D12" s="63">
        <v>6</v>
      </c>
      <c r="E12" s="63"/>
      <c r="F12" s="80">
        <v>6</v>
      </c>
      <c r="G12" s="81" t="b">
        <v>0</v>
      </c>
    </row>
    <row r="13" spans="1:7" ht="28" thickBot="1" x14ac:dyDescent="0.35">
      <c r="B13" s="71" t="s">
        <v>290</v>
      </c>
      <c r="C13" s="72">
        <v>-31</v>
      </c>
      <c r="D13" s="72">
        <v>-31</v>
      </c>
      <c r="E13" s="72"/>
      <c r="F13" s="82">
        <v>-31</v>
      </c>
      <c r="G13" s="86" t="b">
        <v>1</v>
      </c>
    </row>
    <row r="14" spans="1:7" ht="28" thickBot="1" x14ac:dyDescent="0.35">
      <c r="B14" s="83" t="s">
        <v>291</v>
      </c>
      <c r="C14" s="84">
        <f>SUM(C11:C13)</f>
        <v>2</v>
      </c>
      <c r="D14" s="84">
        <f>SUM(D11:D13)</f>
        <v>-8</v>
      </c>
      <c r="E14" s="84"/>
      <c r="F14" s="85">
        <f>SUM(F11:F13)</f>
        <v>-9</v>
      </c>
      <c r="G14" s="81"/>
    </row>
    <row r="15" spans="1:7" ht="27" x14ac:dyDescent="0.3">
      <c r="B15" s="68" t="s">
        <v>279</v>
      </c>
      <c r="C15" s="69">
        <v>3</v>
      </c>
      <c r="D15" s="69">
        <v>3</v>
      </c>
      <c r="E15" s="69"/>
      <c r="F15" s="78">
        <v>3</v>
      </c>
      <c r="G15" s="81" t="b">
        <v>0</v>
      </c>
    </row>
    <row r="16" spans="1:7" ht="27" x14ac:dyDescent="0.3">
      <c r="B16" s="68" t="s">
        <v>292</v>
      </c>
      <c r="C16" s="69">
        <v>5</v>
      </c>
      <c r="D16" s="69">
        <v>4</v>
      </c>
      <c r="E16" s="69"/>
      <c r="F16" s="78">
        <v>5</v>
      </c>
      <c r="G16" s="86" t="b">
        <v>1</v>
      </c>
    </row>
    <row r="17" spans="2:7" ht="27" x14ac:dyDescent="0.3">
      <c r="B17" s="68" t="s">
        <v>293</v>
      </c>
      <c r="C17" s="69">
        <v>-6</v>
      </c>
      <c r="D17" s="69">
        <v>-6</v>
      </c>
      <c r="E17" s="69"/>
      <c r="F17" s="78">
        <v>-6</v>
      </c>
      <c r="G17" s="86" t="b">
        <v>1</v>
      </c>
    </row>
    <row r="18" spans="2:7" ht="28" thickBot="1" x14ac:dyDescent="0.35">
      <c r="B18" s="68" t="s">
        <v>290</v>
      </c>
      <c r="C18" s="69">
        <v>-3</v>
      </c>
      <c r="D18" s="69">
        <v>-2</v>
      </c>
      <c r="E18" s="69"/>
      <c r="F18" s="78">
        <v>-4</v>
      </c>
      <c r="G18" s="86" t="b">
        <v>1</v>
      </c>
    </row>
    <row r="19" spans="2:7" ht="28" thickBot="1" x14ac:dyDescent="0.35">
      <c r="B19" s="83" t="s">
        <v>294</v>
      </c>
      <c r="C19" s="84">
        <f>SUM(C15:C18)</f>
        <v>-1</v>
      </c>
      <c r="D19" s="84">
        <f>SUM(D15:D18)</f>
        <v>-1</v>
      </c>
      <c r="E19" s="84"/>
      <c r="F19" s="85">
        <f>SUM(F15:F18)</f>
        <v>-2</v>
      </c>
      <c r="G19" s="81"/>
    </row>
    <row r="20" spans="2:7" ht="27" x14ac:dyDescent="0.3">
      <c r="B20" s="62" t="s">
        <v>280</v>
      </c>
      <c r="C20" s="63">
        <v>12</v>
      </c>
      <c r="D20" s="63">
        <v>61</v>
      </c>
      <c r="E20" s="63"/>
      <c r="F20" s="80">
        <v>6</v>
      </c>
      <c r="G20" s="81" t="b">
        <v>0</v>
      </c>
    </row>
    <row r="21" spans="2:7" ht="27" x14ac:dyDescent="0.3">
      <c r="B21" s="62" t="s">
        <v>295</v>
      </c>
      <c r="C21" s="63">
        <v>4</v>
      </c>
      <c r="D21" s="63">
        <v>4</v>
      </c>
      <c r="E21" s="63"/>
      <c r="F21" s="80">
        <v>4</v>
      </c>
      <c r="G21" s="86" t="b">
        <v>1</v>
      </c>
    </row>
    <row r="22" spans="2:7" ht="28" thickBot="1" x14ac:dyDescent="0.35">
      <c r="B22" s="62" t="s">
        <v>290</v>
      </c>
      <c r="C22" s="63">
        <v>-4</v>
      </c>
      <c r="D22" s="63">
        <v>-7</v>
      </c>
      <c r="E22" s="63"/>
      <c r="F22" s="80">
        <v>-5</v>
      </c>
      <c r="G22" s="86" t="b">
        <v>1</v>
      </c>
    </row>
    <row r="23" spans="2:7" ht="28" thickBot="1" x14ac:dyDescent="0.35">
      <c r="B23" s="83" t="s">
        <v>296</v>
      </c>
      <c r="C23" s="84">
        <f>SUM(C20:C22)</f>
        <v>12</v>
      </c>
      <c r="D23" s="84">
        <f>SUM(D20:D22)</f>
        <v>58</v>
      </c>
      <c r="E23" s="84"/>
      <c r="F23" s="85">
        <f>SUM(F20:F22)</f>
        <v>5</v>
      </c>
      <c r="G23" s="81"/>
    </row>
    <row r="24" spans="2:7" ht="27" x14ac:dyDescent="0.3">
      <c r="B24" s="87" t="s">
        <v>297</v>
      </c>
      <c r="C24" s="63"/>
      <c r="D24" s="63"/>
      <c r="E24" s="63"/>
      <c r="F24" s="80"/>
      <c r="G24" s="81"/>
    </row>
    <row r="25" spans="2:7" ht="27" x14ac:dyDescent="0.3">
      <c r="B25" s="62" t="s">
        <v>281</v>
      </c>
      <c r="C25" s="63">
        <v>59</v>
      </c>
      <c r="D25" s="63">
        <v>75</v>
      </c>
      <c r="E25" s="63"/>
      <c r="F25" s="80">
        <v>61</v>
      </c>
      <c r="G25" s="81" t="b">
        <v>0</v>
      </c>
    </row>
    <row r="26" spans="2:7" ht="27" x14ac:dyDescent="0.3">
      <c r="B26" s="62" t="s">
        <v>298</v>
      </c>
      <c r="C26" s="63">
        <v>93</v>
      </c>
      <c r="D26" s="63">
        <v>93</v>
      </c>
      <c r="E26" s="63"/>
      <c r="F26" s="80">
        <v>93</v>
      </c>
      <c r="G26" s="86" t="b">
        <v>1</v>
      </c>
    </row>
    <row r="27" spans="2:7" ht="28" thickBot="1" x14ac:dyDescent="0.35">
      <c r="B27" s="62" t="s">
        <v>299</v>
      </c>
      <c r="C27" s="63">
        <v>-68</v>
      </c>
      <c r="D27" s="63">
        <v>-21</v>
      </c>
      <c r="E27" s="63"/>
      <c r="F27" s="80">
        <v>-72</v>
      </c>
      <c r="G27" s="86" t="b">
        <v>1</v>
      </c>
    </row>
    <row r="28" spans="2:7" ht="28" thickBot="1" x14ac:dyDescent="0.35">
      <c r="B28" s="83" t="s">
        <v>300</v>
      </c>
      <c r="C28" s="84">
        <f>SUM(C25:C27)</f>
        <v>84</v>
      </c>
      <c r="D28" s="84">
        <f>SUM(D25:D27)</f>
        <v>147</v>
      </c>
      <c r="E28" s="84"/>
      <c r="F28" s="85">
        <f>SUM(F25:F27)</f>
        <v>82</v>
      </c>
      <c r="G28" s="81"/>
    </row>
    <row r="29" spans="2:7" ht="27" x14ac:dyDescent="0.3">
      <c r="B29" s="87" t="s">
        <v>301</v>
      </c>
      <c r="C29" s="63"/>
      <c r="D29" s="63"/>
      <c r="E29" s="63"/>
      <c r="F29" s="80"/>
      <c r="G29" s="81"/>
    </row>
    <row r="30" spans="2:7" ht="27" x14ac:dyDescent="0.3">
      <c r="B30" s="62" t="s">
        <v>302</v>
      </c>
      <c r="C30" s="63">
        <v>106</v>
      </c>
      <c r="D30" s="63">
        <v>106</v>
      </c>
      <c r="E30" s="63"/>
      <c r="F30" s="80">
        <v>106</v>
      </c>
      <c r="G30" s="86" t="b">
        <v>1</v>
      </c>
    </row>
    <row r="31" spans="2:7" ht="27" x14ac:dyDescent="0.3">
      <c r="B31" s="62" t="s">
        <v>303</v>
      </c>
      <c r="C31" s="63">
        <v>-126</v>
      </c>
      <c r="D31" s="63">
        <v>-126</v>
      </c>
      <c r="E31" s="63"/>
      <c r="F31" s="80">
        <v>-126</v>
      </c>
      <c r="G31" s="86" t="b">
        <v>1</v>
      </c>
    </row>
    <row r="32" spans="2:7" ht="28" thickBot="1" x14ac:dyDescent="0.35">
      <c r="B32" s="62" t="s">
        <v>290</v>
      </c>
      <c r="C32" s="63">
        <v>-10</v>
      </c>
      <c r="D32" s="63">
        <v>-10</v>
      </c>
      <c r="E32" s="63"/>
      <c r="F32" s="80">
        <v>-12</v>
      </c>
      <c r="G32" s="86" t="b">
        <v>1</v>
      </c>
    </row>
    <row r="33" spans="2:7" ht="28" thickBot="1" x14ac:dyDescent="0.35">
      <c r="B33" s="83" t="s">
        <v>304</v>
      </c>
      <c r="C33" s="84">
        <f>SUM(C30:C32)</f>
        <v>-30</v>
      </c>
      <c r="D33" s="84">
        <f>SUM(D30:D32)</f>
        <v>-30</v>
      </c>
      <c r="E33" s="84"/>
      <c r="F33" s="85">
        <f>SUM(F30:F32)</f>
        <v>-32</v>
      </c>
      <c r="G33" s="81"/>
    </row>
    <row r="34" spans="2:7" ht="27" x14ac:dyDescent="0.3">
      <c r="B34" s="87" t="s">
        <v>305</v>
      </c>
      <c r="C34" s="63"/>
      <c r="D34" s="63"/>
      <c r="E34" s="63"/>
      <c r="F34" s="80"/>
      <c r="G34" s="81"/>
    </row>
    <row r="35" spans="2:7" ht="27" x14ac:dyDescent="0.3">
      <c r="B35" s="62" t="s">
        <v>306</v>
      </c>
      <c r="C35" s="63">
        <v>3</v>
      </c>
      <c r="D35" s="63">
        <v>3</v>
      </c>
      <c r="E35" s="63"/>
      <c r="F35" s="80">
        <v>3</v>
      </c>
      <c r="G35" s="86" t="b">
        <v>1</v>
      </c>
    </row>
    <row r="36" spans="2:7" ht="27" x14ac:dyDescent="0.3">
      <c r="B36" s="62" t="s">
        <v>307</v>
      </c>
      <c r="C36" s="63">
        <v>5</v>
      </c>
      <c r="D36" s="63">
        <v>5</v>
      </c>
      <c r="E36" s="63"/>
      <c r="F36" s="80">
        <v>5</v>
      </c>
      <c r="G36" s="86" t="b">
        <v>1</v>
      </c>
    </row>
    <row r="37" spans="2:7" ht="28" thickBot="1" x14ac:dyDescent="0.35">
      <c r="B37" s="62" t="s">
        <v>308</v>
      </c>
      <c r="C37" s="63">
        <v>7</v>
      </c>
      <c r="D37" s="63">
        <v>4</v>
      </c>
      <c r="E37" s="63"/>
      <c r="F37" s="80">
        <v>8</v>
      </c>
      <c r="G37" s="86" t="b">
        <v>1</v>
      </c>
    </row>
    <row r="38" spans="2:7" ht="28" thickBot="1" x14ac:dyDescent="0.35">
      <c r="B38" s="83" t="s">
        <v>309</v>
      </c>
      <c r="C38" s="84">
        <f>SUM(C36:C37)</f>
        <v>12</v>
      </c>
      <c r="D38" s="84">
        <f>SUM(D36:D37)</f>
        <v>9</v>
      </c>
      <c r="E38" s="84"/>
      <c r="F38" s="85">
        <f>SUM(F35:F37)</f>
        <v>16</v>
      </c>
      <c r="G38" s="81"/>
    </row>
    <row r="39" spans="2:7" ht="27" x14ac:dyDescent="0.3">
      <c r="B39" s="87" t="s">
        <v>310</v>
      </c>
      <c r="C39" s="63"/>
      <c r="D39" s="63"/>
      <c r="E39" s="63"/>
      <c r="F39" s="80"/>
      <c r="G39" s="81"/>
    </row>
    <row r="40" spans="2:7" ht="27" x14ac:dyDescent="0.3">
      <c r="B40" s="62" t="s">
        <v>282</v>
      </c>
      <c r="C40" s="63">
        <v>-68</v>
      </c>
      <c r="D40" s="63">
        <v>-68</v>
      </c>
      <c r="E40" s="63"/>
      <c r="F40" s="80">
        <v>-68</v>
      </c>
      <c r="G40" s="81" t="b">
        <v>0</v>
      </c>
    </row>
    <row r="41" spans="2:7" ht="27" x14ac:dyDescent="0.3">
      <c r="B41" s="62" t="s">
        <v>311</v>
      </c>
      <c r="C41" s="63">
        <v>8</v>
      </c>
      <c r="D41" s="63">
        <v>8</v>
      </c>
      <c r="E41" s="63"/>
      <c r="F41" s="80">
        <v>8</v>
      </c>
      <c r="G41" s="86" t="b">
        <v>1</v>
      </c>
    </row>
    <row r="42" spans="2:7" ht="27" x14ac:dyDescent="0.3">
      <c r="B42" s="71" t="s">
        <v>283</v>
      </c>
      <c r="C42" s="72">
        <v>-32</v>
      </c>
      <c r="D42" s="72">
        <v>-32</v>
      </c>
      <c r="E42" s="72"/>
      <c r="F42" s="82">
        <v>-32</v>
      </c>
      <c r="G42" s="81" t="b">
        <v>0</v>
      </c>
    </row>
    <row r="43" spans="2:7" ht="28" thickBot="1" x14ac:dyDescent="0.35">
      <c r="B43" s="71" t="s">
        <v>312</v>
      </c>
      <c r="C43" s="72">
        <v>4</v>
      </c>
      <c r="D43" s="72">
        <v>4</v>
      </c>
      <c r="E43" s="72"/>
      <c r="F43" s="82">
        <v>4</v>
      </c>
      <c r="G43" s="86" t="b">
        <v>1</v>
      </c>
    </row>
    <row r="44" spans="2:7" ht="28" thickBot="1" x14ac:dyDescent="0.35">
      <c r="B44" s="83" t="s">
        <v>309</v>
      </c>
      <c r="C44" s="84">
        <f>SUM(C40:C43)</f>
        <v>-88</v>
      </c>
      <c r="D44" s="84">
        <f>SUM(D40:D43)</f>
        <v>-88</v>
      </c>
      <c r="E44" s="84"/>
      <c r="F44" s="85">
        <f>SUM(F40:F43)</f>
        <v>-88</v>
      </c>
      <c r="G44" s="81"/>
    </row>
    <row r="45" spans="2:7" ht="28" thickBot="1" x14ac:dyDescent="0.35">
      <c r="B45" s="136" t="s">
        <v>284</v>
      </c>
      <c r="C45" s="137">
        <f>C10+C14+C19+C23+C28+C33+C38+C44</f>
        <v>-9</v>
      </c>
      <c r="D45" s="137">
        <f>D10+D14+D19+D23+D28+D33+D38+D44</f>
        <v>67</v>
      </c>
      <c r="E45" s="137"/>
      <c r="F45" s="138">
        <f>F10+F14+F19+F23+F28+F33+F38+F44</f>
        <v>-28</v>
      </c>
      <c r="G45" s="88"/>
    </row>
    <row r="46" spans="2:7" x14ac:dyDescent="0.3">
      <c r="C46" s="77"/>
      <c r="D46" s="77"/>
      <c r="E46" s="77"/>
      <c r="F46" s="77"/>
    </row>
    <row r="47" spans="2:7" x14ac:dyDescent="0.3">
      <c r="C47" s="77"/>
      <c r="D47" s="77"/>
      <c r="E47" s="77"/>
      <c r="F47" s="77"/>
    </row>
    <row r="48" spans="2:7" x14ac:dyDescent="0.3">
      <c r="C48" s="77"/>
      <c r="D48" s="77"/>
      <c r="E48" s="77"/>
      <c r="F48" s="77"/>
    </row>
    <row r="49" spans="3:6" x14ac:dyDescent="0.3">
      <c r="C49" s="77"/>
      <c r="D49" s="77"/>
      <c r="E49" s="77"/>
      <c r="F49" s="77"/>
    </row>
    <row r="50" spans="3:6" x14ac:dyDescent="0.3">
      <c r="C50" s="77"/>
      <c r="D50" s="77"/>
      <c r="E50" s="77"/>
      <c r="F50" s="77"/>
    </row>
    <row r="51" spans="3:6" x14ac:dyDescent="0.3">
      <c r="C51" s="77"/>
      <c r="D51" s="77"/>
      <c r="E51" s="77"/>
      <c r="F51" s="77"/>
    </row>
    <row r="52" spans="3:6" x14ac:dyDescent="0.3">
      <c r="C52" s="77"/>
      <c r="D52" s="77"/>
      <c r="E52" s="77"/>
      <c r="F52" s="77"/>
    </row>
    <row r="53" spans="3:6" x14ac:dyDescent="0.3">
      <c r="C53" s="77"/>
      <c r="D53" s="77"/>
      <c r="E53" s="77"/>
      <c r="F53" s="7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8124-D6B0-6A42-8E4B-E5CE50063770}">
  <sheetPr>
    <tabColor rgb="FFFF0000"/>
  </sheetPr>
  <dimension ref="A1:G58"/>
  <sheetViews>
    <sheetView showGridLines="0" zoomScaleNormal="100" workbookViewId="0"/>
  </sheetViews>
  <sheetFormatPr baseColWidth="10" defaultColWidth="8.83203125" defaultRowHeight="26" x14ac:dyDescent="0.3"/>
  <cols>
    <col min="1" max="1" width="3.83203125" style="49" customWidth="1"/>
    <col min="2" max="2" width="73.5" style="50" bestFit="1" customWidth="1"/>
    <col min="3" max="3" width="20" style="49" customWidth="1"/>
    <col min="4" max="5" width="20.5" style="49" customWidth="1"/>
    <col min="6" max="6" width="19.33203125" style="49" customWidth="1"/>
    <col min="7" max="7" width="28.1640625" style="49" bestFit="1" customWidth="1"/>
    <col min="8" max="16384" width="8.83203125" style="49"/>
  </cols>
  <sheetData>
    <row r="1" spans="1:7" x14ac:dyDescent="0.3">
      <c r="A1" s="49" t="s">
        <v>313</v>
      </c>
    </row>
    <row r="2" spans="1:7" x14ac:dyDescent="0.3">
      <c r="A2" s="51" t="s">
        <v>314</v>
      </c>
    </row>
    <row r="3" spans="1:7" ht="27" thickBot="1" x14ac:dyDescent="0.35"/>
    <row r="4" spans="1:7" x14ac:dyDescent="0.3">
      <c r="B4" s="52"/>
      <c r="C4" s="53" t="s">
        <v>271</v>
      </c>
      <c r="D4" s="53" t="s">
        <v>271</v>
      </c>
      <c r="E4" s="53" t="s">
        <v>272</v>
      </c>
      <c r="F4" s="54" t="s">
        <v>271</v>
      </c>
      <c r="G4" s="89" t="s">
        <v>315</v>
      </c>
    </row>
    <row r="5" spans="1:7" ht="27" thickBot="1" x14ac:dyDescent="0.35">
      <c r="B5" s="55"/>
      <c r="C5" s="56">
        <v>1</v>
      </c>
      <c r="D5" s="56">
        <v>2</v>
      </c>
      <c r="E5" s="57" t="s">
        <v>273</v>
      </c>
      <c r="F5" s="58">
        <v>12</v>
      </c>
      <c r="G5" s="90" t="s">
        <v>316</v>
      </c>
    </row>
    <row r="6" spans="1:7" ht="27" x14ac:dyDescent="0.3">
      <c r="B6" s="68" t="s">
        <v>278</v>
      </c>
      <c r="C6" s="69">
        <v>29</v>
      </c>
      <c r="D6" s="69">
        <v>17</v>
      </c>
      <c r="E6" s="69"/>
      <c r="F6" s="78">
        <v>16</v>
      </c>
      <c r="G6" s="79" t="b">
        <v>0</v>
      </c>
    </row>
    <row r="7" spans="1:7" ht="27" x14ac:dyDescent="0.3">
      <c r="B7" s="62" t="s">
        <v>317</v>
      </c>
      <c r="C7" s="63">
        <v>4</v>
      </c>
      <c r="D7" s="63">
        <v>6</v>
      </c>
      <c r="E7" s="63"/>
      <c r="F7" s="80">
        <v>6</v>
      </c>
      <c r="G7" s="86" t="b">
        <v>1</v>
      </c>
    </row>
    <row r="8" spans="1:7" ht="28" thickBot="1" x14ac:dyDescent="0.35">
      <c r="B8" s="71" t="s">
        <v>290</v>
      </c>
      <c r="C8" s="72">
        <v>-31</v>
      </c>
      <c r="D8" s="72">
        <v>-31</v>
      </c>
      <c r="E8" s="72"/>
      <c r="F8" s="82">
        <v>-31</v>
      </c>
      <c r="G8" s="81" t="b">
        <v>0</v>
      </c>
    </row>
    <row r="9" spans="1:7" ht="28" thickBot="1" x14ac:dyDescent="0.35">
      <c r="B9" s="83" t="s">
        <v>291</v>
      </c>
      <c r="C9" s="84">
        <f>SUM(C6:C8)</f>
        <v>2</v>
      </c>
      <c r="D9" s="84">
        <f>SUM(D6:D8)</f>
        <v>-8</v>
      </c>
      <c r="E9" s="84"/>
      <c r="F9" s="85">
        <f>SUM(F6:F8)</f>
        <v>-9</v>
      </c>
      <c r="G9" s="81" t="b">
        <v>0</v>
      </c>
    </row>
    <row r="10" spans="1:7" ht="27" x14ac:dyDescent="0.3">
      <c r="B10" s="68" t="s">
        <v>279</v>
      </c>
      <c r="C10" s="69">
        <v>3</v>
      </c>
      <c r="D10" s="69">
        <v>3</v>
      </c>
      <c r="E10" s="69"/>
      <c r="F10" s="78">
        <v>3</v>
      </c>
      <c r="G10" s="81" t="b">
        <v>0</v>
      </c>
    </row>
    <row r="11" spans="1:7" ht="27" x14ac:dyDescent="0.3">
      <c r="B11" s="68" t="s">
        <v>292</v>
      </c>
      <c r="C11" s="69">
        <v>5</v>
      </c>
      <c r="D11" s="69">
        <v>4</v>
      </c>
      <c r="E11" s="69"/>
      <c r="F11" s="78">
        <v>5</v>
      </c>
      <c r="G11" s="81" t="b">
        <v>0</v>
      </c>
    </row>
    <row r="12" spans="1:7" ht="27" x14ac:dyDescent="0.3">
      <c r="B12" s="68" t="s">
        <v>293</v>
      </c>
      <c r="C12" s="69">
        <v>-6</v>
      </c>
      <c r="D12" s="69">
        <v>-6</v>
      </c>
      <c r="E12" s="69"/>
      <c r="F12" s="78">
        <v>-6</v>
      </c>
      <c r="G12" s="81" t="b">
        <v>0</v>
      </c>
    </row>
    <row r="13" spans="1:7" ht="28" thickBot="1" x14ac:dyDescent="0.35">
      <c r="B13" s="68" t="s">
        <v>290</v>
      </c>
      <c r="C13" s="69">
        <v>-3</v>
      </c>
      <c r="D13" s="69">
        <v>-2</v>
      </c>
      <c r="E13" s="69"/>
      <c r="F13" s="78">
        <v>-4</v>
      </c>
      <c r="G13" s="81" t="b">
        <v>0</v>
      </c>
    </row>
    <row r="14" spans="1:7" ht="28" thickBot="1" x14ac:dyDescent="0.35">
      <c r="B14" s="83" t="s">
        <v>392</v>
      </c>
      <c r="C14" s="84">
        <f>SUM(C10:C13)</f>
        <v>-1</v>
      </c>
      <c r="D14" s="84">
        <f>SUM(D10:D13)</f>
        <v>-1</v>
      </c>
      <c r="E14" s="84"/>
      <c r="F14" s="85">
        <f>SUM(F10:F13)</f>
        <v>-2</v>
      </c>
      <c r="G14" s="81" t="b">
        <v>0</v>
      </c>
    </row>
    <row r="15" spans="1:7" ht="27" x14ac:dyDescent="0.3">
      <c r="B15" s="68" t="s">
        <v>280</v>
      </c>
      <c r="C15" s="69">
        <v>12</v>
      </c>
      <c r="D15" s="69">
        <v>61</v>
      </c>
      <c r="E15" s="69"/>
      <c r="F15" s="78">
        <v>6</v>
      </c>
      <c r="G15" s="81" t="b">
        <v>0</v>
      </c>
    </row>
    <row r="16" spans="1:7" ht="27" x14ac:dyDescent="0.3">
      <c r="B16" s="68" t="s">
        <v>295</v>
      </c>
      <c r="C16" s="69">
        <v>4</v>
      </c>
      <c r="D16" s="69">
        <v>4</v>
      </c>
      <c r="E16" s="69"/>
      <c r="F16" s="78">
        <v>4</v>
      </c>
      <c r="G16" s="81" t="b">
        <v>0</v>
      </c>
    </row>
    <row r="17" spans="2:7" ht="28" thickBot="1" x14ac:dyDescent="0.35">
      <c r="B17" s="68" t="s">
        <v>290</v>
      </c>
      <c r="C17" s="69">
        <v>-4</v>
      </c>
      <c r="D17" s="69">
        <v>-7</v>
      </c>
      <c r="E17" s="69"/>
      <c r="F17" s="78">
        <v>-5</v>
      </c>
      <c r="G17" s="81" t="b">
        <v>0</v>
      </c>
    </row>
    <row r="18" spans="2:7" ht="28" thickBot="1" x14ac:dyDescent="0.35">
      <c r="B18" s="83" t="s">
        <v>296</v>
      </c>
      <c r="C18" s="84">
        <f>SUM(C15:C17)</f>
        <v>12</v>
      </c>
      <c r="D18" s="84">
        <v>58</v>
      </c>
      <c r="E18" s="84"/>
      <c r="F18" s="85">
        <f>SUM(F15:F17)</f>
        <v>5</v>
      </c>
      <c r="G18" s="81" t="b">
        <v>0</v>
      </c>
    </row>
    <row r="19" spans="2:7" ht="27" x14ac:dyDescent="0.3">
      <c r="B19" s="87" t="s">
        <v>297</v>
      </c>
      <c r="C19" s="63"/>
      <c r="D19" s="63"/>
      <c r="E19" s="63"/>
      <c r="F19" s="80"/>
      <c r="G19" s="81" t="b">
        <v>0</v>
      </c>
    </row>
    <row r="20" spans="2:7" ht="27" x14ac:dyDescent="0.3">
      <c r="B20" s="62" t="s">
        <v>281</v>
      </c>
      <c r="C20" s="63">
        <v>59</v>
      </c>
      <c r="D20" s="63">
        <v>75</v>
      </c>
      <c r="E20" s="63"/>
      <c r="F20" s="80">
        <v>61</v>
      </c>
      <c r="G20" s="81" t="b">
        <v>0</v>
      </c>
    </row>
    <row r="21" spans="2:7" ht="27" x14ac:dyDescent="0.3">
      <c r="B21" s="62" t="s">
        <v>298</v>
      </c>
      <c r="C21" s="63">
        <v>93</v>
      </c>
      <c r="D21" s="63">
        <v>93</v>
      </c>
      <c r="E21" s="63"/>
      <c r="F21" s="80">
        <v>93</v>
      </c>
      <c r="G21" s="81" t="b">
        <v>0</v>
      </c>
    </row>
    <row r="22" spans="2:7" ht="28" thickBot="1" x14ac:dyDescent="0.35">
      <c r="B22" s="62" t="s">
        <v>299</v>
      </c>
      <c r="C22" s="63">
        <v>-68</v>
      </c>
      <c r="D22" s="63">
        <v>-21</v>
      </c>
      <c r="E22" s="63" t="s">
        <v>318</v>
      </c>
      <c r="F22" s="80">
        <v>-72</v>
      </c>
      <c r="G22" s="81" t="b">
        <v>0</v>
      </c>
    </row>
    <row r="23" spans="2:7" ht="28" thickBot="1" x14ac:dyDescent="0.35">
      <c r="B23" s="83" t="s">
        <v>300</v>
      </c>
      <c r="C23" s="84">
        <f>SUM(C20:C22)</f>
        <v>84</v>
      </c>
      <c r="D23" s="84">
        <f>SUM(D20:D22)</f>
        <v>147</v>
      </c>
      <c r="E23" s="84"/>
      <c r="F23" s="85">
        <f>SUM(F20:F22)</f>
        <v>82</v>
      </c>
      <c r="G23" s="81" t="b">
        <v>0</v>
      </c>
    </row>
    <row r="24" spans="2:7" ht="27" x14ac:dyDescent="0.3">
      <c r="B24" s="87" t="s">
        <v>301</v>
      </c>
      <c r="C24" s="63"/>
      <c r="D24" s="63"/>
      <c r="E24" s="63"/>
      <c r="F24" s="80"/>
      <c r="G24" s="81" t="b">
        <v>0</v>
      </c>
    </row>
    <row r="25" spans="2:7" ht="27" x14ac:dyDescent="0.3">
      <c r="B25" s="62" t="s">
        <v>302</v>
      </c>
      <c r="C25" s="63">
        <v>106</v>
      </c>
      <c r="D25" s="63">
        <v>106</v>
      </c>
      <c r="E25" s="63"/>
      <c r="F25" s="80">
        <v>106</v>
      </c>
      <c r="G25" s="81" t="b">
        <v>0</v>
      </c>
    </row>
    <row r="26" spans="2:7" ht="27" x14ac:dyDescent="0.3">
      <c r="B26" s="62" t="s">
        <v>303</v>
      </c>
      <c r="C26" s="63">
        <v>-126</v>
      </c>
      <c r="D26" s="63">
        <v>-126</v>
      </c>
      <c r="E26" s="63"/>
      <c r="F26" s="80">
        <v>-126</v>
      </c>
      <c r="G26" s="81" t="b">
        <v>0</v>
      </c>
    </row>
    <row r="27" spans="2:7" ht="28" thickBot="1" x14ac:dyDescent="0.35">
      <c r="B27" s="62" t="s">
        <v>290</v>
      </c>
      <c r="C27" s="63">
        <v>-10</v>
      </c>
      <c r="D27" s="63">
        <v>-10</v>
      </c>
      <c r="E27" s="63"/>
      <c r="F27" s="80">
        <v>-12</v>
      </c>
      <c r="G27" s="81" t="b">
        <v>0</v>
      </c>
    </row>
    <row r="28" spans="2:7" ht="28" thickBot="1" x14ac:dyDescent="0.35">
      <c r="B28" s="83" t="s">
        <v>304</v>
      </c>
      <c r="C28" s="84">
        <f>SUM(C25:C27)</f>
        <v>-30</v>
      </c>
      <c r="D28" s="84">
        <f>SUM(D25:D27)</f>
        <v>-30</v>
      </c>
      <c r="E28" s="84"/>
      <c r="F28" s="85">
        <f>SUM(F25:F27)</f>
        <v>-32</v>
      </c>
      <c r="G28" s="81" t="b">
        <v>0</v>
      </c>
    </row>
    <row r="29" spans="2:7" ht="27" x14ac:dyDescent="0.3">
      <c r="B29" s="87" t="s">
        <v>305</v>
      </c>
      <c r="C29" s="63"/>
      <c r="D29" s="63"/>
      <c r="E29" s="63"/>
      <c r="F29" s="80"/>
      <c r="G29" s="81" t="b">
        <v>0</v>
      </c>
    </row>
    <row r="30" spans="2:7" ht="27" x14ac:dyDescent="0.3">
      <c r="B30" s="62" t="s">
        <v>306</v>
      </c>
      <c r="C30" s="63">
        <v>3</v>
      </c>
      <c r="D30" s="63">
        <v>3</v>
      </c>
      <c r="E30" s="63"/>
      <c r="F30" s="80">
        <v>3</v>
      </c>
      <c r="G30" s="81" t="b">
        <v>0</v>
      </c>
    </row>
    <row r="31" spans="2:7" ht="27" x14ac:dyDescent="0.3">
      <c r="B31" s="62" t="s">
        <v>307</v>
      </c>
      <c r="C31" s="63">
        <v>5</v>
      </c>
      <c r="D31" s="63">
        <v>5</v>
      </c>
      <c r="E31" s="63"/>
      <c r="F31" s="80">
        <v>5</v>
      </c>
      <c r="G31" s="81" t="b">
        <v>0</v>
      </c>
    </row>
    <row r="32" spans="2:7" ht="28" thickBot="1" x14ac:dyDescent="0.35">
      <c r="B32" s="62" t="s">
        <v>308</v>
      </c>
      <c r="C32" s="63">
        <v>7</v>
      </c>
      <c r="D32" s="63">
        <v>4</v>
      </c>
      <c r="E32" s="63"/>
      <c r="F32" s="80">
        <v>8</v>
      </c>
      <c r="G32" s="81" t="b">
        <v>0</v>
      </c>
    </row>
    <row r="33" spans="2:7" ht="28" thickBot="1" x14ac:dyDescent="0.35">
      <c r="B33" s="83" t="s">
        <v>309</v>
      </c>
      <c r="C33" s="84">
        <f>SUM(C31:C32)</f>
        <v>12</v>
      </c>
      <c r="D33" s="84">
        <f>SUM(D31:D32)</f>
        <v>9</v>
      </c>
      <c r="E33" s="84"/>
      <c r="F33" s="85">
        <f>SUM(F30:F32)</f>
        <v>16</v>
      </c>
      <c r="G33" s="81" t="b">
        <v>0</v>
      </c>
    </row>
    <row r="34" spans="2:7" ht="27" x14ac:dyDescent="0.3">
      <c r="B34" s="87" t="s">
        <v>310</v>
      </c>
      <c r="C34" s="63"/>
      <c r="D34" s="63"/>
      <c r="E34" s="63"/>
      <c r="F34" s="80"/>
      <c r="G34" s="81" t="b">
        <v>0</v>
      </c>
    </row>
    <row r="35" spans="2:7" ht="27" x14ac:dyDescent="0.3">
      <c r="B35" s="62" t="s">
        <v>282</v>
      </c>
      <c r="C35" s="63">
        <v>-68</v>
      </c>
      <c r="D35" s="63">
        <v>-68</v>
      </c>
      <c r="E35" s="63"/>
      <c r="F35" s="80">
        <v>-68</v>
      </c>
      <c r="G35" s="81" t="b">
        <v>0</v>
      </c>
    </row>
    <row r="36" spans="2:7" ht="27" x14ac:dyDescent="0.3">
      <c r="B36" s="62" t="s">
        <v>311</v>
      </c>
      <c r="C36" s="63">
        <v>8</v>
      </c>
      <c r="D36" s="63">
        <v>8</v>
      </c>
      <c r="E36" s="63"/>
      <c r="F36" s="80">
        <v>8</v>
      </c>
      <c r="G36" s="81" t="b">
        <v>0</v>
      </c>
    </row>
    <row r="37" spans="2:7" ht="27" x14ac:dyDescent="0.3">
      <c r="B37" s="71" t="s">
        <v>283</v>
      </c>
      <c r="C37" s="72">
        <v>-32</v>
      </c>
      <c r="D37" s="72">
        <v>-32</v>
      </c>
      <c r="E37" s="72"/>
      <c r="F37" s="82">
        <v>-32</v>
      </c>
      <c r="G37" s="81" t="b">
        <v>0</v>
      </c>
    </row>
    <row r="38" spans="2:7" ht="28" thickBot="1" x14ac:dyDescent="0.35">
      <c r="B38" s="71" t="s">
        <v>312</v>
      </c>
      <c r="C38" s="72">
        <v>4</v>
      </c>
      <c r="D38" s="72">
        <v>4</v>
      </c>
      <c r="E38" s="72"/>
      <c r="F38" s="82">
        <v>4</v>
      </c>
      <c r="G38" s="81" t="b">
        <v>0</v>
      </c>
    </row>
    <row r="39" spans="2:7" ht="28" thickBot="1" x14ac:dyDescent="0.35">
      <c r="B39" s="83" t="s">
        <v>309</v>
      </c>
      <c r="C39" s="84">
        <f>SUM(C35:C38)</f>
        <v>-88</v>
      </c>
      <c r="D39" s="84">
        <f>SUM(D35:D38)</f>
        <v>-88</v>
      </c>
      <c r="E39" s="84"/>
      <c r="F39" s="85">
        <f>SUM(F35:F38)</f>
        <v>-88</v>
      </c>
      <c r="G39" s="81" t="b">
        <v>0</v>
      </c>
    </row>
    <row r="40" spans="2:7" x14ac:dyDescent="0.3">
      <c r="B40" s="162" t="s">
        <v>319</v>
      </c>
      <c r="C40" s="164">
        <f>C9+C14+C18+C23+C28+C33+C39</f>
        <v>-9</v>
      </c>
      <c r="D40" s="164">
        <f>D9+D14+D18+D23+D28+D33+D39</f>
        <v>87</v>
      </c>
      <c r="E40" s="164"/>
      <c r="F40" s="166">
        <f>F9+F14+F18+F23+F28+F33+F39</f>
        <v>-28</v>
      </c>
      <c r="G40" s="86" t="b">
        <v>1</v>
      </c>
    </row>
    <row r="41" spans="2:7" ht="27" thickBot="1" x14ac:dyDescent="0.35">
      <c r="B41" s="163"/>
      <c r="C41" s="165"/>
      <c r="D41" s="165"/>
      <c r="E41" s="165"/>
      <c r="F41" s="167"/>
      <c r="G41" s="81"/>
    </row>
    <row r="42" spans="2:7" ht="27" x14ac:dyDescent="0.3">
      <c r="B42" s="87" t="s">
        <v>320</v>
      </c>
      <c r="C42" s="63"/>
      <c r="D42" s="63"/>
      <c r="E42" s="63"/>
      <c r="F42" s="80"/>
      <c r="G42" s="81"/>
    </row>
    <row r="43" spans="2:7" ht="27" x14ac:dyDescent="0.3">
      <c r="B43" s="68" t="s">
        <v>274</v>
      </c>
      <c r="C43" s="69">
        <v>-1000</v>
      </c>
      <c r="D43" s="69">
        <v>0</v>
      </c>
      <c r="E43" s="69"/>
      <c r="F43" s="78">
        <v>0</v>
      </c>
      <c r="G43" s="81" t="b">
        <v>0</v>
      </c>
    </row>
    <row r="44" spans="2:7" ht="27" x14ac:dyDescent="0.3">
      <c r="B44" s="62" t="s">
        <v>275</v>
      </c>
      <c r="C44" s="63">
        <v>1000</v>
      </c>
      <c r="D44" s="63">
        <v>0</v>
      </c>
      <c r="E44" s="63"/>
      <c r="F44" s="80">
        <v>0</v>
      </c>
      <c r="G44" s="81" t="b">
        <v>0</v>
      </c>
    </row>
    <row r="45" spans="2:7" ht="27" x14ac:dyDescent="0.3">
      <c r="B45" s="62" t="s">
        <v>276</v>
      </c>
      <c r="C45" s="63">
        <v>0</v>
      </c>
      <c r="D45" s="63">
        <v>0</v>
      </c>
      <c r="E45" s="63"/>
      <c r="F45" s="80">
        <v>0</v>
      </c>
      <c r="G45" s="81" t="b">
        <v>0</v>
      </c>
    </row>
    <row r="46" spans="2:7" ht="28" thickBot="1" x14ac:dyDescent="0.35">
      <c r="B46" s="71" t="s">
        <v>277</v>
      </c>
      <c r="C46" s="72">
        <v>0</v>
      </c>
      <c r="D46" s="72">
        <v>-20</v>
      </c>
      <c r="E46" s="72"/>
      <c r="F46" s="82">
        <v>0</v>
      </c>
      <c r="G46" s="81" t="b">
        <v>0</v>
      </c>
    </row>
    <row r="47" spans="2:7" ht="28" thickBot="1" x14ac:dyDescent="0.35">
      <c r="B47" s="83" t="s">
        <v>289</v>
      </c>
      <c r="C47" s="84">
        <f>SUM(C43:C46)</f>
        <v>0</v>
      </c>
      <c r="D47" s="84">
        <f>SUM(D43:D46)</f>
        <v>-20</v>
      </c>
      <c r="E47" s="84"/>
      <c r="F47" s="85">
        <f>SUM(F43:F46)</f>
        <v>0</v>
      </c>
      <c r="G47" s="81" t="b">
        <v>0</v>
      </c>
    </row>
    <row r="48" spans="2:7" x14ac:dyDescent="0.3">
      <c r="B48" s="162" t="s">
        <v>321</v>
      </c>
      <c r="C48" s="168">
        <f>C47</f>
        <v>0</v>
      </c>
      <c r="D48" s="168">
        <f>D47</f>
        <v>-20</v>
      </c>
      <c r="E48" s="164"/>
      <c r="F48" s="169">
        <f>F47</f>
        <v>0</v>
      </c>
      <c r="G48" s="86" t="b">
        <v>1</v>
      </c>
    </row>
    <row r="49" spans="2:7" ht="27" thickBot="1" x14ac:dyDescent="0.35">
      <c r="B49" s="163"/>
      <c r="C49" s="165"/>
      <c r="D49" s="165"/>
      <c r="E49" s="165"/>
      <c r="F49" s="167"/>
      <c r="G49" s="81"/>
    </row>
    <row r="50" spans="2:7" ht="28" thickBot="1" x14ac:dyDescent="0.35">
      <c r="B50" s="136" t="s">
        <v>284</v>
      </c>
      <c r="C50" s="137">
        <f>C40+C48</f>
        <v>-9</v>
      </c>
      <c r="D50" s="137">
        <f>D40+D48</f>
        <v>67</v>
      </c>
      <c r="E50" s="137"/>
      <c r="F50" s="138">
        <f>F40+F48</f>
        <v>-28</v>
      </c>
      <c r="G50" s="88"/>
    </row>
    <row r="51" spans="2:7" x14ac:dyDescent="0.3">
      <c r="C51" s="77"/>
      <c r="D51" s="77"/>
      <c r="E51" s="77"/>
      <c r="F51" s="77"/>
    </row>
    <row r="52" spans="2:7" x14ac:dyDescent="0.3">
      <c r="C52" s="77"/>
      <c r="D52" s="77"/>
      <c r="E52" s="77"/>
      <c r="F52" s="77"/>
    </row>
    <row r="53" spans="2:7" x14ac:dyDescent="0.3">
      <c r="C53" s="77"/>
      <c r="D53" s="77"/>
      <c r="E53" s="77"/>
      <c r="F53" s="77"/>
    </row>
    <row r="54" spans="2:7" x14ac:dyDescent="0.3">
      <c r="C54" s="77"/>
      <c r="D54" s="77"/>
      <c r="E54" s="77"/>
      <c r="F54" s="77"/>
    </row>
    <row r="55" spans="2:7" x14ac:dyDescent="0.3">
      <c r="C55" s="77"/>
      <c r="D55" s="77"/>
      <c r="E55" s="77"/>
      <c r="F55" s="77"/>
    </row>
    <row r="56" spans="2:7" x14ac:dyDescent="0.3">
      <c r="C56" s="77"/>
      <c r="D56" s="77"/>
      <c r="E56" s="77"/>
      <c r="F56" s="77"/>
    </row>
    <row r="57" spans="2:7" x14ac:dyDescent="0.3">
      <c r="C57" s="77"/>
      <c r="D57" s="77"/>
      <c r="E57" s="77"/>
      <c r="F57" s="77"/>
    </row>
    <row r="58" spans="2:7" x14ac:dyDescent="0.3">
      <c r="C58" s="77"/>
      <c r="D58" s="77"/>
      <c r="E58" s="77"/>
      <c r="F58" s="77"/>
    </row>
  </sheetData>
  <mergeCells count="10">
    <mergeCell ref="B48:B49"/>
    <mergeCell ref="C48:C49"/>
    <mergeCell ref="D48:D49"/>
    <mergeCell ref="E48:E49"/>
    <mergeCell ref="F48:F49"/>
    <mergeCell ref="B40:B41"/>
    <mergeCell ref="C40:C41"/>
    <mergeCell ref="D40:D41"/>
    <mergeCell ref="E40:E41"/>
    <mergeCell ref="F40:F4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E436-7EAE-3C45-8F30-2644D6850EA3}">
  <sheetPr>
    <tabColor rgb="FFFF0000"/>
  </sheetPr>
  <dimension ref="B2:T37"/>
  <sheetViews>
    <sheetView zoomScale="90" zoomScaleNormal="90" workbookViewId="0"/>
  </sheetViews>
  <sheetFormatPr baseColWidth="10" defaultColWidth="8.83203125" defaultRowHeight="16" x14ac:dyDescent="0.2"/>
  <cols>
    <col min="1" max="1" width="2.83203125" style="91" customWidth="1"/>
    <col min="2" max="2" width="15.5" style="91" customWidth="1"/>
    <col min="3" max="4" width="14" style="91" bestFit="1" customWidth="1"/>
    <col min="5" max="5" width="13" style="91" bestFit="1" customWidth="1"/>
    <col min="6" max="6" width="8.83203125" style="91"/>
    <col min="7" max="7" width="12.5" style="91" bestFit="1" customWidth="1"/>
    <col min="8" max="8" width="20.33203125" style="91" bestFit="1" customWidth="1"/>
    <col min="9" max="9" width="8.33203125" style="91" bestFit="1" customWidth="1"/>
    <col min="10" max="10" width="10.6640625" style="92" bestFit="1" customWidth="1"/>
    <col min="11" max="11" width="8.33203125" style="92" bestFit="1" customWidth="1"/>
    <col min="12" max="12" width="7.1640625" style="92" bestFit="1" customWidth="1"/>
    <col min="13" max="17" width="8.33203125" style="92" bestFit="1" customWidth="1"/>
    <col min="18" max="20" width="11.83203125" style="92" bestFit="1" customWidth="1"/>
    <col min="21" max="16384" width="8.83203125" style="91"/>
  </cols>
  <sheetData>
    <row r="2" spans="2:20" ht="17" thickBot="1" x14ac:dyDescent="0.25"/>
    <row r="3" spans="2:20" x14ac:dyDescent="0.2">
      <c r="B3" s="93" t="s">
        <v>322</v>
      </c>
      <c r="C3" s="94">
        <v>2000000</v>
      </c>
      <c r="D3" s="93"/>
      <c r="E3" s="93"/>
      <c r="I3" s="95" t="s">
        <v>330</v>
      </c>
      <c r="J3" s="135" t="s">
        <v>391</v>
      </c>
      <c r="K3" s="110" t="s">
        <v>331</v>
      </c>
      <c r="L3" s="110" t="s">
        <v>332</v>
      </c>
      <c r="M3" s="110" t="s">
        <v>333</v>
      </c>
      <c r="N3" s="110" t="s">
        <v>334</v>
      </c>
      <c r="O3" s="110" t="s">
        <v>335</v>
      </c>
      <c r="P3" s="110" t="s">
        <v>336</v>
      </c>
      <c r="Q3" s="110" t="s">
        <v>337</v>
      </c>
      <c r="R3" s="110" t="s">
        <v>338</v>
      </c>
      <c r="S3" s="110" t="s">
        <v>339</v>
      </c>
      <c r="T3" s="110" t="s">
        <v>340</v>
      </c>
    </row>
    <row r="4" spans="2:20" ht="17" thickBot="1" x14ac:dyDescent="0.25">
      <c r="B4" s="93" t="s">
        <v>323</v>
      </c>
      <c r="C4" s="96">
        <v>0.04</v>
      </c>
      <c r="D4" s="93" t="s">
        <v>324</v>
      </c>
      <c r="E4" s="94">
        <f>C3*C4</f>
        <v>80000</v>
      </c>
      <c r="I4" s="98">
        <f ca="1">TODAY()</f>
        <v>45377</v>
      </c>
      <c r="J4" s="99">
        <f ca="1">I4+1</f>
        <v>45378</v>
      </c>
      <c r="K4" s="99">
        <f ca="1">I4+2</f>
        <v>45379</v>
      </c>
      <c r="L4" s="99">
        <f ca="1">I4+7</f>
        <v>45384</v>
      </c>
      <c r="M4" s="99">
        <f ca="1">I4+14</f>
        <v>45391</v>
      </c>
      <c r="N4" s="99">
        <f ca="1">I4+30</f>
        <v>45407</v>
      </c>
      <c r="O4" s="99">
        <f ca="1">I4+60</f>
        <v>45437</v>
      </c>
      <c r="P4" s="99">
        <f ca="1">I4+90</f>
        <v>45467</v>
      </c>
      <c r="Q4" s="99">
        <f ca="1">I4+(365/2)</f>
        <v>45559.5</v>
      </c>
      <c r="R4" s="99">
        <f ca="1">I4+365</f>
        <v>45742</v>
      </c>
      <c r="S4" s="99">
        <f ca="1">I4+(365*2)</f>
        <v>46107</v>
      </c>
      <c r="T4" s="99">
        <f ca="1">I4+(365*3)</f>
        <v>46472</v>
      </c>
    </row>
    <row r="5" spans="2:20" x14ac:dyDescent="0.2">
      <c r="B5" s="93" t="s">
        <v>325</v>
      </c>
      <c r="C5" s="93">
        <v>1</v>
      </c>
      <c r="D5" s="93" t="s">
        <v>326</v>
      </c>
      <c r="E5" s="93">
        <v>14</v>
      </c>
      <c r="G5" s="100" t="s">
        <v>341</v>
      </c>
      <c r="H5" s="101"/>
      <c r="J5" s="102"/>
      <c r="K5" s="102"/>
      <c r="L5" s="102"/>
      <c r="M5" s="102"/>
      <c r="N5" s="102"/>
      <c r="O5" s="102"/>
      <c r="P5" s="102"/>
      <c r="Q5" s="102"/>
      <c r="R5" s="102"/>
      <c r="S5" s="102"/>
      <c r="T5" s="102"/>
    </row>
    <row r="6" spans="2:20" x14ac:dyDescent="0.2">
      <c r="B6" s="93" t="s">
        <v>327</v>
      </c>
      <c r="C6" s="93">
        <v>7</v>
      </c>
      <c r="D6" s="93"/>
      <c r="E6" s="94"/>
      <c r="G6" s="103"/>
      <c r="H6" s="104"/>
      <c r="I6" s="104"/>
      <c r="J6" s="105"/>
      <c r="K6" s="105"/>
      <c r="L6" s="105"/>
      <c r="M6" s="105"/>
      <c r="N6" s="105"/>
      <c r="O6" s="105"/>
      <c r="P6" s="105"/>
      <c r="Q6" s="105"/>
      <c r="R6" s="105"/>
      <c r="S6" s="105"/>
      <c r="T6" s="105"/>
    </row>
    <row r="7" spans="2:20" x14ac:dyDescent="0.2">
      <c r="B7" s="93"/>
      <c r="C7" s="96"/>
      <c r="D7" s="93"/>
      <c r="E7" s="97"/>
      <c r="G7" s="91" t="s">
        <v>342</v>
      </c>
      <c r="H7" s="91" t="s">
        <v>356</v>
      </c>
      <c r="J7" s="102"/>
      <c r="K7" s="102"/>
      <c r="L7" s="102"/>
      <c r="M7" s="102"/>
      <c r="N7" s="102"/>
      <c r="O7" s="102"/>
      <c r="P7" s="102"/>
      <c r="Q7" s="102"/>
      <c r="R7" s="102">
        <f>D11</f>
        <v>80000</v>
      </c>
      <c r="S7" s="102">
        <f>D12</f>
        <v>80000</v>
      </c>
      <c r="T7" s="102">
        <f>D13</f>
        <v>80000</v>
      </c>
    </row>
    <row r="8" spans="2:20" x14ac:dyDescent="0.2">
      <c r="B8" s="93"/>
      <c r="C8" s="93"/>
      <c r="D8" s="93"/>
      <c r="E8" s="93"/>
      <c r="G8" s="91" t="s">
        <v>343</v>
      </c>
      <c r="J8" s="102"/>
      <c r="K8" s="102"/>
      <c r="L8" s="102"/>
      <c r="M8" s="102"/>
      <c r="N8" s="102"/>
      <c r="O8" s="102"/>
      <c r="P8" s="102"/>
      <c r="Q8" s="102"/>
      <c r="R8" s="102"/>
      <c r="S8" s="102"/>
      <c r="T8" s="102"/>
    </row>
    <row r="9" spans="2:20" x14ac:dyDescent="0.2">
      <c r="B9" s="93"/>
      <c r="C9" s="93"/>
      <c r="D9" s="93"/>
      <c r="E9" s="93"/>
      <c r="G9" s="91" t="s">
        <v>344</v>
      </c>
      <c r="J9" s="102"/>
      <c r="K9" s="102"/>
      <c r="L9" s="102"/>
      <c r="M9" s="102"/>
      <c r="N9" s="102"/>
      <c r="O9" s="102"/>
      <c r="P9" s="102"/>
      <c r="Q9" s="102"/>
      <c r="R9" s="102"/>
      <c r="S9" s="102"/>
      <c r="T9" s="102"/>
    </row>
    <row r="10" spans="2:20" x14ac:dyDescent="0.2">
      <c r="B10" s="106"/>
      <c r="C10" s="106" t="s">
        <v>328</v>
      </c>
      <c r="D10" s="106" t="s">
        <v>329</v>
      </c>
      <c r="E10" s="106"/>
      <c r="G10" s="91" t="s">
        <v>345</v>
      </c>
      <c r="J10" s="102"/>
      <c r="K10" s="102"/>
      <c r="L10" s="102"/>
      <c r="M10" s="102"/>
      <c r="N10" s="102"/>
      <c r="O10" s="102"/>
      <c r="P10" s="102"/>
      <c r="Q10" s="102"/>
      <c r="R10" s="102"/>
      <c r="S10" s="102"/>
      <c r="T10" s="102"/>
    </row>
    <row r="11" spans="2:20" x14ac:dyDescent="0.2">
      <c r="B11" s="93"/>
      <c r="C11" s="93">
        <v>1</v>
      </c>
      <c r="D11" s="94">
        <v>80000</v>
      </c>
      <c r="E11" s="93"/>
      <c r="G11" s="91" t="s">
        <v>346</v>
      </c>
      <c r="J11" s="102"/>
      <c r="K11" s="102"/>
      <c r="L11" s="102"/>
      <c r="M11" s="102"/>
      <c r="N11" s="102"/>
      <c r="O11" s="102"/>
      <c r="P11" s="102"/>
      <c r="Q11" s="102"/>
      <c r="R11" s="102"/>
      <c r="S11" s="102"/>
      <c r="T11" s="102"/>
    </row>
    <row r="12" spans="2:20" x14ac:dyDescent="0.2">
      <c r="B12" s="93"/>
      <c r="C12" s="93">
        <v>2</v>
      </c>
      <c r="D12" s="94">
        <v>80000</v>
      </c>
      <c r="E12" s="93"/>
      <c r="J12" s="102"/>
      <c r="K12" s="102"/>
      <c r="L12" s="102"/>
      <c r="M12" s="102"/>
      <c r="N12" s="102"/>
      <c r="O12" s="102"/>
      <c r="P12" s="102"/>
      <c r="Q12" s="102"/>
      <c r="R12" s="102"/>
      <c r="S12" s="102"/>
      <c r="T12" s="102"/>
    </row>
    <row r="13" spans="2:20" x14ac:dyDescent="0.2">
      <c r="B13" s="93"/>
      <c r="C13" s="93">
        <v>3</v>
      </c>
      <c r="D13" s="94">
        <v>80000</v>
      </c>
      <c r="E13" s="93"/>
      <c r="G13" s="107" t="s">
        <v>347</v>
      </c>
      <c r="H13" s="107"/>
      <c r="I13" s="107"/>
      <c r="J13" s="108">
        <f>SUM(J7:J11)</f>
        <v>0</v>
      </c>
      <c r="K13" s="108">
        <f t="shared" ref="K13:T13" si="0">SUM(K7:K11)</f>
        <v>0</v>
      </c>
      <c r="L13" s="108">
        <f t="shared" si="0"/>
        <v>0</v>
      </c>
      <c r="M13" s="108">
        <f t="shared" si="0"/>
        <v>0</v>
      </c>
      <c r="N13" s="108">
        <f t="shared" si="0"/>
        <v>0</v>
      </c>
      <c r="O13" s="108">
        <f t="shared" si="0"/>
        <v>0</v>
      </c>
      <c r="P13" s="108">
        <f t="shared" si="0"/>
        <v>0</v>
      </c>
      <c r="Q13" s="108">
        <f t="shared" si="0"/>
        <v>0</v>
      </c>
      <c r="R13" s="108">
        <f t="shared" si="0"/>
        <v>80000</v>
      </c>
      <c r="S13" s="108">
        <f t="shared" si="0"/>
        <v>80000</v>
      </c>
      <c r="T13" s="108">
        <f t="shared" si="0"/>
        <v>80000</v>
      </c>
    </row>
    <row r="14" spans="2:20" x14ac:dyDescent="0.2">
      <c r="B14" s="93"/>
      <c r="C14" s="93">
        <v>4</v>
      </c>
      <c r="D14" s="94">
        <v>80000</v>
      </c>
      <c r="E14" s="93"/>
      <c r="J14" s="102"/>
      <c r="K14" s="102"/>
      <c r="L14" s="102"/>
      <c r="M14" s="102"/>
      <c r="N14" s="102"/>
      <c r="O14" s="102"/>
      <c r="P14" s="102"/>
      <c r="Q14" s="102"/>
      <c r="R14" s="102"/>
      <c r="S14" s="102"/>
      <c r="T14" s="102"/>
    </row>
    <row r="15" spans="2:20" x14ac:dyDescent="0.2">
      <c r="B15" s="93"/>
      <c r="C15" s="93">
        <v>5</v>
      </c>
      <c r="D15" s="94">
        <v>80000</v>
      </c>
      <c r="E15" s="93"/>
      <c r="J15" s="102"/>
      <c r="K15" s="102"/>
      <c r="L15" s="102"/>
      <c r="M15" s="102"/>
      <c r="N15" s="102"/>
      <c r="O15" s="102"/>
      <c r="P15" s="102"/>
      <c r="Q15" s="102"/>
      <c r="R15" s="102"/>
      <c r="S15" s="102"/>
      <c r="T15" s="102"/>
    </row>
    <row r="16" spans="2:20" x14ac:dyDescent="0.2">
      <c r="B16" s="93"/>
      <c r="C16" s="93">
        <v>6</v>
      </c>
      <c r="D16" s="94">
        <v>80000</v>
      </c>
      <c r="E16" s="93"/>
      <c r="G16" s="100" t="s">
        <v>348</v>
      </c>
      <c r="H16" s="101"/>
      <c r="I16" s="101"/>
      <c r="J16" s="109"/>
      <c r="K16" s="109"/>
      <c r="L16" s="109"/>
      <c r="M16" s="109"/>
      <c r="N16" s="109"/>
      <c r="O16" s="109"/>
      <c r="P16" s="109"/>
      <c r="Q16" s="109"/>
      <c r="R16" s="109"/>
      <c r="S16" s="109"/>
      <c r="T16" s="109"/>
    </row>
    <row r="17" spans="2:20" x14ac:dyDescent="0.2">
      <c r="B17" s="93"/>
      <c r="C17" s="93">
        <v>7</v>
      </c>
      <c r="D17" s="94">
        <v>2080000</v>
      </c>
      <c r="E17" s="93"/>
      <c r="G17" s="103"/>
      <c r="H17" s="104"/>
      <c r="I17" s="104"/>
      <c r="J17" s="105"/>
      <c r="K17" s="105"/>
      <c r="L17" s="105"/>
      <c r="M17" s="105"/>
      <c r="N17" s="105"/>
      <c r="O17" s="105"/>
      <c r="P17" s="105"/>
      <c r="Q17" s="105"/>
      <c r="R17" s="105"/>
      <c r="S17" s="105"/>
      <c r="T17" s="105"/>
    </row>
    <row r="18" spans="2:20" x14ac:dyDescent="0.2">
      <c r="G18" s="91" t="s">
        <v>349</v>
      </c>
      <c r="H18" s="91" t="s">
        <v>357</v>
      </c>
      <c r="J18" s="102"/>
      <c r="K18" s="102"/>
      <c r="L18" s="102"/>
      <c r="M18" s="102"/>
      <c r="N18" s="102"/>
      <c r="O18" s="102"/>
      <c r="P18" s="102"/>
      <c r="Q18" s="102"/>
      <c r="R18" s="102">
        <f>D28</f>
        <v>-3000000</v>
      </c>
      <c r="S18" s="102">
        <f>D29</f>
        <v>-3000000</v>
      </c>
      <c r="T18" s="102">
        <f>D30</f>
        <v>-3000000</v>
      </c>
    </row>
    <row r="19" spans="2:20" x14ac:dyDescent="0.2">
      <c r="G19" s="91" t="s">
        <v>350</v>
      </c>
      <c r="J19" s="102"/>
      <c r="K19" s="102"/>
      <c r="L19" s="102"/>
      <c r="M19" s="102"/>
      <c r="N19" s="102"/>
      <c r="O19" s="102"/>
      <c r="P19" s="102"/>
      <c r="Q19" s="102"/>
      <c r="R19" s="102"/>
      <c r="S19" s="102"/>
      <c r="T19" s="102"/>
    </row>
    <row r="20" spans="2:20" x14ac:dyDescent="0.2">
      <c r="B20" s="93" t="s">
        <v>322</v>
      </c>
      <c r="C20" s="94">
        <v>-50000000</v>
      </c>
      <c r="D20" s="93"/>
      <c r="E20" s="93"/>
      <c r="G20" s="91" t="s">
        <v>351</v>
      </c>
      <c r="J20" s="102"/>
      <c r="K20" s="102"/>
      <c r="L20" s="102"/>
      <c r="M20" s="102"/>
      <c r="N20" s="102"/>
      <c r="O20" s="102"/>
      <c r="P20" s="102"/>
      <c r="Q20" s="102"/>
      <c r="R20" s="102"/>
      <c r="S20" s="102"/>
      <c r="T20" s="102"/>
    </row>
    <row r="21" spans="2:20" x14ac:dyDescent="0.2">
      <c r="B21" s="93" t="s">
        <v>323</v>
      </c>
      <c r="C21" s="96">
        <v>0.06</v>
      </c>
      <c r="D21" s="93" t="s">
        <v>324</v>
      </c>
      <c r="E21" s="94">
        <f>C20*C21</f>
        <v>-3000000</v>
      </c>
      <c r="G21" s="91" t="s">
        <v>352</v>
      </c>
      <c r="J21" s="102"/>
      <c r="K21" s="102"/>
      <c r="L21" s="102"/>
      <c r="M21" s="102"/>
      <c r="N21" s="102"/>
      <c r="O21" s="102"/>
      <c r="P21" s="102"/>
      <c r="Q21" s="102"/>
      <c r="R21" s="102"/>
      <c r="S21" s="102"/>
      <c r="T21" s="102"/>
    </row>
    <row r="22" spans="2:20" x14ac:dyDescent="0.2">
      <c r="B22" s="93" t="s">
        <v>325</v>
      </c>
      <c r="C22" s="93">
        <v>1</v>
      </c>
      <c r="D22" s="93" t="s">
        <v>326</v>
      </c>
      <c r="E22" s="93">
        <v>14</v>
      </c>
      <c r="G22" s="91" t="s">
        <v>353</v>
      </c>
      <c r="J22" s="102"/>
      <c r="K22" s="102"/>
      <c r="L22" s="102"/>
      <c r="M22" s="102"/>
      <c r="N22" s="102"/>
      <c r="O22" s="102"/>
      <c r="P22" s="102"/>
      <c r="Q22" s="102"/>
      <c r="R22" s="102"/>
      <c r="S22" s="102"/>
      <c r="T22" s="102"/>
    </row>
    <row r="23" spans="2:20" x14ac:dyDescent="0.2">
      <c r="B23" s="93" t="s">
        <v>327</v>
      </c>
      <c r="C23" s="93">
        <v>7</v>
      </c>
      <c r="D23" s="93"/>
      <c r="E23" s="94"/>
      <c r="J23" s="102"/>
      <c r="K23" s="102"/>
      <c r="L23" s="102"/>
      <c r="M23" s="102"/>
      <c r="N23" s="102"/>
      <c r="O23" s="102"/>
      <c r="P23" s="102"/>
      <c r="Q23" s="102"/>
      <c r="R23" s="102"/>
      <c r="S23" s="102"/>
      <c r="T23" s="102"/>
    </row>
    <row r="24" spans="2:20" x14ac:dyDescent="0.2">
      <c r="B24" s="93"/>
      <c r="C24" s="96"/>
      <c r="D24" s="93"/>
      <c r="E24" s="97"/>
      <c r="G24" s="107" t="s">
        <v>354</v>
      </c>
      <c r="H24" s="107"/>
      <c r="I24" s="107"/>
      <c r="J24" s="108">
        <f>SUM(J18:J22)</f>
        <v>0</v>
      </c>
      <c r="K24" s="108">
        <f t="shared" ref="K24:T24" si="1">SUM(K18:K22)</f>
        <v>0</v>
      </c>
      <c r="L24" s="108">
        <f t="shared" si="1"/>
        <v>0</v>
      </c>
      <c r="M24" s="108">
        <f t="shared" si="1"/>
        <v>0</v>
      </c>
      <c r="N24" s="108">
        <f t="shared" si="1"/>
        <v>0</v>
      </c>
      <c r="O24" s="108">
        <f t="shared" si="1"/>
        <v>0</v>
      </c>
      <c r="P24" s="108">
        <f t="shared" si="1"/>
        <v>0</v>
      </c>
      <c r="Q24" s="108">
        <f t="shared" si="1"/>
        <v>0</v>
      </c>
      <c r="R24" s="108">
        <f t="shared" si="1"/>
        <v>-3000000</v>
      </c>
      <c r="S24" s="108">
        <f t="shared" si="1"/>
        <v>-3000000</v>
      </c>
      <c r="T24" s="108">
        <f t="shared" si="1"/>
        <v>-3000000</v>
      </c>
    </row>
    <row r="25" spans="2:20" x14ac:dyDescent="0.2">
      <c r="B25" s="93"/>
      <c r="C25" s="93"/>
      <c r="D25" s="93"/>
      <c r="E25" s="93"/>
      <c r="J25" s="102"/>
      <c r="K25" s="102"/>
      <c r="L25" s="102"/>
      <c r="M25" s="102"/>
      <c r="N25" s="102"/>
      <c r="O25" s="102"/>
      <c r="P25" s="102"/>
      <c r="Q25" s="102"/>
      <c r="R25" s="102"/>
      <c r="S25" s="102"/>
      <c r="T25" s="102"/>
    </row>
    <row r="26" spans="2:20" x14ac:dyDescent="0.2">
      <c r="B26" s="93"/>
      <c r="C26" s="93"/>
      <c r="D26" s="93"/>
      <c r="E26" s="93"/>
      <c r="G26" s="91" t="s">
        <v>355</v>
      </c>
      <c r="J26" s="105">
        <f>J13+J24</f>
        <v>0</v>
      </c>
      <c r="K26" s="105">
        <f t="shared" ref="K26:T26" si="2">K13+K24</f>
        <v>0</v>
      </c>
      <c r="L26" s="105">
        <f t="shared" si="2"/>
        <v>0</v>
      </c>
      <c r="M26" s="105">
        <f t="shared" si="2"/>
        <v>0</v>
      </c>
      <c r="N26" s="105">
        <f t="shared" si="2"/>
        <v>0</v>
      </c>
      <c r="O26" s="105">
        <f t="shared" si="2"/>
        <v>0</v>
      </c>
      <c r="P26" s="105">
        <f t="shared" si="2"/>
        <v>0</v>
      </c>
      <c r="Q26" s="105">
        <f t="shared" si="2"/>
        <v>0</v>
      </c>
      <c r="R26" s="105">
        <f t="shared" si="2"/>
        <v>-2920000</v>
      </c>
      <c r="S26" s="105">
        <f t="shared" si="2"/>
        <v>-2920000</v>
      </c>
      <c r="T26" s="105">
        <f t="shared" si="2"/>
        <v>-2920000</v>
      </c>
    </row>
    <row r="27" spans="2:20" x14ac:dyDescent="0.2">
      <c r="B27" s="106"/>
      <c r="C27" s="106" t="s">
        <v>328</v>
      </c>
      <c r="D27" s="106" t="s">
        <v>329</v>
      </c>
      <c r="E27" s="106"/>
    </row>
    <row r="28" spans="2:20" x14ac:dyDescent="0.2">
      <c r="B28" s="93"/>
      <c r="C28" s="93">
        <v>1</v>
      </c>
      <c r="D28" s="94">
        <f t="shared" ref="D28:D36" si="3">$E$21</f>
        <v>-3000000</v>
      </c>
      <c r="E28" s="93"/>
    </row>
    <row r="29" spans="2:20" x14ac:dyDescent="0.2">
      <c r="B29" s="93"/>
      <c r="C29" s="93">
        <v>2</v>
      </c>
      <c r="D29" s="94">
        <f t="shared" si="3"/>
        <v>-3000000</v>
      </c>
      <c r="E29" s="93"/>
    </row>
    <row r="30" spans="2:20" x14ac:dyDescent="0.2">
      <c r="B30" s="93"/>
      <c r="C30" s="93">
        <v>3</v>
      </c>
      <c r="D30" s="94">
        <f t="shared" si="3"/>
        <v>-3000000</v>
      </c>
      <c r="E30" s="93"/>
    </row>
    <row r="31" spans="2:20" x14ac:dyDescent="0.2">
      <c r="B31" s="93"/>
      <c r="C31" s="93">
        <v>4</v>
      </c>
      <c r="D31" s="94">
        <f t="shared" si="3"/>
        <v>-3000000</v>
      </c>
      <c r="E31" s="93"/>
    </row>
    <row r="32" spans="2:20" x14ac:dyDescent="0.2">
      <c r="B32" s="93"/>
      <c r="C32" s="93">
        <v>5</v>
      </c>
      <c r="D32" s="94">
        <f t="shared" si="3"/>
        <v>-3000000</v>
      </c>
      <c r="E32" s="93"/>
    </row>
    <row r="33" spans="2:5" x14ac:dyDescent="0.2">
      <c r="B33" s="93"/>
      <c r="C33" s="93">
        <v>6</v>
      </c>
      <c r="D33" s="94">
        <f t="shared" si="3"/>
        <v>-3000000</v>
      </c>
      <c r="E33" s="93"/>
    </row>
    <row r="34" spans="2:5" x14ac:dyDescent="0.2">
      <c r="B34" s="93"/>
      <c r="C34" s="93">
        <v>7</v>
      </c>
      <c r="D34" s="94">
        <f t="shared" si="3"/>
        <v>-3000000</v>
      </c>
      <c r="E34" s="93"/>
    </row>
    <row r="35" spans="2:5" x14ac:dyDescent="0.2">
      <c r="B35" s="93"/>
      <c r="C35" s="93">
        <v>8</v>
      </c>
      <c r="D35" s="94">
        <f t="shared" si="3"/>
        <v>-3000000</v>
      </c>
      <c r="E35" s="93"/>
    </row>
    <row r="36" spans="2:5" x14ac:dyDescent="0.2">
      <c r="B36" s="93"/>
      <c r="C36" s="93">
        <v>9</v>
      </c>
      <c r="D36" s="94">
        <f t="shared" si="3"/>
        <v>-3000000</v>
      </c>
      <c r="E36" s="93"/>
    </row>
    <row r="37" spans="2:5" x14ac:dyDescent="0.2">
      <c r="B37" s="93"/>
      <c r="C37" s="93">
        <v>10</v>
      </c>
      <c r="D37" s="94">
        <f>$E$21+C20</f>
        <v>-53000000</v>
      </c>
      <c r="E37" s="93"/>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B2:C20"/>
  <sheetViews>
    <sheetView workbookViewId="0"/>
  </sheetViews>
  <sheetFormatPr baseColWidth="10" defaultColWidth="8.83203125" defaultRowHeight="24" x14ac:dyDescent="0.3"/>
  <cols>
    <col min="1" max="16384" width="8.83203125" style="10"/>
  </cols>
  <sheetData>
    <row r="2" spans="2:3" x14ac:dyDescent="0.3">
      <c r="B2" s="10" t="s">
        <v>67</v>
      </c>
    </row>
    <row r="3" spans="2:3" x14ac:dyDescent="0.3">
      <c r="C3" s="10" t="s">
        <v>66</v>
      </c>
    </row>
    <row r="4" spans="2:3" x14ac:dyDescent="0.3">
      <c r="C4" s="10" t="s">
        <v>65</v>
      </c>
    </row>
    <row r="5" spans="2:3" x14ac:dyDescent="0.3">
      <c r="C5" s="10" t="s">
        <v>64</v>
      </c>
    </row>
    <row r="6" spans="2:3" x14ac:dyDescent="0.3">
      <c r="C6" s="10" t="s">
        <v>63</v>
      </c>
    </row>
    <row r="8" spans="2:3" x14ac:dyDescent="0.3">
      <c r="B8" s="10" t="s">
        <v>62</v>
      </c>
    </row>
    <row r="9" spans="2:3" x14ac:dyDescent="0.3">
      <c r="C9" s="10" t="s">
        <v>61</v>
      </c>
    </row>
    <row r="10" spans="2:3" x14ac:dyDescent="0.3">
      <c r="C10" s="10" t="s">
        <v>60</v>
      </c>
    </row>
    <row r="12" spans="2:3" x14ac:dyDescent="0.3">
      <c r="B12" s="10" t="s">
        <v>59</v>
      </c>
    </row>
    <row r="13" spans="2:3" x14ac:dyDescent="0.3">
      <c r="B13" s="10">
        <v>1</v>
      </c>
      <c r="C13" s="10" t="s">
        <v>58</v>
      </c>
    </row>
    <row r="14" spans="2:3" x14ac:dyDescent="0.3">
      <c r="B14" s="10">
        <v>2</v>
      </c>
      <c r="C14" s="10" t="s">
        <v>79</v>
      </c>
    </row>
    <row r="15" spans="2:3" x14ac:dyDescent="0.3">
      <c r="B15" s="10">
        <v>3</v>
      </c>
      <c r="C15" s="10" t="s">
        <v>57</v>
      </c>
    </row>
    <row r="16" spans="2:3" x14ac:dyDescent="0.3">
      <c r="B16" s="10">
        <v>4</v>
      </c>
      <c r="C16" s="10" t="s">
        <v>56</v>
      </c>
    </row>
    <row r="17" spans="2:3" x14ac:dyDescent="0.3">
      <c r="B17" s="10">
        <v>5</v>
      </c>
      <c r="C17" s="10" t="s">
        <v>55</v>
      </c>
    </row>
    <row r="18" spans="2:3" x14ac:dyDescent="0.3">
      <c r="B18" s="10">
        <v>6</v>
      </c>
      <c r="C18" s="10" t="s">
        <v>54</v>
      </c>
    </row>
    <row r="19" spans="2:3" x14ac:dyDescent="0.3">
      <c r="B19" s="10">
        <v>7</v>
      </c>
      <c r="C19" s="10" t="s">
        <v>53</v>
      </c>
    </row>
    <row r="20" spans="2:3" x14ac:dyDescent="0.3">
      <c r="B20" s="10">
        <v>8</v>
      </c>
      <c r="C20" s="10" t="s">
        <v>52</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6E078-D892-954C-8076-8124659976AA}">
  <sheetPr>
    <tabColor rgb="FFFF0000"/>
  </sheetPr>
  <dimension ref="B2:L46"/>
  <sheetViews>
    <sheetView zoomScale="90" zoomScaleNormal="90" workbookViewId="0"/>
  </sheetViews>
  <sheetFormatPr baseColWidth="10" defaultRowHeight="21" x14ac:dyDescent="0.25"/>
  <cols>
    <col min="1" max="1" width="2.6640625" style="111" customWidth="1"/>
    <col min="2" max="2" width="2.5" style="111" bestFit="1" customWidth="1"/>
    <col min="3" max="3" width="17.33203125" style="111" customWidth="1"/>
    <col min="4" max="4" width="15.83203125" style="111" bestFit="1" customWidth="1"/>
    <col min="5" max="5" width="7.6640625" style="111" bestFit="1" customWidth="1"/>
    <col min="6" max="6" width="19.5" style="111" bestFit="1" customWidth="1"/>
    <col min="7" max="7" width="17.83203125" style="111" bestFit="1" customWidth="1"/>
    <col min="8" max="8" width="17.5" style="111" bestFit="1" customWidth="1"/>
    <col min="9" max="9" width="33.5" style="111" bestFit="1" customWidth="1"/>
    <col min="10" max="10" width="44.1640625" style="111" bestFit="1" customWidth="1"/>
    <col min="11" max="11" width="38.5" style="111" bestFit="1" customWidth="1"/>
    <col min="12" max="12" width="30.6640625" style="111" bestFit="1" customWidth="1"/>
    <col min="13" max="16384" width="10.83203125" style="111"/>
  </cols>
  <sheetData>
    <row r="2" spans="2:12" x14ac:dyDescent="0.25">
      <c r="C2" s="111" t="s">
        <v>362</v>
      </c>
    </row>
    <row r="4" spans="2:12" x14ac:dyDescent="0.25">
      <c r="B4" s="111">
        <v>1</v>
      </c>
      <c r="C4" s="133" t="s">
        <v>389</v>
      </c>
    </row>
    <row r="5" spans="2:12" x14ac:dyDescent="0.25">
      <c r="B5" s="111">
        <v>2</v>
      </c>
      <c r="C5" s="111" t="s">
        <v>382</v>
      </c>
    </row>
    <row r="6" spans="2:12" x14ac:dyDescent="0.25">
      <c r="C6" s="111" t="s">
        <v>374</v>
      </c>
    </row>
    <row r="7" spans="2:12" x14ac:dyDescent="0.25">
      <c r="B7" s="111">
        <v>3</v>
      </c>
      <c r="C7" s="111" t="s">
        <v>383</v>
      </c>
    </row>
    <row r="8" spans="2:12" x14ac:dyDescent="0.25">
      <c r="B8" s="111">
        <v>4</v>
      </c>
      <c r="C8" s="111" t="s">
        <v>384</v>
      </c>
    </row>
    <row r="9" spans="2:12" x14ac:dyDescent="0.25">
      <c r="B9" s="111">
        <v>5</v>
      </c>
      <c r="C9" s="111" t="s">
        <v>385</v>
      </c>
    </row>
    <row r="10" spans="2:12" x14ac:dyDescent="0.25">
      <c r="B10" s="111">
        <v>6</v>
      </c>
      <c r="C10" s="111" t="s">
        <v>388</v>
      </c>
    </row>
    <row r="11" spans="2:12" x14ac:dyDescent="0.25">
      <c r="B11" s="111">
        <v>7</v>
      </c>
      <c r="C11" s="111" t="s">
        <v>377</v>
      </c>
    </row>
    <row r="12" spans="2:12" x14ac:dyDescent="0.25">
      <c r="B12" s="111">
        <v>8</v>
      </c>
      <c r="C12" s="111" t="s">
        <v>378</v>
      </c>
    </row>
    <row r="14" spans="2:12" ht="22" thickBot="1" x14ac:dyDescent="0.3">
      <c r="E14" s="112" t="s">
        <v>363</v>
      </c>
      <c r="F14" s="112" t="s">
        <v>364</v>
      </c>
      <c r="G14" s="113" t="s">
        <v>379</v>
      </c>
      <c r="H14" s="112" t="s">
        <v>365</v>
      </c>
      <c r="I14" s="113" t="s">
        <v>380</v>
      </c>
      <c r="J14" s="121" t="s">
        <v>381</v>
      </c>
      <c r="K14" s="129" t="s">
        <v>386</v>
      </c>
      <c r="L14" s="125" t="s">
        <v>387</v>
      </c>
    </row>
    <row r="15" spans="2:12" x14ac:dyDescent="0.25">
      <c r="C15" s="134" t="s">
        <v>366</v>
      </c>
      <c r="D15" s="114" t="s">
        <v>367</v>
      </c>
      <c r="E15" s="115" t="s">
        <v>368</v>
      </c>
      <c r="F15" s="115" t="s">
        <v>368</v>
      </c>
      <c r="G15" s="116">
        <v>-100</v>
      </c>
      <c r="H15" s="115" t="s">
        <v>368</v>
      </c>
      <c r="I15" s="116">
        <v>50</v>
      </c>
      <c r="J15" s="122">
        <v>-123</v>
      </c>
      <c r="K15" s="130">
        <f>G15+I15+J15</f>
        <v>-173</v>
      </c>
      <c r="L15" s="126">
        <f>VLOOKUP(F15,$I$38:$J$40,2,0) + VLOOKUP(H15,$I$44:$J$46,2,0)</f>
        <v>180</v>
      </c>
    </row>
    <row r="16" spans="2:12" x14ac:dyDescent="0.25">
      <c r="C16" s="134"/>
      <c r="D16" s="114" t="s">
        <v>370</v>
      </c>
      <c r="E16" s="117" t="s">
        <v>369</v>
      </c>
      <c r="F16" s="117" t="s">
        <v>369</v>
      </c>
      <c r="G16" s="118">
        <v>-115</v>
      </c>
      <c r="H16" s="117" t="s">
        <v>371</v>
      </c>
      <c r="I16" s="118">
        <v>60</v>
      </c>
      <c r="J16" s="123">
        <v>-123</v>
      </c>
      <c r="K16" s="131">
        <f t="shared" ref="K16:K23" si="0">G16+I16+J16</f>
        <v>-178</v>
      </c>
      <c r="L16" s="127">
        <f t="shared" ref="L16:L23" si="1">VLOOKUP(F16,$I$38:$J$40,2,0) + VLOOKUP(H16,$I$44:$J$46,2,0)</f>
        <v>60</v>
      </c>
    </row>
    <row r="17" spans="3:12" ht="22" thickBot="1" x14ac:dyDescent="0.3">
      <c r="C17" s="134"/>
      <c r="D17" s="114" t="s">
        <v>372</v>
      </c>
      <c r="E17" s="119" t="s">
        <v>371</v>
      </c>
      <c r="F17" s="119" t="s">
        <v>371</v>
      </c>
      <c r="G17" s="120">
        <v>-123</v>
      </c>
      <c r="H17" s="119" t="s">
        <v>371</v>
      </c>
      <c r="I17" s="120">
        <v>60</v>
      </c>
      <c r="J17" s="124">
        <v>-123</v>
      </c>
      <c r="K17" s="132">
        <f t="shared" si="0"/>
        <v>-186</v>
      </c>
      <c r="L17" s="128">
        <f t="shared" si="1"/>
        <v>30</v>
      </c>
    </row>
    <row r="18" spans="3:12" x14ac:dyDescent="0.25">
      <c r="C18" s="134" t="s">
        <v>375</v>
      </c>
      <c r="D18" s="114" t="s">
        <v>367</v>
      </c>
      <c r="E18" s="115" t="s">
        <v>368</v>
      </c>
      <c r="F18" s="115" t="s">
        <v>368</v>
      </c>
      <c r="G18" s="116">
        <v>-100</v>
      </c>
      <c r="H18" s="115" t="s">
        <v>369</v>
      </c>
      <c r="I18" s="116">
        <v>50</v>
      </c>
      <c r="J18" s="122">
        <v>-123</v>
      </c>
      <c r="K18" s="130">
        <f t="shared" si="0"/>
        <v>-173</v>
      </c>
      <c r="L18" s="126">
        <f t="shared" si="1"/>
        <v>140</v>
      </c>
    </row>
    <row r="19" spans="3:12" x14ac:dyDescent="0.25">
      <c r="C19" s="134"/>
      <c r="D19" s="114" t="s">
        <v>370</v>
      </c>
      <c r="E19" s="117" t="s">
        <v>369</v>
      </c>
      <c r="F19" s="117" t="s">
        <v>369</v>
      </c>
      <c r="G19" s="118">
        <v>-130</v>
      </c>
      <c r="H19" s="117" t="s">
        <v>369</v>
      </c>
      <c r="I19" s="118">
        <v>70</v>
      </c>
      <c r="J19" s="123">
        <v>-123</v>
      </c>
      <c r="K19" s="131">
        <f t="shared" si="0"/>
        <v>-183</v>
      </c>
      <c r="L19" s="127">
        <f t="shared" si="1"/>
        <v>90</v>
      </c>
    </row>
    <row r="20" spans="3:12" ht="22" thickBot="1" x14ac:dyDescent="0.3">
      <c r="C20" s="134"/>
      <c r="D20" s="114" t="s">
        <v>372</v>
      </c>
      <c r="E20" s="119" t="s">
        <v>371</v>
      </c>
      <c r="F20" s="119" t="s">
        <v>371</v>
      </c>
      <c r="G20" s="120">
        <v>-135</v>
      </c>
      <c r="H20" s="119" t="s">
        <v>371</v>
      </c>
      <c r="I20" s="120">
        <v>90</v>
      </c>
      <c r="J20" s="124">
        <v>-123</v>
      </c>
      <c r="K20" s="132">
        <f t="shared" si="0"/>
        <v>-168</v>
      </c>
      <c r="L20" s="128">
        <f t="shared" si="1"/>
        <v>30</v>
      </c>
    </row>
    <row r="21" spans="3:12" x14ac:dyDescent="0.25">
      <c r="C21" s="134" t="s">
        <v>376</v>
      </c>
      <c r="D21" s="114" t="s">
        <v>367</v>
      </c>
      <c r="E21" s="115" t="s">
        <v>369</v>
      </c>
      <c r="F21" s="115" t="s">
        <v>368</v>
      </c>
      <c r="G21" s="116">
        <v>-110</v>
      </c>
      <c r="H21" s="115" t="s">
        <v>371</v>
      </c>
      <c r="I21" s="116">
        <v>50</v>
      </c>
      <c r="J21" s="122">
        <v>-123</v>
      </c>
      <c r="K21" s="130">
        <f t="shared" si="0"/>
        <v>-183</v>
      </c>
      <c r="L21" s="126">
        <f t="shared" si="1"/>
        <v>110</v>
      </c>
    </row>
    <row r="22" spans="3:12" x14ac:dyDescent="0.25">
      <c r="D22" s="114" t="s">
        <v>370</v>
      </c>
      <c r="E22" s="117" t="s">
        <v>371</v>
      </c>
      <c r="F22" s="117" t="s">
        <v>369</v>
      </c>
      <c r="G22" s="118">
        <v>-150</v>
      </c>
      <c r="H22" s="117" t="s">
        <v>371</v>
      </c>
      <c r="I22" s="118">
        <v>90</v>
      </c>
      <c r="J22" s="123">
        <v>-123</v>
      </c>
      <c r="K22" s="131">
        <f t="shared" si="0"/>
        <v>-183</v>
      </c>
      <c r="L22" s="127">
        <f t="shared" si="1"/>
        <v>60</v>
      </c>
    </row>
    <row r="23" spans="3:12" ht="22" thickBot="1" x14ac:dyDescent="0.3">
      <c r="D23" s="114" t="s">
        <v>372</v>
      </c>
      <c r="E23" s="119" t="s">
        <v>373</v>
      </c>
      <c r="F23" s="119" t="s">
        <v>371</v>
      </c>
      <c r="G23" s="120">
        <v>-200</v>
      </c>
      <c r="H23" s="119" t="s">
        <v>371</v>
      </c>
      <c r="I23" s="120">
        <v>90</v>
      </c>
      <c r="J23" s="124">
        <v>-123</v>
      </c>
      <c r="K23" s="132">
        <f t="shared" si="0"/>
        <v>-233</v>
      </c>
      <c r="L23" s="128">
        <f t="shared" si="1"/>
        <v>30</v>
      </c>
    </row>
    <row r="37" spans="9:10" ht="22" thickBot="1" x14ac:dyDescent="0.3">
      <c r="I37" s="112" t="s">
        <v>364</v>
      </c>
    </row>
    <row r="38" spans="9:10" x14ac:dyDescent="0.25">
      <c r="I38" s="115" t="s">
        <v>368</v>
      </c>
      <c r="J38" s="111">
        <v>100</v>
      </c>
    </row>
    <row r="39" spans="9:10" x14ac:dyDescent="0.25">
      <c r="I39" s="117" t="s">
        <v>369</v>
      </c>
      <c r="J39" s="111">
        <v>50</v>
      </c>
    </row>
    <row r="40" spans="9:10" ht="22" thickBot="1" x14ac:dyDescent="0.3">
      <c r="I40" s="119" t="s">
        <v>371</v>
      </c>
      <c r="J40" s="111">
        <v>20</v>
      </c>
    </row>
    <row r="43" spans="9:10" ht="22" thickBot="1" x14ac:dyDescent="0.3">
      <c r="I43" s="112" t="s">
        <v>365</v>
      </c>
    </row>
    <row r="44" spans="9:10" x14ac:dyDescent="0.25">
      <c r="I44" s="115" t="s">
        <v>368</v>
      </c>
      <c r="J44" s="111">
        <v>80</v>
      </c>
    </row>
    <row r="45" spans="9:10" x14ac:dyDescent="0.25">
      <c r="I45" s="117" t="s">
        <v>369</v>
      </c>
      <c r="J45" s="111">
        <v>40</v>
      </c>
    </row>
    <row r="46" spans="9:10" ht="22" thickBot="1" x14ac:dyDescent="0.3">
      <c r="I46" s="119" t="s">
        <v>371</v>
      </c>
      <c r="J46" s="111">
        <v>10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B2:C23"/>
  <sheetViews>
    <sheetView zoomScale="145" zoomScaleNormal="145" zoomScalePageLayoutView="145" workbookViewId="0"/>
  </sheetViews>
  <sheetFormatPr baseColWidth="10" defaultColWidth="11" defaultRowHeight="16" x14ac:dyDescent="0.2"/>
  <cols>
    <col min="1" max="16384" width="11" style="4"/>
  </cols>
  <sheetData>
    <row r="2" spans="2:3" x14ac:dyDescent="0.2">
      <c r="B2" s="4" t="s">
        <v>93</v>
      </c>
    </row>
    <row r="3" spans="2:3" x14ac:dyDescent="0.2">
      <c r="C3" s="4" t="s">
        <v>92</v>
      </c>
    </row>
    <row r="4" spans="2:3" x14ac:dyDescent="0.2">
      <c r="B4" s="4" t="s">
        <v>91</v>
      </c>
    </row>
    <row r="6" spans="2:3" x14ac:dyDescent="0.2">
      <c r="B6" s="4" t="s">
        <v>90</v>
      </c>
    </row>
    <row r="8" spans="2:3" x14ac:dyDescent="0.2">
      <c r="B8" s="4" t="s">
        <v>89</v>
      </c>
    </row>
    <row r="9" spans="2:3" x14ac:dyDescent="0.2">
      <c r="C9" s="11" t="s">
        <v>109</v>
      </c>
    </row>
    <row r="11" spans="2:3" x14ac:dyDescent="0.2">
      <c r="B11" s="4" t="s">
        <v>88</v>
      </c>
    </row>
    <row r="13" spans="2:3" x14ac:dyDescent="0.2">
      <c r="B13" s="4" t="s">
        <v>87</v>
      </c>
    </row>
    <row r="14" spans="2:3" x14ac:dyDescent="0.2">
      <c r="C14" s="4" t="s">
        <v>86</v>
      </c>
    </row>
    <row r="15" spans="2:3" x14ac:dyDescent="0.2">
      <c r="C15" s="4" t="s">
        <v>85</v>
      </c>
    </row>
    <row r="16" spans="2:3" x14ac:dyDescent="0.2">
      <c r="C16" s="4" t="s">
        <v>84</v>
      </c>
    </row>
    <row r="17" spans="2:3" x14ac:dyDescent="0.2">
      <c r="C17" s="4" t="s">
        <v>83</v>
      </c>
    </row>
    <row r="19" spans="2:3" x14ac:dyDescent="0.2">
      <c r="B19" s="4" t="s">
        <v>82</v>
      </c>
    </row>
    <row r="20" spans="2:3" x14ac:dyDescent="0.2">
      <c r="C20" s="4" t="s">
        <v>81</v>
      </c>
    </row>
    <row r="21" spans="2:3" x14ac:dyDescent="0.2">
      <c r="C21" s="4" t="s">
        <v>80</v>
      </c>
    </row>
    <row r="23" spans="2:3" x14ac:dyDescent="0.2">
      <c r="B23" s="46" t="s">
        <v>262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2E05B-1996-854C-8081-241662C2FC3B}">
  <sheetPr>
    <tabColor rgb="FF00B050"/>
  </sheetPr>
  <dimension ref="B2:B10"/>
  <sheetViews>
    <sheetView workbookViewId="0"/>
  </sheetViews>
  <sheetFormatPr baseColWidth="10" defaultRowHeight="26" x14ac:dyDescent="0.3"/>
  <cols>
    <col min="1" max="16384" width="10.83203125" style="47"/>
  </cols>
  <sheetData>
    <row r="2" spans="2:2" x14ac:dyDescent="0.3">
      <c r="B2" s="47" t="s">
        <v>397</v>
      </c>
    </row>
    <row r="3" spans="2:2" x14ac:dyDescent="0.3">
      <c r="B3" s="47" t="s">
        <v>398</v>
      </c>
    </row>
    <row r="5" spans="2:2" x14ac:dyDescent="0.3">
      <c r="B5" s="47" t="s">
        <v>268</v>
      </c>
    </row>
    <row r="6" spans="2:2" x14ac:dyDescent="0.3">
      <c r="B6" s="47" t="s">
        <v>267</v>
      </c>
    </row>
    <row r="8" spans="2:2" x14ac:dyDescent="0.3">
      <c r="B8" s="47" t="s">
        <v>264</v>
      </c>
    </row>
    <row r="9" spans="2:2" x14ac:dyDescent="0.3">
      <c r="B9" s="47" t="s">
        <v>265</v>
      </c>
    </row>
    <row r="10" spans="2:2" x14ac:dyDescent="0.3">
      <c r="B10" s="47" t="s">
        <v>266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B1:C9"/>
  <sheetViews>
    <sheetView workbookViewId="0"/>
  </sheetViews>
  <sheetFormatPr baseColWidth="10" defaultColWidth="10.83203125" defaultRowHeight="26" x14ac:dyDescent="0.3"/>
  <cols>
    <col min="1" max="1" width="3.83203125" style="6" customWidth="1"/>
    <col min="2" max="2" width="21.83203125" style="140" customWidth="1"/>
    <col min="3" max="3" width="171.6640625" style="6" customWidth="1"/>
    <col min="4" max="16384" width="10.83203125" style="6"/>
  </cols>
  <sheetData>
    <row r="1" spans="2:3" ht="27" thickBot="1" x14ac:dyDescent="0.35"/>
    <row r="2" spans="2:3" ht="28" thickBot="1" x14ac:dyDescent="0.35">
      <c r="B2" s="146" t="s">
        <v>115</v>
      </c>
      <c r="C2" s="142" t="s">
        <v>150</v>
      </c>
    </row>
    <row r="3" spans="2:3" ht="163" thickBot="1" x14ac:dyDescent="0.35">
      <c r="B3" s="147" t="s">
        <v>116</v>
      </c>
      <c r="C3" s="144" t="s">
        <v>444</v>
      </c>
    </row>
    <row r="4" spans="2:3" ht="136" thickBot="1" x14ac:dyDescent="0.35">
      <c r="B4" s="146" t="s">
        <v>117</v>
      </c>
      <c r="C4" s="145" t="s">
        <v>399</v>
      </c>
    </row>
    <row r="6" spans="2:3" x14ac:dyDescent="0.3">
      <c r="C6" s="6" t="s">
        <v>400</v>
      </c>
    </row>
    <row r="7" spans="2:3" x14ac:dyDescent="0.3">
      <c r="B7" s="149">
        <v>1</v>
      </c>
      <c r="C7" s="148"/>
    </row>
    <row r="8" spans="2:3" x14ac:dyDescent="0.3">
      <c r="B8" s="149">
        <v>2</v>
      </c>
      <c r="C8" s="148"/>
    </row>
    <row r="9" spans="2:3" x14ac:dyDescent="0.3">
      <c r="B9" s="149">
        <v>3</v>
      </c>
      <c r="C9" s="148"/>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FF00"/>
  </sheetPr>
  <dimension ref="A2:AJ29"/>
  <sheetViews>
    <sheetView workbookViewId="0"/>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s>
  <sheetData>
    <row r="2" spans="1:36" x14ac:dyDescent="0.2">
      <c r="A2" s="15" t="s">
        <v>151</v>
      </c>
      <c r="E2" s="15" t="s">
        <v>263</v>
      </c>
      <c r="M2" s="15" t="s">
        <v>152</v>
      </c>
      <c r="O2" s="30" t="s">
        <v>153</v>
      </c>
      <c r="P2" s="30" t="s">
        <v>153</v>
      </c>
      <c r="W2" s="30"/>
      <c r="X2" s="30"/>
      <c r="Y2" s="30"/>
      <c r="Z2" s="30"/>
      <c r="AA2" s="30"/>
      <c r="AB2" s="30"/>
      <c r="AC2" s="30"/>
      <c r="AD2" s="30"/>
      <c r="AE2" s="30"/>
      <c r="AF2" s="30"/>
      <c r="AG2" s="30"/>
      <c r="AH2" s="30"/>
      <c r="AI2" s="30"/>
      <c r="AJ2" s="30"/>
    </row>
    <row r="3" spans="1:36" x14ac:dyDescent="0.2">
      <c r="C3" s="17" t="s">
        <v>118</v>
      </c>
      <c r="G3" s="170">
        <f ca="1">K3-1</f>
        <v>2023</v>
      </c>
      <c r="H3" s="170"/>
      <c r="I3" s="170"/>
      <c r="J3" s="170"/>
      <c r="K3" s="18">
        <f ca="1">YEAR(TODAY())</f>
        <v>2024</v>
      </c>
      <c r="O3" s="30" t="s">
        <v>154</v>
      </c>
      <c r="P3" s="30" t="s">
        <v>155</v>
      </c>
      <c r="Q3" s="18" t="s">
        <v>120</v>
      </c>
      <c r="R3" s="18" t="s">
        <v>121</v>
      </c>
      <c r="S3" s="18" t="s">
        <v>122</v>
      </c>
      <c r="T3" s="18" t="s">
        <v>123</v>
      </c>
      <c r="U3" s="18" t="s">
        <v>120</v>
      </c>
      <c r="W3" s="19"/>
      <c r="X3" s="19"/>
      <c r="Y3" s="19"/>
      <c r="Z3" s="19"/>
      <c r="AA3" s="19"/>
      <c r="AB3" s="19"/>
      <c r="AC3" s="19"/>
      <c r="AD3" s="19"/>
      <c r="AE3" s="19"/>
      <c r="AF3" s="19"/>
      <c r="AG3" s="19"/>
      <c r="AH3" s="19"/>
      <c r="AI3" s="19"/>
      <c r="AJ3" s="19"/>
    </row>
    <row r="4" spans="1:36"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c r="W4" s="30"/>
      <c r="X4" s="30"/>
      <c r="Y4" s="30"/>
      <c r="Z4" s="30"/>
      <c r="AA4" s="30"/>
      <c r="AB4" s="30"/>
      <c r="AC4" s="30"/>
    </row>
    <row r="5" spans="1:36" x14ac:dyDescent="0.2">
      <c r="A5" t="s">
        <v>125</v>
      </c>
      <c r="C5" s="22">
        <f>SUM(C6:C8)</f>
        <v>255</v>
      </c>
      <c r="E5" s="15" t="s">
        <v>126</v>
      </c>
      <c r="G5" s="16">
        <f>SUM(G6:G10)</f>
        <v>4</v>
      </c>
      <c r="H5" s="16">
        <f t="shared" ref="H5:K5" si="0">SUM(H6:H10)</f>
        <v>7</v>
      </c>
      <c r="I5" s="16">
        <f t="shared" si="0"/>
        <v>8</v>
      </c>
      <c r="J5" s="16">
        <f t="shared" si="0"/>
        <v>16</v>
      </c>
      <c r="K5" s="16">
        <f t="shared" si="0"/>
        <v>23</v>
      </c>
      <c r="M5" s="23" t="s">
        <v>158</v>
      </c>
      <c r="O5" s="31"/>
      <c r="P5" s="28" t="s">
        <v>159</v>
      </c>
      <c r="Q5" s="32">
        <v>0</v>
      </c>
      <c r="R5" s="32" t="e">
        <f t="shared" ref="R5:U5" si="1">SUM(R6:R8)/R27</f>
        <v>#DIV/0!</v>
      </c>
      <c r="S5" s="32" t="e">
        <f t="shared" si="1"/>
        <v>#DIV/0!</v>
      </c>
      <c r="T5" s="32" t="e">
        <f t="shared" si="1"/>
        <v>#DIV/0!</v>
      </c>
      <c r="U5" s="32" t="e">
        <f t="shared" si="1"/>
        <v>#DIV/0!</v>
      </c>
      <c r="W5" s="33"/>
      <c r="X5" s="33"/>
      <c r="Y5" s="33"/>
      <c r="Z5" s="30"/>
      <c r="AA5" s="30"/>
      <c r="AB5" s="30"/>
      <c r="AC5" s="30"/>
    </row>
    <row r="6" spans="1:36" x14ac:dyDescent="0.2">
      <c r="B6" s="24" t="s">
        <v>127</v>
      </c>
      <c r="C6" s="25">
        <v>250</v>
      </c>
      <c r="F6" s="24" t="s">
        <v>128</v>
      </c>
      <c r="G6" s="30">
        <v>0</v>
      </c>
      <c r="H6" s="30">
        <v>3</v>
      </c>
      <c r="I6" s="30">
        <v>5</v>
      </c>
      <c r="J6" s="30">
        <v>12</v>
      </c>
      <c r="K6" s="30">
        <v>20</v>
      </c>
      <c r="N6" s="24" t="s">
        <v>160</v>
      </c>
      <c r="O6" s="31">
        <v>2E-3</v>
      </c>
      <c r="P6" s="30">
        <v>1</v>
      </c>
      <c r="Q6" s="26">
        <v>250</v>
      </c>
      <c r="R6" s="45"/>
      <c r="S6" s="45"/>
      <c r="T6" s="45"/>
      <c r="U6" s="45"/>
      <c r="W6" s="30"/>
      <c r="X6" s="30"/>
      <c r="Y6" s="30"/>
      <c r="Z6" s="30"/>
      <c r="AA6" s="30"/>
      <c r="AB6" s="30"/>
      <c r="AC6" s="30"/>
    </row>
    <row r="7" spans="1:36" x14ac:dyDescent="0.2">
      <c r="B7" s="24" t="s">
        <v>161</v>
      </c>
      <c r="C7" s="25">
        <v>0</v>
      </c>
      <c r="F7" s="24" t="s">
        <v>162</v>
      </c>
      <c r="G7" s="30">
        <v>2</v>
      </c>
      <c r="H7" s="30">
        <v>2</v>
      </c>
      <c r="I7" s="30">
        <v>2</v>
      </c>
      <c r="J7" s="30">
        <v>3</v>
      </c>
      <c r="K7" s="30">
        <v>3</v>
      </c>
      <c r="N7" s="24" t="s">
        <v>163</v>
      </c>
      <c r="O7" s="31">
        <v>0.01</v>
      </c>
      <c r="P7" s="30">
        <v>2</v>
      </c>
      <c r="Q7" s="26"/>
      <c r="R7" s="45"/>
      <c r="S7" s="45"/>
      <c r="T7" s="45"/>
      <c r="U7" s="45"/>
      <c r="W7" s="30"/>
      <c r="X7" s="30"/>
      <c r="Y7" s="30"/>
      <c r="Z7" s="30"/>
      <c r="AA7" s="30"/>
      <c r="AB7" s="30"/>
      <c r="AC7" s="30"/>
    </row>
    <row r="8" spans="1:36" x14ac:dyDescent="0.2">
      <c r="B8" s="24" t="s">
        <v>129</v>
      </c>
      <c r="C8" s="25">
        <v>5</v>
      </c>
      <c r="F8" s="24" t="s">
        <v>164</v>
      </c>
      <c r="G8" s="30">
        <v>2</v>
      </c>
      <c r="H8" s="30">
        <v>2</v>
      </c>
      <c r="I8" s="30">
        <v>1</v>
      </c>
      <c r="J8" s="30">
        <v>1</v>
      </c>
      <c r="K8" s="30">
        <v>0</v>
      </c>
      <c r="N8" s="24" t="s">
        <v>133</v>
      </c>
      <c r="O8" s="31">
        <v>5.0000000000000001E-3</v>
      </c>
      <c r="P8" s="30">
        <v>2</v>
      </c>
      <c r="Q8" s="26"/>
      <c r="R8" s="45"/>
      <c r="S8" s="45"/>
      <c r="T8" s="45"/>
      <c r="U8" s="45"/>
      <c r="W8" s="30"/>
      <c r="X8" s="30"/>
      <c r="Y8" s="30"/>
      <c r="Z8" s="30"/>
      <c r="AA8" s="30"/>
      <c r="AB8" s="30"/>
      <c r="AC8" s="30"/>
    </row>
    <row r="9" spans="1:36" x14ac:dyDescent="0.2">
      <c r="A9" t="s">
        <v>131</v>
      </c>
      <c r="C9" s="26">
        <f>SUM(C10:C11)</f>
        <v>20</v>
      </c>
      <c r="F9" s="24" t="s">
        <v>165</v>
      </c>
      <c r="G9" s="30">
        <v>0</v>
      </c>
      <c r="H9" s="30">
        <v>0</v>
      </c>
      <c r="I9" s="30">
        <v>0</v>
      </c>
      <c r="J9" s="30">
        <v>0</v>
      </c>
      <c r="K9" s="30">
        <v>0</v>
      </c>
      <c r="M9" s="15" t="s">
        <v>166</v>
      </c>
      <c r="O9" s="31"/>
      <c r="P9" s="28" t="s">
        <v>159</v>
      </c>
      <c r="Q9" s="34">
        <f t="shared" ref="Q9" si="2">SUM(Q10:Q12)/Q27</f>
        <v>0</v>
      </c>
      <c r="R9" s="34" t="e">
        <f t="shared" ref="R9:U9" si="3">SUM(R10:R12)/R27</f>
        <v>#DIV/0!</v>
      </c>
      <c r="S9" s="34" t="e">
        <f t="shared" si="3"/>
        <v>#DIV/0!</v>
      </c>
      <c r="T9" s="34" t="e">
        <f t="shared" si="3"/>
        <v>#DIV/0!</v>
      </c>
      <c r="U9" s="34" t="e">
        <f t="shared" si="3"/>
        <v>#DIV/0!</v>
      </c>
      <c r="W9" s="33"/>
      <c r="X9" s="33"/>
      <c r="Y9" s="33"/>
      <c r="Z9" s="30"/>
      <c r="AA9" s="30"/>
      <c r="AB9" s="30"/>
      <c r="AC9" s="30"/>
    </row>
    <row r="10" spans="1:36" x14ac:dyDescent="0.2">
      <c r="B10" s="24" t="s">
        <v>132</v>
      </c>
      <c r="C10" s="25">
        <v>20</v>
      </c>
      <c r="F10" s="24" t="s">
        <v>133</v>
      </c>
      <c r="G10" s="30">
        <v>0</v>
      </c>
      <c r="H10" s="30">
        <v>0</v>
      </c>
      <c r="I10" s="30">
        <v>0</v>
      </c>
      <c r="J10" s="30">
        <v>0</v>
      </c>
      <c r="K10" s="30">
        <v>0</v>
      </c>
      <c r="N10" s="24" t="s">
        <v>167</v>
      </c>
      <c r="O10" s="31">
        <v>0.02</v>
      </c>
      <c r="P10" s="30">
        <v>2</v>
      </c>
      <c r="Q10" s="26"/>
      <c r="R10" s="45"/>
      <c r="S10" s="45"/>
      <c r="T10" s="45"/>
      <c r="U10" s="45"/>
      <c r="W10" s="30"/>
      <c r="X10" s="30"/>
      <c r="Y10" s="30"/>
      <c r="Z10" s="30"/>
      <c r="AA10" s="30"/>
      <c r="AB10" s="30"/>
      <c r="AC10" s="30"/>
    </row>
    <row r="11" spans="1:36" x14ac:dyDescent="0.2">
      <c r="B11" s="24" t="s">
        <v>134</v>
      </c>
      <c r="C11" s="25">
        <v>0</v>
      </c>
      <c r="E11" s="15" t="s">
        <v>135</v>
      </c>
      <c r="G11" s="35">
        <f>SUM(G12:G18)</f>
        <v>-36</v>
      </c>
      <c r="H11" s="35">
        <f t="shared" ref="H11:K11" si="4">SUM(H12:H18)</f>
        <v>-50</v>
      </c>
      <c r="I11" s="35">
        <f t="shared" si="4"/>
        <v>-56</v>
      </c>
      <c r="J11" s="35">
        <f t="shared" si="4"/>
        <v>-62</v>
      </c>
      <c r="K11" s="35">
        <f t="shared" si="4"/>
        <v>-33</v>
      </c>
      <c r="N11" s="24" t="s">
        <v>168</v>
      </c>
      <c r="O11" s="31">
        <v>0.03</v>
      </c>
      <c r="P11" s="30">
        <v>5</v>
      </c>
      <c r="Q11" s="26"/>
      <c r="R11" s="45"/>
      <c r="S11" s="45"/>
      <c r="T11" s="45"/>
      <c r="U11" s="45"/>
      <c r="W11" s="30"/>
      <c r="X11" s="30"/>
      <c r="Y11" s="30"/>
      <c r="Z11" s="30"/>
      <c r="AA11" s="30"/>
      <c r="AB11" s="30"/>
      <c r="AC11" s="30"/>
    </row>
    <row r="12" spans="1:36" x14ac:dyDescent="0.2">
      <c r="A12" t="s">
        <v>147</v>
      </c>
      <c r="C12" s="26"/>
      <c r="F12" s="24" t="s">
        <v>137</v>
      </c>
      <c r="G12" s="36">
        <v>-1</v>
      </c>
      <c r="H12" s="36">
        <v>-2</v>
      </c>
      <c r="I12" s="36">
        <v>-4</v>
      </c>
      <c r="J12" s="36">
        <v>-5</v>
      </c>
      <c r="K12" s="36">
        <v>-5</v>
      </c>
      <c r="N12" s="24" t="s">
        <v>133</v>
      </c>
      <c r="O12" s="31">
        <v>0.04</v>
      </c>
      <c r="P12" s="30">
        <v>5</v>
      </c>
      <c r="Q12" s="26"/>
      <c r="R12" s="45"/>
      <c r="S12" s="45"/>
      <c r="T12" s="45"/>
      <c r="U12" s="45"/>
      <c r="W12" s="30"/>
      <c r="X12" s="30"/>
      <c r="Y12" s="30"/>
      <c r="Z12" s="30"/>
      <c r="AA12" s="30"/>
      <c r="AB12" s="30"/>
      <c r="AC12" s="30"/>
    </row>
    <row r="13" spans="1:36" x14ac:dyDescent="0.2">
      <c r="B13" t="s">
        <v>169</v>
      </c>
      <c r="C13" s="27">
        <v>40</v>
      </c>
      <c r="F13" s="24" t="s">
        <v>170</v>
      </c>
      <c r="G13" s="36">
        <v>-4</v>
      </c>
      <c r="H13" s="36">
        <v>-8</v>
      </c>
      <c r="I13" s="36">
        <v>-12</v>
      </c>
      <c r="J13" s="36">
        <v>-15</v>
      </c>
      <c r="K13" s="36">
        <v>-18</v>
      </c>
      <c r="M13" s="15" t="s">
        <v>171</v>
      </c>
      <c r="O13" s="31"/>
      <c r="P13" s="28" t="s">
        <v>159</v>
      </c>
      <c r="Q13" s="34">
        <f t="shared" ref="Q13" si="5">SUM(Q14:Q17)/Q27</f>
        <v>0</v>
      </c>
      <c r="R13" s="34" t="e">
        <f t="shared" ref="R13:U13" si="6">SUM(R14:R17)/R27</f>
        <v>#DIV/0!</v>
      </c>
      <c r="S13" s="34" t="e">
        <f t="shared" si="6"/>
        <v>#DIV/0!</v>
      </c>
      <c r="T13" s="34" t="e">
        <f t="shared" si="6"/>
        <v>#DIV/0!</v>
      </c>
      <c r="U13" s="34" t="e">
        <f t="shared" si="6"/>
        <v>#DIV/0!</v>
      </c>
      <c r="W13" s="33"/>
      <c r="X13" s="33"/>
      <c r="Y13" s="33"/>
      <c r="Z13" s="30"/>
      <c r="AA13" s="30"/>
      <c r="AB13" s="30"/>
      <c r="AC13" s="30"/>
    </row>
    <row r="14" spans="1:36" x14ac:dyDescent="0.2">
      <c r="B14" s="15" t="s">
        <v>136</v>
      </c>
      <c r="C14" s="18">
        <f>SUM(C5,C9,C13)</f>
        <v>315</v>
      </c>
      <c r="F14" s="24" t="s">
        <v>172</v>
      </c>
      <c r="G14" s="36">
        <v>0</v>
      </c>
      <c r="H14" s="36">
        <v>0</v>
      </c>
      <c r="I14" s="36">
        <v>0</v>
      </c>
      <c r="J14" s="36">
        <v>-2</v>
      </c>
      <c r="K14" s="36">
        <v>0</v>
      </c>
      <c r="N14" s="24" t="s">
        <v>173</v>
      </c>
      <c r="O14" s="31">
        <v>0.04</v>
      </c>
      <c r="P14" s="30">
        <v>2</v>
      </c>
      <c r="Q14" s="26"/>
      <c r="R14" s="45"/>
      <c r="S14" s="45"/>
      <c r="T14" s="45"/>
      <c r="U14" s="45"/>
      <c r="W14" s="30"/>
      <c r="X14" s="30"/>
      <c r="Y14" s="30"/>
      <c r="Z14" s="30"/>
      <c r="AA14" s="30"/>
      <c r="AB14" s="30"/>
      <c r="AC14" s="30"/>
    </row>
    <row r="15" spans="1:36" x14ac:dyDescent="0.2">
      <c r="F15" s="24" t="s">
        <v>142</v>
      </c>
      <c r="G15" s="36">
        <v>-30</v>
      </c>
      <c r="H15" s="36">
        <v>-40</v>
      </c>
      <c r="I15" s="36">
        <v>-40</v>
      </c>
      <c r="J15" s="36">
        <v>-40</v>
      </c>
      <c r="K15" s="36">
        <v>-10</v>
      </c>
      <c r="N15" s="24" t="s">
        <v>174</v>
      </c>
      <c r="O15" s="31">
        <v>0.04</v>
      </c>
      <c r="P15" s="30">
        <v>2</v>
      </c>
      <c r="Q15" s="26"/>
      <c r="R15" s="45"/>
      <c r="S15" s="45"/>
      <c r="T15" s="45"/>
      <c r="U15" s="45"/>
      <c r="W15" s="30"/>
      <c r="X15" s="30"/>
      <c r="Y15" s="30"/>
      <c r="Z15" s="30"/>
      <c r="AA15" s="30"/>
      <c r="AB15" s="30"/>
      <c r="AC15" s="30"/>
    </row>
    <row r="16" spans="1:36" x14ac:dyDescent="0.2">
      <c r="B16" s="15" t="s">
        <v>138</v>
      </c>
      <c r="F16" s="24" t="s">
        <v>165</v>
      </c>
      <c r="G16" s="36">
        <v>0</v>
      </c>
      <c r="H16" s="36">
        <v>0</v>
      </c>
      <c r="I16" s="36">
        <v>0</v>
      </c>
      <c r="J16" s="36">
        <v>0</v>
      </c>
      <c r="K16" s="36">
        <v>0</v>
      </c>
      <c r="N16" s="24" t="s">
        <v>175</v>
      </c>
      <c r="O16" s="31">
        <v>0.03</v>
      </c>
      <c r="P16" s="30">
        <v>5</v>
      </c>
      <c r="Q16" s="26"/>
      <c r="R16" s="45"/>
      <c r="S16" s="45"/>
      <c r="T16" s="45"/>
      <c r="U16" s="45"/>
      <c r="W16" s="30"/>
      <c r="X16" s="30"/>
      <c r="Y16" s="30"/>
      <c r="Z16" s="30"/>
      <c r="AA16" s="30"/>
      <c r="AB16" s="30"/>
      <c r="AC16" s="30"/>
    </row>
    <row r="17" spans="1:33" x14ac:dyDescent="0.2">
      <c r="A17" t="s">
        <v>139</v>
      </c>
      <c r="C17" s="22">
        <f>SUM(C18:C19)</f>
        <v>10</v>
      </c>
      <c r="F17" s="24" t="s">
        <v>176</v>
      </c>
      <c r="G17" s="36">
        <v>-1</v>
      </c>
      <c r="H17" s="36">
        <v>0</v>
      </c>
      <c r="I17" s="36">
        <v>0</v>
      </c>
      <c r="J17" s="36">
        <v>0</v>
      </c>
      <c r="K17" s="36">
        <v>0</v>
      </c>
      <c r="N17" s="24" t="s">
        <v>133</v>
      </c>
      <c r="O17" s="31">
        <v>0.04</v>
      </c>
      <c r="P17" s="30">
        <v>5</v>
      </c>
      <c r="Q17" s="26"/>
      <c r="R17" s="45"/>
      <c r="S17" s="45"/>
      <c r="T17" s="45"/>
      <c r="U17" s="45"/>
      <c r="W17" s="30"/>
      <c r="X17" s="30"/>
      <c r="Y17" s="30"/>
      <c r="Z17" s="30"/>
      <c r="AA17" s="30"/>
      <c r="AB17" s="30"/>
      <c r="AC17" s="30"/>
    </row>
    <row r="18" spans="1:33" x14ac:dyDescent="0.2">
      <c r="B18" s="24" t="s">
        <v>130</v>
      </c>
      <c r="C18" s="25">
        <v>10</v>
      </c>
      <c r="F18" s="24" t="s">
        <v>133</v>
      </c>
      <c r="G18" s="30">
        <v>0</v>
      </c>
      <c r="H18" s="30">
        <v>0</v>
      </c>
      <c r="I18" s="30">
        <v>0</v>
      </c>
      <c r="J18" s="30">
        <v>0</v>
      </c>
      <c r="K18" s="30">
        <v>0</v>
      </c>
      <c r="M18" s="15" t="s">
        <v>177</v>
      </c>
      <c r="O18" s="31"/>
      <c r="P18" s="28" t="s">
        <v>159</v>
      </c>
      <c r="Q18" s="34">
        <f t="shared" ref="Q18" si="7">SUM(Q19:Q21)/Q27</f>
        <v>0</v>
      </c>
      <c r="R18" s="34" t="e">
        <f t="shared" ref="R18:U18" si="8">SUM(R19:R21)/R27</f>
        <v>#DIV/0!</v>
      </c>
      <c r="S18" s="34" t="e">
        <f t="shared" si="8"/>
        <v>#DIV/0!</v>
      </c>
      <c r="T18" s="34" t="e">
        <f t="shared" si="8"/>
        <v>#DIV/0!</v>
      </c>
      <c r="U18" s="34" t="e">
        <f t="shared" si="8"/>
        <v>#DIV/0!</v>
      </c>
      <c r="W18" s="33"/>
      <c r="X18" s="33"/>
      <c r="Y18" s="33"/>
      <c r="Z18" s="30"/>
      <c r="AA18" s="30"/>
      <c r="AB18" s="30"/>
      <c r="AC18" s="30"/>
    </row>
    <row r="19" spans="1:33" x14ac:dyDescent="0.2">
      <c r="B19" s="24" t="s">
        <v>140</v>
      </c>
      <c r="C19" s="25">
        <v>0</v>
      </c>
      <c r="E19" s="15" t="s">
        <v>145</v>
      </c>
      <c r="G19" s="35">
        <f>SUM(G5,G11)</f>
        <v>-32</v>
      </c>
      <c r="H19" s="35">
        <f t="shared" ref="H19:K19" si="9">SUM(H5,H11)</f>
        <v>-43</v>
      </c>
      <c r="I19" s="35">
        <f t="shared" si="9"/>
        <v>-48</v>
      </c>
      <c r="J19" s="35">
        <f t="shared" si="9"/>
        <v>-46</v>
      </c>
      <c r="K19" s="35">
        <f t="shared" si="9"/>
        <v>-10</v>
      </c>
      <c r="N19" s="24" t="s">
        <v>178</v>
      </c>
      <c r="O19" s="31">
        <v>0.02</v>
      </c>
      <c r="P19" s="30">
        <v>1</v>
      </c>
      <c r="Q19" s="26"/>
      <c r="R19" s="45"/>
      <c r="S19" s="45"/>
      <c r="T19" s="45"/>
      <c r="U19" s="45"/>
      <c r="W19" s="30"/>
      <c r="X19" s="30"/>
      <c r="Y19" s="30"/>
      <c r="Z19" s="30"/>
      <c r="AA19" s="30"/>
      <c r="AB19" s="30"/>
      <c r="AC19" s="30"/>
    </row>
    <row r="20" spans="1:33" x14ac:dyDescent="0.2">
      <c r="A20" t="s">
        <v>179</v>
      </c>
      <c r="C20" s="26">
        <f>SUM(C21)</f>
        <v>0</v>
      </c>
      <c r="N20" s="24" t="s">
        <v>180</v>
      </c>
      <c r="O20" s="31">
        <v>0.03</v>
      </c>
      <c r="P20" s="30">
        <v>5</v>
      </c>
      <c r="Q20" s="26"/>
      <c r="R20" s="45"/>
      <c r="S20" s="45"/>
      <c r="T20" s="45"/>
      <c r="U20" s="45"/>
      <c r="W20" s="30"/>
      <c r="X20" s="30"/>
      <c r="Y20" s="30"/>
      <c r="Z20" s="30"/>
      <c r="AA20" s="30"/>
      <c r="AB20" s="30"/>
      <c r="AC20" s="30"/>
    </row>
    <row r="21" spans="1:33" x14ac:dyDescent="0.2">
      <c r="B21" t="s">
        <v>141</v>
      </c>
      <c r="C21" s="26">
        <v>0</v>
      </c>
      <c r="F21" s="24" t="s">
        <v>146</v>
      </c>
      <c r="G21" s="30">
        <f>C6</f>
        <v>250</v>
      </c>
      <c r="H21" s="36">
        <v>1</v>
      </c>
      <c r="I21" s="30">
        <v>2</v>
      </c>
      <c r="J21" s="30">
        <v>3</v>
      </c>
      <c r="K21" s="30">
        <v>2</v>
      </c>
      <c r="N21" s="24" t="s">
        <v>181</v>
      </c>
      <c r="O21" s="31">
        <v>1E-3</v>
      </c>
      <c r="P21" s="30">
        <v>5</v>
      </c>
      <c r="Q21" s="26"/>
      <c r="R21" s="45"/>
      <c r="S21" s="45"/>
      <c r="T21" s="45"/>
      <c r="U21" s="45"/>
      <c r="W21" s="30"/>
      <c r="X21" s="30"/>
      <c r="Y21" s="30"/>
      <c r="Z21" s="30"/>
      <c r="AA21" s="30"/>
      <c r="AB21" s="30"/>
      <c r="AC21" s="30"/>
    </row>
    <row r="22" spans="1:33" x14ac:dyDescent="0.2">
      <c r="A22" t="s">
        <v>143</v>
      </c>
      <c r="C22" s="27">
        <v>305</v>
      </c>
      <c r="F22" s="24" t="s">
        <v>182</v>
      </c>
      <c r="G22" s="30">
        <f>SUM(C7,C11)</f>
        <v>0</v>
      </c>
      <c r="H22" s="30">
        <v>217</v>
      </c>
      <c r="I22" s="30">
        <v>173</v>
      </c>
      <c r="J22" s="30">
        <v>124</v>
      </c>
      <c r="K22" s="30">
        <v>79</v>
      </c>
      <c r="M22" s="15" t="s">
        <v>183</v>
      </c>
      <c r="O22" s="31"/>
      <c r="P22" s="28" t="s">
        <v>159</v>
      </c>
      <c r="Q22" s="34">
        <f t="shared" ref="Q22" si="10">SUM(Q23:Q25)/Q27</f>
        <v>0</v>
      </c>
      <c r="R22" s="34" t="e">
        <f t="shared" ref="R22:U22" si="11">SUM(R23:R25)/R27</f>
        <v>#DIV/0!</v>
      </c>
      <c r="S22" s="34" t="e">
        <f t="shared" si="11"/>
        <v>#DIV/0!</v>
      </c>
      <c r="T22" s="34" t="e">
        <f t="shared" si="11"/>
        <v>#DIV/0!</v>
      </c>
      <c r="U22" s="34" t="e">
        <f t="shared" si="11"/>
        <v>#DIV/0!</v>
      </c>
      <c r="W22" s="33"/>
      <c r="X22" s="33"/>
      <c r="Y22" s="33"/>
      <c r="Z22" s="30"/>
      <c r="AA22" s="30"/>
      <c r="AB22" s="30"/>
      <c r="AC22" s="30"/>
    </row>
    <row r="23" spans="1:33" x14ac:dyDescent="0.2">
      <c r="B23" s="15" t="s">
        <v>144</v>
      </c>
      <c r="C23" s="18">
        <f>SUM(C17,C20,C22)</f>
        <v>315</v>
      </c>
      <c r="F23" s="24" t="s">
        <v>184</v>
      </c>
      <c r="G23" s="30">
        <f>SUM(C19,C21)</f>
        <v>0</v>
      </c>
      <c r="H23" s="30">
        <f>SUM(D19,D21)</f>
        <v>0</v>
      </c>
      <c r="I23" s="30">
        <f>SUM(E19,F22)</f>
        <v>0</v>
      </c>
      <c r="J23" s="30">
        <v>0</v>
      </c>
      <c r="K23" s="30">
        <v>0</v>
      </c>
      <c r="N23" s="24" t="s">
        <v>185</v>
      </c>
      <c r="O23" s="31">
        <v>0.12</v>
      </c>
      <c r="P23" s="30">
        <v>90</v>
      </c>
      <c r="Q23" s="26"/>
      <c r="R23" s="45"/>
      <c r="S23" s="45"/>
      <c r="T23" s="45"/>
      <c r="U23" s="45"/>
      <c r="W23" s="30"/>
      <c r="X23" s="30"/>
      <c r="Y23" s="30"/>
      <c r="Z23" s="30"/>
      <c r="AA23" s="30"/>
      <c r="AB23" s="30"/>
      <c r="AC23" s="30"/>
    </row>
    <row r="24" spans="1:33" x14ac:dyDescent="0.2">
      <c r="E24" s="15" t="s">
        <v>186</v>
      </c>
      <c r="G24" s="16"/>
      <c r="H24" s="35">
        <f>SUM(H21:H23)-SUM(G21:G23)</f>
        <v>-32</v>
      </c>
      <c r="I24" s="35">
        <f t="shared" ref="I24:K24" si="12">SUM(I21:I23)-SUM(H21:H23)</f>
        <v>-43</v>
      </c>
      <c r="J24" s="35">
        <f t="shared" si="12"/>
        <v>-48</v>
      </c>
      <c r="K24" s="35">
        <f t="shared" si="12"/>
        <v>-46</v>
      </c>
      <c r="N24" s="24" t="s">
        <v>187</v>
      </c>
      <c r="O24" s="31">
        <v>0.15</v>
      </c>
      <c r="P24" s="30">
        <v>180</v>
      </c>
      <c r="Q24" s="26"/>
      <c r="R24" s="45"/>
      <c r="S24" s="45"/>
      <c r="T24" s="45"/>
      <c r="U24" s="45"/>
      <c r="W24" s="30"/>
      <c r="X24" s="30"/>
      <c r="Y24" s="30"/>
      <c r="Z24" s="30"/>
      <c r="AA24" s="30"/>
      <c r="AB24" s="30"/>
      <c r="AC24" s="30"/>
    </row>
    <row r="25" spans="1:33" x14ac:dyDescent="0.2">
      <c r="N25" s="24" t="s">
        <v>188</v>
      </c>
      <c r="O25" s="31">
        <v>0.1</v>
      </c>
      <c r="P25" s="30">
        <v>90</v>
      </c>
      <c r="Q25" s="27"/>
      <c r="R25" s="139"/>
      <c r="S25" s="139"/>
      <c r="T25" s="139"/>
      <c r="U25" s="139"/>
      <c r="W25" s="30"/>
      <c r="X25" s="30"/>
      <c r="Y25" s="30"/>
      <c r="Z25" s="30"/>
      <c r="AA25" s="30"/>
      <c r="AB25" s="30"/>
      <c r="AC25" s="30"/>
    </row>
    <row r="26" spans="1:33" x14ac:dyDescent="0.2">
      <c r="N26" s="15" t="s">
        <v>189</v>
      </c>
      <c r="W26" s="33"/>
      <c r="X26" s="33"/>
      <c r="Y26" s="33"/>
      <c r="Z26" s="30"/>
      <c r="AA26" s="30"/>
      <c r="AB26" s="30"/>
      <c r="AC26" s="30"/>
      <c r="AD26" s="30"/>
      <c r="AE26" s="30"/>
      <c r="AF26" s="30"/>
      <c r="AG26" s="30"/>
    </row>
    <row r="27" spans="1:33" x14ac:dyDescent="0.2">
      <c r="Q27" s="30">
        <f>SUM(Q6:Q8,Q10:Q12,Q14:Q17,Q19:Q21,Q23:Q25)</f>
        <v>250</v>
      </c>
      <c r="R27" s="30">
        <f t="shared" ref="R27:U27" si="13">SUM(R6:R8,R10:R12,R14:R17,R19:R21,R23:R25)</f>
        <v>0</v>
      </c>
      <c r="S27" s="30">
        <f t="shared" si="13"/>
        <v>0</v>
      </c>
      <c r="T27" s="30">
        <f t="shared" si="13"/>
        <v>0</v>
      </c>
      <c r="U27" s="30">
        <f t="shared" si="13"/>
        <v>0</v>
      </c>
    </row>
    <row r="28" spans="1:33" x14ac:dyDescent="0.2">
      <c r="N28" s="24" t="s">
        <v>190</v>
      </c>
      <c r="Q28" s="30">
        <v>0</v>
      </c>
      <c r="R28" s="29" t="e">
        <f t="shared" ref="R28:T28" si="14">SUM(R6*$P$6+R7*$P$7+R8*$P$8+R10*$P$10+R11*$P$11+R12*$P$12+R14*$P$14+R15*$P$15+R16*$P$16+R17*$P$17+R19*$P$19+R20*$P$20+R21*$P$21+R23*$P$23+R24*$P$24+R25*$P$25)/R27</f>
        <v>#DIV/0!</v>
      </c>
      <c r="S28" s="29" t="e">
        <f t="shared" si="14"/>
        <v>#DIV/0!</v>
      </c>
      <c r="T28" s="29" t="e">
        <f t="shared" si="14"/>
        <v>#DIV/0!</v>
      </c>
      <c r="U28" s="29" t="e">
        <f>SUM(U6*$P$6+U7*$P$7+U8*$P$8+U10*$P$10+U11*$P$11+U12*$P$12+U14*$P$14+U15*$P$15+U16*$P$16+U17*$P$17+U19*$P$19+U20*$P$20+U21*$P$21+U23*$P$23+U24*$P$24+U25*$P$25)/U27</f>
        <v>#DIV/0!</v>
      </c>
    </row>
    <row r="29" spans="1:33" x14ac:dyDescent="0.2">
      <c r="N29" s="24" t="s">
        <v>210</v>
      </c>
      <c r="Q29" s="31">
        <f>SUM(Q6*$O$6+Q7*$O$7+Q8*$O$8+Q10*$O$10+Q11*$O$11+Q12*$O$12+Q14*$O$14+Q15*$O$15+Q16*$O$16+Q17*$O$17+Q19*$O$19+Q20*$O$20+Q21*$O$21+Q23*$O$23+Q24*$O$24+Q25*$O$25)/Q27</f>
        <v>2E-3</v>
      </c>
      <c r="R29" s="31" t="e">
        <f t="shared" ref="R29:U29" si="15">SUM(R6*$O$6+R7*$O$7+R8*$O$8+R10*$O$10+R11*$O$11+R12*$O$12+R14*$O$14+R15*$O$15+R16*$O$16+R17*$O$17+R19*$O$19+R20*$O$20+R21*$O$21+R23*$O$23+R24*$O$24+R25*$O$25)/R27</f>
        <v>#DIV/0!</v>
      </c>
      <c r="S29" s="31" t="e">
        <f t="shared" si="15"/>
        <v>#DIV/0!</v>
      </c>
      <c r="T29" s="31" t="e">
        <f t="shared" si="15"/>
        <v>#DIV/0!</v>
      </c>
      <c r="U29" s="31" t="e">
        <f t="shared" si="15"/>
        <v>#DIV/0!</v>
      </c>
    </row>
  </sheetData>
  <mergeCells count="1">
    <mergeCell ref="G3:J3"/>
  </mergeCells>
  <pageMargins left="0.7" right="0.7" top="0.75" bottom="0.75" header="0.3" footer="0.3"/>
  <pageSetup orientation="portrait" horizontalDpi="4294967294"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C12"/>
  <sheetViews>
    <sheetView workbookViewId="0"/>
  </sheetViews>
  <sheetFormatPr baseColWidth="10" defaultColWidth="10.83203125" defaultRowHeight="29" x14ac:dyDescent="0.35"/>
  <cols>
    <col min="1" max="1" width="4.5" style="8" customWidth="1"/>
    <col min="2" max="2" width="26.5" style="8" customWidth="1"/>
    <col min="3" max="3" width="170.83203125" style="8" customWidth="1"/>
    <col min="4" max="16384" width="10.83203125" style="8"/>
  </cols>
  <sheetData>
    <row r="1" spans="1:3" ht="30" thickBot="1" x14ac:dyDescent="0.4">
      <c r="A1" s="6"/>
      <c r="B1" s="6"/>
      <c r="C1" s="6"/>
    </row>
    <row r="2" spans="1:3" ht="30" thickBot="1" x14ac:dyDescent="0.4">
      <c r="A2" s="6"/>
      <c r="B2" s="141" t="s">
        <v>115</v>
      </c>
      <c r="C2" s="142" t="s">
        <v>191</v>
      </c>
    </row>
    <row r="3" spans="1:3" ht="190" thickBot="1" x14ac:dyDescent="0.4">
      <c r="A3" s="6"/>
      <c r="B3" s="143" t="s">
        <v>116</v>
      </c>
      <c r="C3" s="144" t="s">
        <v>443</v>
      </c>
    </row>
    <row r="4" spans="1:3" ht="82" thickBot="1" x14ac:dyDescent="0.4">
      <c r="B4" s="141" t="s">
        <v>117</v>
      </c>
      <c r="C4" s="145" t="s">
        <v>401</v>
      </c>
    </row>
    <row r="6" spans="1:3" x14ac:dyDescent="0.35">
      <c r="B6" s="140"/>
      <c r="C6" s="6" t="s">
        <v>400</v>
      </c>
    </row>
    <row r="7" spans="1:3" x14ac:dyDescent="0.35">
      <c r="B7" s="149">
        <v>1</v>
      </c>
      <c r="C7" s="148"/>
    </row>
    <row r="8" spans="1:3" x14ac:dyDescent="0.35">
      <c r="B8" s="149">
        <v>2</v>
      </c>
      <c r="C8" s="148"/>
    </row>
    <row r="9" spans="1:3" x14ac:dyDescent="0.35">
      <c r="B9" s="149">
        <v>3</v>
      </c>
      <c r="C9" s="148"/>
    </row>
    <row r="10" spans="1:3" x14ac:dyDescent="0.35">
      <c r="B10" s="140"/>
      <c r="C10" s="6"/>
    </row>
    <row r="11" spans="1:3" x14ac:dyDescent="0.35">
      <c r="C11" s="8" t="s">
        <v>402</v>
      </c>
    </row>
    <row r="12" spans="1:3" x14ac:dyDescent="0.35">
      <c r="B12" s="149"/>
      <c r="C12" s="148"/>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2:U30"/>
  <sheetViews>
    <sheetView workbookViewId="0"/>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 min="17" max="17" width="9.6640625" bestFit="1" customWidth="1"/>
  </cols>
  <sheetData>
    <row r="2" spans="1:21" x14ac:dyDescent="0.2">
      <c r="A2" s="15" t="s">
        <v>192</v>
      </c>
      <c r="E2" s="15" t="s">
        <v>193</v>
      </c>
      <c r="M2" s="15" t="s">
        <v>194</v>
      </c>
      <c r="O2" s="30" t="s">
        <v>153</v>
      </c>
      <c r="P2" s="30" t="s">
        <v>153</v>
      </c>
    </row>
    <row r="3" spans="1:21" x14ac:dyDescent="0.2">
      <c r="C3" s="17" t="s">
        <v>118</v>
      </c>
      <c r="G3" s="170">
        <v>2020</v>
      </c>
      <c r="H3" s="170"/>
      <c r="I3" s="170"/>
      <c r="J3" s="170"/>
      <c r="K3" s="18">
        <v>2021</v>
      </c>
      <c r="O3" s="30" t="s">
        <v>154</v>
      </c>
      <c r="P3" s="30" t="s">
        <v>155</v>
      </c>
      <c r="Q3" s="18" t="s">
        <v>120</v>
      </c>
      <c r="R3" s="18" t="s">
        <v>121</v>
      </c>
      <c r="S3" s="18" t="s">
        <v>122</v>
      </c>
      <c r="T3" s="18" t="s">
        <v>123</v>
      </c>
      <c r="U3" s="18" t="s">
        <v>120</v>
      </c>
    </row>
    <row r="4" spans="1:21"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row>
    <row r="5" spans="1:21" x14ac:dyDescent="0.2">
      <c r="C5" s="22"/>
      <c r="E5" s="15" t="s">
        <v>126</v>
      </c>
      <c r="G5" s="16">
        <f>SUM(G6:G10)</f>
        <v>5</v>
      </c>
      <c r="H5" s="16">
        <f t="shared" ref="H5:K5" si="0">SUM(H6:H10)</f>
        <v>7</v>
      </c>
      <c r="I5" s="16">
        <f t="shared" si="0"/>
        <v>7</v>
      </c>
      <c r="J5" s="16">
        <f t="shared" si="0"/>
        <v>9</v>
      </c>
      <c r="K5" s="16">
        <f t="shared" si="0"/>
        <v>7</v>
      </c>
      <c r="M5" s="23" t="s">
        <v>158</v>
      </c>
      <c r="O5" s="31"/>
      <c r="P5" s="28" t="s">
        <v>159</v>
      </c>
      <c r="Q5" s="32">
        <f>SUM(Q6:Q8)/Q27</f>
        <v>3.7499999999999999E-2</v>
      </c>
      <c r="R5" s="32" t="e">
        <f>SUM(R6:R8)/R27</f>
        <v>#DIV/0!</v>
      </c>
      <c r="S5" s="32" t="e">
        <f>SUM(S6:S8)/S27</f>
        <v>#DIV/0!</v>
      </c>
      <c r="T5" s="32" t="e">
        <f>SUM(T6:T8)/T27</f>
        <v>#DIV/0!</v>
      </c>
      <c r="U5" s="32" t="e">
        <f>SUM(U6:U8)/U27</f>
        <v>#DIV/0!</v>
      </c>
    </row>
    <row r="6" spans="1:21" x14ac:dyDescent="0.2">
      <c r="B6" s="37" t="s">
        <v>127</v>
      </c>
      <c r="C6" s="38">
        <v>1</v>
      </c>
      <c r="F6" s="24" t="s">
        <v>195</v>
      </c>
      <c r="G6" s="30">
        <v>3</v>
      </c>
      <c r="H6" s="30">
        <v>4</v>
      </c>
      <c r="I6" s="30">
        <v>4</v>
      </c>
      <c r="J6" s="30">
        <v>5</v>
      </c>
      <c r="K6" s="30">
        <v>4</v>
      </c>
      <c r="N6" s="24" t="s">
        <v>160</v>
      </c>
      <c r="O6" s="31">
        <v>2E-3</v>
      </c>
      <c r="P6" s="30">
        <v>1</v>
      </c>
      <c r="Q6" s="26">
        <v>2</v>
      </c>
      <c r="R6" s="45"/>
      <c r="S6" s="45"/>
      <c r="T6" s="45"/>
      <c r="U6" s="45"/>
    </row>
    <row r="7" spans="1:21" x14ac:dyDescent="0.2">
      <c r="B7" s="37" t="s">
        <v>196</v>
      </c>
      <c r="C7" s="38">
        <v>4</v>
      </c>
      <c r="F7" s="24" t="s">
        <v>197</v>
      </c>
      <c r="G7" s="30">
        <v>1</v>
      </c>
      <c r="H7" s="30">
        <v>2</v>
      </c>
      <c r="I7" s="30">
        <v>2</v>
      </c>
      <c r="J7" s="30">
        <v>3</v>
      </c>
      <c r="K7" s="30">
        <v>2</v>
      </c>
      <c r="N7" s="24" t="s">
        <v>163</v>
      </c>
      <c r="O7" s="31">
        <v>0.01</v>
      </c>
      <c r="P7" s="30">
        <v>2</v>
      </c>
      <c r="Q7" s="26">
        <v>1</v>
      </c>
      <c r="R7" s="45"/>
      <c r="S7" s="45"/>
      <c r="T7" s="45"/>
      <c r="U7" s="45"/>
    </row>
    <row r="8" spans="1:21" x14ac:dyDescent="0.2">
      <c r="B8" s="37" t="s">
        <v>198</v>
      </c>
      <c r="C8" s="38">
        <v>8</v>
      </c>
      <c r="F8" s="24" t="s">
        <v>164</v>
      </c>
      <c r="G8" s="30">
        <v>1</v>
      </c>
      <c r="H8" s="30">
        <v>1</v>
      </c>
      <c r="I8" s="30">
        <v>1</v>
      </c>
      <c r="J8" s="30">
        <v>1</v>
      </c>
      <c r="K8" s="30">
        <v>1</v>
      </c>
      <c r="N8" s="24" t="s">
        <v>133</v>
      </c>
      <c r="O8" s="31">
        <v>5.0000000000000001E-3</v>
      </c>
      <c r="P8" s="30">
        <v>2</v>
      </c>
      <c r="Q8" s="26">
        <v>0</v>
      </c>
      <c r="R8" s="45"/>
      <c r="S8" s="45"/>
      <c r="T8" s="45"/>
      <c r="U8" s="45"/>
    </row>
    <row r="9" spans="1:21" x14ac:dyDescent="0.2">
      <c r="B9" s="37" t="s">
        <v>164</v>
      </c>
      <c r="C9" s="38">
        <v>80</v>
      </c>
      <c r="F9" s="24" t="s">
        <v>165</v>
      </c>
      <c r="G9" s="30">
        <v>0</v>
      </c>
      <c r="H9" s="30">
        <v>0</v>
      </c>
      <c r="I9" s="30">
        <v>0</v>
      </c>
      <c r="J9" s="30">
        <v>0</v>
      </c>
      <c r="K9" s="30">
        <v>0</v>
      </c>
      <c r="M9" s="15" t="s">
        <v>166</v>
      </c>
      <c r="O9" s="31"/>
      <c r="P9" s="28" t="s">
        <v>159</v>
      </c>
      <c r="Q9" s="34">
        <f>SUM(Q10:Q12)/Q27</f>
        <v>0.71250000000000002</v>
      </c>
      <c r="R9" s="34" t="e">
        <f>SUM(R10:R12)/R27</f>
        <v>#DIV/0!</v>
      </c>
      <c r="S9" s="34" t="e">
        <f>SUM(S10:S12)/S27</f>
        <v>#DIV/0!</v>
      </c>
      <c r="T9" s="34" t="e">
        <f>SUM(T10:T12)/T27</f>
        <v>#DIV/0!</v>
      </c>
      <c r="U9" s="34" t="e">
        <f>SUM(U10:U12)/U27</f>
        <v>#DIV/0!</v>
      </c>
    </row>
    <row r="10" spans="1:21" x14ac:dyDescent="0.2">
      <c r="B10" s="37" t="s">
        <v>199</v>
      </c>
      <c r="C10" s="38">
        <v>1</v>
      </c>
      <c r="F10" s="24" t="s">
        <v>133</v>
      </c>
      <c r="G10" s="30">
        <v>0</v>
      </c>
      <c r="H10" s="30">
        <v>0</v>
      </c>
      <c r="I10" s="30">
        <v>0</v>
      </c>
      <c r="J10" s="30">
        <v>0</v>
      </c>
      <c r="K10" s="30">
        <v>0</v>
      </c>
      <c r="N10" s="24" t="s">
        <v>167</v>
      </c>
      <c r="O10" s="31">
        <v>0.02</v>
      </c>
      <c r="P10" s="30">
        <v>2</v>
      </c>
      <c r="Q10" s="26">
        <v>45</v>
      </c>
      <c r="R10" s="45"/>
      <c r="S10" s="45"/>
      <c r="T10" s="45"/>
      <c r="U10" s="45"/>
    </row>
    <row r="11" spans="1:21" x14ac:dyDescent="0.2">
      <c r="B11" s="37" t="s">
        <v>200</v>
      </c>
      <c r="C11" s="38">
        <v>13</v>
      </c>
      <c r="E11" s="15" t="s">
        <v>135</v>
      </c>
      <c r="G11" s="35">
        <f>SUM(G12:G17)</f>
        <v>-3.4</v>
      </c>
      <c r="H11" s="35">
        <f>SUM(H12:H17)</f>
        <v>-4.3</v>
      </c>
      <c r="I11" s="35">
        <f>SUM(I12:I17)</f>
        <v>-3.3</v>
      </c>
      <c r="J11" s="35">
        <f>SUM(J12:J17)</f>
        <v>-4.2</v>
      </c>
      <c r="K11" s="35">
        <f>SUM(K12:K17)</f>
        <v>-4.3</v>
      </c>
      <c r="N11" s="24" t="s">
        <v>168</v>
      </c>
      <c r="O11" s="31">
        <v>0.03</v>
      </c>
      <c r="P11" s="30">
        <v>5</v>
      </c>
      <c r="Q11" s="26">
        <v>12</v>
      </c>
      <c r="R11" s="45"/>
      <c r="S11" s="45"/>
      <c r="T11" s="45"/>
      <c r="U11" s="45"/>
    </row>
    <row r="12" spans="1:21" x14ac:dyDescent="0.2">
      <c r="B12" t="s">
        <v>147</v>
      </c>
      <c r="C12" s="39">
        <v>1</v>
      </c>
      <c r="F12" s="24" t="s">
        <v>137</v>
      </c>
      <c r="G12" s="36">
        <v>-2</v>
      </c>
      <c r="H12" s="36">
        <v>-2</v>
      </c>
      <c r="I12" s="36">
        <v>-2</v>
      </c>
      <c r="J12" s="36">
        <v>-2</v>
      </c>
      <c r="K12" s="36">
        <v>-3</v>
      </c>
      <c r="N12" s="24" t="s">
        <v>133</v>
      </c>
      <c r="O12" s="31">
        <v>0.04</v>
      </c>
      <c r="P12" s="30">
        <v>5</v>
      </c>
      <c r="Q12" s="26">
        <v>0</v>
      </c>
      <c r="R12" s="45"/>
      <c r="S12" s="45"/>
      <c r="T12" s="45"/>
      <c r="U12" s="45"/>
    </row>
    <row r="13" spans="1:21" x14ac:dyDescent="0.2">
      <c r="B13" s="15" t="s">
        <v>136</v>
      </c>
      <c r="C13" s="18">
        <f>SUM(C5:C12)</f>
        <v>108</v>
      </c>
      <c r="F13" s="24" t="s">
        <v>201</v>
      </c>
      <c r="G13" s="36">
        <f>G6*-0.75</f>
        <v>-2.25</v>
      </c>
      <c r="H13" s="36">
        <f t="shared" ref="H13:K13" si="1">H6*-0.75</f>
        <v>-3</v>
      </c>
      <c r="I13" s="36">
        <f t="shared" si="1"/>
        <v>-3</v>
      </c>
      <c r="J13" s="36">
        <f t="shared" si="1"/>
        <v>-3.75</v>
      </c>
      <c r="K13" s="36">
        <f t="shared" si="1"/>
        <v>-3</v>
      </c>
      <c r="M13" s="15" t="s">
        <v>171</v>
      </c>
      <c r="O13" s="31"/>
      <c r="P13" s="28" t="s">
        <v>159</v>
      </c>
      <c r="Q13" s="34">
        <f>SUM(Q14:Q17)/Q27</f>
        <v>0.05</v>
      </c>
      <c r="R13" s="34" t="e">
        <f>SUM(R14:R17)/R27</f>
        <v>#DIV/0!</v>
      </c>
      <c r="S13" s="34" t="e">
        <f>SUM(S14:S17)/S27</f>
        <v>#DIV/0!</v>
      </c>
      <c r="T13" s="34" t="e">
        <f>SUM(T14:T17)/T27</f>
        <v>#DIV/0!</v>
      </c>
      <c r="U13" s="34" t="e">
        <f>SUM(U14:U17)/U27</f>
        <v>#DIV/0!</v>
      </c>
    </row>
    <row r="14" spans="1:21" x14ac:dyDescent="0.2">
      <c r="F14" s="24" t="s">
        <v>202</v>
      </c>
      <c r="G14" s="36">
        <f>G7*0.85</f>
        <v>0.85</v>
      </c>
      <c r="H14" s="36">
        <f t="shared" ref="H14:K14" si="2">H7*0.85</f>
        <v>1.7</v>
      </c>
      <c r="I14" s="36">
        <f t="shared" si="2"/>
        <v>1.7</v>
      </c>
      <c r="J14" s="36">
        <f t="shared" si="2"/>
        <v>2.5499999999999998</v>
      </c>
      <c r="K14" s="36">
        <f t="shared" si="2"/>
        <v>1.7</v>
      </c>
      <c r="N14" s="24" t="s">
        <v>173</v>
      </c>
      <c r="O14" s="31">
        <v>0.04</v>
      </c>
      <c r="P14" s="30">
        <v>2</v>
      </c>
      <c r="Q14" s="26">
        <v>3</v>
      </c>
      <c r="R14" s="45"/>
      <c r="S14" s="45"/>
      <c r="T14" s="45"/>
      <c r="U14" s="45"/>
    </row>
    <row r="15" spans="1:21" x14ac:dyDescent="0.2">
      <c r="B15" s="15" t="s">
        <v>138</v>
      </c>
      <c r="F15" s="24" t="s">
        <v>165</v>
      </c>
      <c r="G15" s="36">
        <v>0</v>
      </c>
      <c r="H15" s="36">
        <v>0</v>
      </c>
      <c r="I15" s="36">
        <v>0</v>
      </c>
      <c r="J15" s="36">
        <v>0</v>
      </c>
      <c r="K15" s="36">
        <v>0</v>
      </c>
      <c r="N15" s="24" t="s">
        <v>174</v>
      </c>
      <c r="O15" s="31">
        <v>0.04</v>
      </c>
      <c r="P15" s="30">
        <v>2</v>
      </c>
      <c r="Q15" s="26">
        <v>1</v>
      </c>
      <c r="R15" s="45"/>
      <c r="S15" s="45"/>
      <c r="T15" s="45"/>
      <c r="U15" s="45"/>
    </row>
    <row r="16" spans="1:21" x14ac:dyDescent="0.2">
      <c r="C16" s="40"/>
      <c r="F16" s="24" t="s">
        <v>133</v>
      </c>
      <c r="G16" s="30">
        <v>0</v>
      </c>
      <c r="H16" s="30">
        <v>0</v>
      </c>
      <c r="I16" s="30">
        <v>0</v>
      </c>
      <c r="J16" s="30">
        <v>0</v>
      </c>
      <c r="K16" s="30">
        <v>0</v>
      </c>
      <c r="N16" s="24" t="s">
        <v>175</v>
      </c>
      <c r="O16" s="31">
        <v>0.03</v>
      </c>
      <c r="P16" s="30">
        <v>5</v>
      </c>
      <c r="Q16" s="26">
        <v>0</v>
      </c>
      <c r="R16" s="45"/>
      <c r="S16" s="45"/>
      <c r="T16" s="45"/>
      <c r="U16" s="45"/>
    </row>
    <row r="17" spans="2:21" x14ac:dyDescent="0.2">
      <c r="B17" t="s">
        <v>203</v>
      </c>
      <c r="C17" s="38">
        <v>23</v>
      </c>
      <c r="F17" s="24" t="s">
        <v>176</v>
      </c>
      <c r="G17" s="36">
        <v>0</v>
      </c>
      <c r="H17" s="36">
        <v>-1</v>
      </c>
      <c r="I17" s="36">
        <v>0</v>
      </c>
      <c r="J17" s="36">
        <v>-1</v>
      </c>
      <c r="K17" s="36">
        <v>0</v>
      </c>
      <c r="N17" s="24" t="s">
        <v>133</v>
      </c>
      <c r="O17" s="31">
        <v>0.04</v>
      </c>
      <c r="P17" s="30">
        <v>5</v>
      </c>
      <c r="Q17" s="26">
        <v>0</v>
      </c>
      <c r="R17" s="45"/>
      <c r="S17" s="45"/>
      <c r="T17" s="45"/>
      <c r="U17" s="45"/>
    </row>
    <row r="18" spans="2:21" x14ac:dyDescent="0.2">
      <c r="B18" t="s">
        <v>204</v>
      </c>
      <c r="C18" s="38">
        <v>12</v>
      </c>
      <c r="E18" s="15" t="s">
        <v>145</v>
      </c>
      <c r="G18" s="35">
        <f>SUM(G5,G11)</f>
        <v>1.6</v>
      </c>
      <c r="H18" s="35">
        <f>SUM(H5,H11)</f>
        <v>2.7</v>
      </c>
      <c r="I18" s="35">
        <f>SUM(I5,I11)</f>
        <v>3.7</v>
      </c>
      <c r="J18" s="35">
        <f>SUM(J5,J11)</f>
        <v>4.8</v>
      </c>
      <c r="K18" s="35">
        <f>SUM(K5,K11)</f>
        <v>2.7</v>
      </c>
      <c r="M18" s="15" t="s">
        <v>177</v>
      </c>
      <c r="O18" s="31"/>
      <c r="P18" s="28" t="s">
        <v>159</v>
      </c>
      <c r="Q18" s="34">
        <f>SUM(Q19:Q21)/Q27</f>
        <v>0</v>
      </c>
      <c r="R18" s="34" t="e">
        <f t="shared" ref="R18:U18" si="3">SUM(R19:R21)/R27</f>
        <v>#DIV/0!</v>
      </c>
      <c r="S18" s="34" t="e">
        <f t="shared" si="3"/>
        <v>#DIV/0!</v>
      </c>
      <c r="T18" s="34" t="e">
        <f t="shared" si="3"/>
        <v>#DIV/0!</v>
      </c>
      <c r="U18" s="34" t="e">
        <f t="shared" si="3"/>
        <v>#DIV/0!</v>
      </c>
    </row>
    <row r="19" spans="2:21" x14ac:dyDescent="0.2">
      <c r="B19" t="s">
        <v>205</v>
      </c>
      <c r="C19" s="38">
        <v>23</v>
      </c>
      <c r="N19" s="24" t="s">
        <v>178</v>
      </c>
      <c r="O19" s="31">
        <v>0.02</v>
      </c>
      <c r="P19" s="30">
        <v>1</v>
      </c>
      <c r="Q19" s="26">
        <v>0</v>
      </c>
      <c r="R19" s="45"/>
      <c r="S19" s="45"/>
      <c r="T19" s="45"/>
      <c r="U19" s="45"/>
    </row>
    <row r="20" spans="2:21" x14ac:dyDescent="0.2">
      <c r="B20" t="s">
        <v>206</v>
      </c>
      <c r="C20" s="38">
        <v>1</v>
      </c>
      <c r="F20" s="24" t="s">
        <v>146</v>
      </c>
      <c r="G20" s="30">
        <f>C6</f>
        <v>1</v>
      </c>
      <c r="H20" s="36">
        <v>1</v>
      </c>
      <c r="I20" s="30">
        <v>1</v>
      </c>
      <c r="J20" s="30">
        <v>1</v>
      </c>
      <c r="K20" s="30">
        <v>1</v>
      </c>
      <c r="N20" s="24" t="s">
        <v>180</v>
      </c>
      <c r="O20" s="31">
        <v>0.03</v>
      </c>
      <c r="P20" s="30">
        <v>5</v>
      </c>
      <c r="Q20" s="26">
        <v>0</v>
      </c>
      <c r="R20" s="45"/>
      <c r="S20" s="45"/>
      <c r="T20" s="45"/>
      <c r="U20" s="45"/>
    </row>
    <row r="21" spans="2:21" x14ac:dyDescent="0.2">
      <c r="B21" t="s">
        <v>207</v>
      </c>
      <c r="C21" s="38">
        <v>12</v>
      </c>
      <c r="F21" s="24" t="s">
        <v>182</v>
      </c>
      <c r="G21" s="30">
        <f>C9</f>
        <v>80</v>
      </c>
      <c r="H21" s="30">
        <v>82</v>
      </c>
      <c r="I21" s="30">
        <v>85</v>
      </c>
      <c r="J21" s="30">
        <v>89</v>
      </c>
      <c r="K21" s="30">
        <v>94</v>
      </c>
      <c r="N21" s="24" t="s">
        <v>181</v>
      </c>
      <c r="O21" s="31">
        <v>1E-3</v>
      </c>
      <c r="P21" s="30">
        <v>5</v>
      </c>
      <c r="Q21" s="26">
        <v>0</v>
      </c>
      <c r="R21" s="45"/>
      <c r="S21" s="45"/>
      <c r="T21" s="45"/>
      <c r="U21" s="45"/>
    </row>
    <row r="22" spans="2:21" x14ac:dyDescent="0.2">
      <c r="B22" t="s">
        <v>208</v>
      </c>
      <c r="C22" s="26">
        <v>10</v>
      </c>
      <c r="F22" s="24" t="s">
        <v>184</v>
      </c>
      <c r="G22" s="30">
        <v>5</v>
      </c>
      <c r="H22" s="30">
        <v>5</v>
      </c>
      <c r="I22" s="30">
        <v>5</v>
      </c>
      <c r="J22" s="30">
        <v>5</v>
      </c>
      <c r="K22" s="30">
        <v>5</v>
      </c>
      <c r="M22" s="15" t="s">
        <v>183</v>
      </c>
      <c r="O22" s="31"/>
      <c r="P22" s="28" t="s">
        <v>159</v>
      </c>
      <c r="Q22" s="34">
        <f>SUM(Q23:Q25)/Q27</f>
        <v>0.2</v>
      </c>
      <c r="R22" s="34" t="e">
        <f>SUM(R23:R25)/R27</f>
        <v>#DIV/0!</v>
      </c>
      <c r="S22" s="34" t="e">
        <f>SUM(S23:S25)/S27</f>
        <v>#DIV/0!</v>
      </c>
      <c r="T22" s="34" t="e">
        <f>SUM(T23:T25)/T27</f>
        <v>#DIV/0!</v>
      </c>
      <c r="U22" s="34" t="e">
        <f>SUM(U23:U25)/U27</f>
        <v>#DIV/0!</v>
      </c>
    </row>
    <row r="23" spans="2:21" x14ac:dyDescent="0.2">
      <c r="B23" t="s">
        <v>141</v>
      </c>
      <c r="C23" s="38">
        <v>5</v>
      </c>
      <c r="E23" s="15" t="s">
        <v>186</v>
      </c>
      <c r="G23" s="16"/>
      <c r="H23" s="35">
        <f>SUM(H20:H22)-SUM(G20:G22)</f>
        <v>2</v>
      </c>
      <c r="I23" s="35">
        <f t="shared" ref="I23:K23" si="4">SUM(I20:I22)-SUM(H20:H22)</f>
        <v>3</v>
      </c>
      <c r="J23" s="35">
        <f t="shared" si="4"/>
        <v>4</v>
      </c>
      <c r="K23" s="35">
        <f t="shared" si="4"/>
        <v>5</v>
      </c>
      <c r="N23" s="24" t="s">
        <v>209</v>
      </c>
      <c r="O23" s="31">
        <v>0.12</v>
      </c>
      <c r="P23" s="30">
        <v>90</v>
      </c>
      <c r="Q23" s="26">
        <v>8</v>
      </c>
      <c r="R23" s="45"/>
      <c r="S23" s="45"/>
      <c r="T23" s="45"/>
      <c r="U23" s="45"/>
    </row>
    <row r="24" spans="2:21" x14ac:dyDescent="0.2">
      <c r="B24" t="s">
        <v>143</v>
      </c>
      <c r="C24" s="39">
        <v>22</v>
      </c>
      <c r="N24" s="24" t="s">
        <v>187</v>
      </c>
      <c r="O24" s="31">
        <v>0.15</v>
      </c>
      <c r="P24" s="30">
        <v>180</v>
      </c>
      <c r="Q24" s="26">
        <v>5</v>
      </c>
      <c r="R24" s="45"/>
      <c r="S24" s="45"/>
      <c r="T24" s="45"/>
      <c r="U24" s="45"/>
    </row>
    <row r="25" spans="2:21" x14ac:dyDescent="0.2">
      <c r="B25" s="15" t="s">
        <v>144</v>
      </c>
      <c r="C25" s="18">
        <f>SUM(C16:C24)</f>
        <v>108</v>
      </c>
      <c r="N25" s="24" t="s">
        <v>188</v>
      </c>
      <c r="O25" s="31">
        <v>0.1</v>
      </c>
      <c r="P25" s="30">
        <v>60</v>
      </c>
      <c r="Q25" s="27">
        <v>3</v>
      </c>
      <c r="R25" s="139"/>
      <c r="S25" s="139"/>
      <c r="T25" s="139"/>
      <c r="U25" s="139"/>
    </row>
    <row r="26" spans="2:21" x14ac:dyDescent="0.2">
      <c r="N26" s="15" t="s">
        <v>189</v>
      </c>
    </row>
    <row r="27" spans="2:21" x14ac:dyDescent="0.2">
      <c r="Q27" s="30">
        <f>SUM(Q6:Q8,Q10:Q12,Q14:Q17,Q19:Q21,Q23:Q25)</f>
        <v>80</v>
      </c>
      <c r="R27" s="30">
        <f t="shared" ref="R27:U27" si="5">SUM(R6:R8,R10:R12,R14:R17,R19:R21,R23:R25)</f>
        <v>0</v>
      </c>
      <c r="S27" s="30">
        <f t="shared" si="5"/>
        <v>0</v>
      </c>
      <c r="T27" s="30">
        <f t="shared" si="5"/>
        <v>0</v>
      </c>
      <c r="U27" s="30">
        <f t="shared" si="5"/>
        <v>0</v>
      </c>
    </row>
    <row r="28" spans="2:21" x14ac:dyDescent="0.2">
      <c r="N28" s="24" t="s">
        <v>190</v>
      </c>
      <c r="Q28" s="29">
        <f>SUM(Q6*$P$6+Q7*$P$7+Q8*$P$8+Q10*$P$10+Q11*$P$11+Q12*$P$12+Q14*$P$14+Q15*$P$15+Q16*$P$16+Q17*$P$17+Q19*$P$19+Q20*$P$20+Q21*$P$21+Q23*$P$23+Q24*$P$24+Q25*$P$25)/Q27</f>
        <v>24.524999999999999</v>
      </c>
      <c r="R28" s="29" t="e">
        <f t="shared" ref="R28:T28" si="6">SUM(R6*$P$6+R7*$P$7+R8*$P$8+R10*$P$10+R11*$P$11+R12*$P$12+R14*$P$14+R15*$P$15+R16*$P$16+R17*$P$17+R19*$P$19+R20*$P$20+R21*$P$21+R23*$P$23+R24*$P$24+R25*$P$25)/R27</f>
        <v>#DIV/0!</v>
      </c>
      <c r="S28" s="29" t="e">
        <f t="shared" si="6"/>
        <v>#DIV/0!</v>
      </c>
      <c r="T28" s="29" t="e">
        <f t="shared" si="6"/>
        <v>#DIV/0!</v>
      </c>
      <c r="U28" s="29" t="e">
        <f>SUM(U6*$P$6+U7*$P$7+U8*$P$8+U10*$P$10+U11*$P$11+U12*$P$12+U14*$P$14+U15*$P$15+U16*$P$16+U17*$P$17+U19*$P$19+U20*$P$20+U21*$P$21+U23*$P$23+U24*$P$24+U25*$P$25)/U27</f>
        <v>#DIV/0!</v>
      </c>
    </row>
    <row r="29" spans="2:21" x14ac:dyDescent="0.2">
      <c r="N29" s="24" t="s">
        <v>210</v>
      </c>
      <c r="Q29" s="31">
        <f>SUM(Q6*$O$6+Q7*$O$7+Q8*$O$8+Q10*$O$10+Q11*$O$11+Q12*$O$12+Q14*$O$14+Q15*$O$15+Q16*$O$16+Q17*$O$17+Q19*$O$19+Q20*$O$20+Q21*$O$21+Q23*$O$23+Q24*$O$24+Q25*$O$25)/Q27</f>
        <v>4.3049999999999998E-2</v>
      </c>
      <c r="R29" s="31" t="e">
        <f t="shared" ref="R29:U29" si="7">SUM(R6*$O$6+R7*$O$7+R8*$O$8+R10*$O$10+R11*$O$11+R12*$O$12+R14*$O$14+R15*$O$15+R16*$O$16+R17*$O$17+R19*$O$19+R20*$O$20+R21*$O$21+R23*$O$23+R24*$O$24+R25*$O$25)/R27</f>
        <v>#DIV/0!</v>
      </c>
      <c r="S29" s="31" t="e">
        <f t="shared" si="7"/>
        <v>#DIV/0!</v>
      </c>
      <c r="T29" s="31" t="e">
        <f t="shared" si="7"/>
        <v>#DIV/0!</v>
      </c>
      <c r="U29" s="31" t="e">
        <f t="shared" si="7"/>
        <v>#DIV/0!</v>
      </c>
    </row>
    <row r="30" spans="2:21" x14ac:dyDescent="0.2">
      <c r="N30" s="24"/>
      <c r="U30" s="29"/>
    </row>
  </sheetData>
  <mergeCells count="1">
    <mergeCell ref="G3:J3"/>
  </mergeCells>
  <pageMargins left="0.7" right="0.7" top="0.75" bottom="0.75" header="0.3" footer="0.3"/>
  <pageSetup orientation="portrait" horizontalDpi="4294967294"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60780-F51E-3245-AD18-BCBC161BE67E}">
  <sheetPr>
    <tabColor rgb="FFFFFF00"/>
  </sheetPr>
  <dimension ref="B2:R43"/>
  <sheetViews>
    <sheetView zoomScale="50" zoomScaleNormal="50" workbookViewId="0"/>
  </sheetViews>
  <sheetFormatPr baseColWidth="10" defaultColWidth="8.83203125" defaultRowHeight="26" x14ac:dyDescent="0.3"/>
  <cols>
    <col min="1" max="1" width="2.6640625" style="150" customWidth="1"/>
    <col min="2" max="2" width="144.83203125" style="150" customWidth="1"/>
    <col min="3" max="3" width="14.6640625" style="150" bestFit="1" customWidth="1"/>
    <col min="4" max="4" width="17.33203125" style="151" bestFit="1" customWidth="1"/>
    <col min="5" max="12" width="14.6640625" style="151" bestFit="1" customWidth="1"/>
    <col min="13" max="14" width="16.33203125" style="151" bestFit="1" customWidth="1"/>
    <col min="15" max="15" width="16.33203125" style="150" bestFit="1" customWidth="1"/>
    <col min="16" max="16" width="8.83203125" style="150"/>
    <col min="17" max="17" width="29.5" style="150" customWidth="1"/>
    <col min="18" max="18" width="78.83203125" style="150" customWidth="1"/>
    <col min="19" max="16384" width="8.83203125" style="150"/>
  </cols>
  <sheetData>
    <row r="2" spans="2:15" x14ac:dyDescent="0.3">
      <c r="B2" s="150" t="s">
        <v>403</v>
      </c>
    </row>
    <row r="3" spans="2:15" x14ac:dyDescent="0.3">
      <c r="B3" s="150" t="s">
        <v>406</v>
      </c>
    </row>
    <row r="4" spans="2:15" x14ac:dyDescent="0.3">
      <c r="B4" s="150" t="s">
        <v>426</v>
      </c>
    </row>
    <row r="5" spans="2:15" x14ac:dyDescent="0.3">
      <c r="B5" s="150" t="s">
        <v>427</v>
      </c>
    </row>
    <row r="6" spans="2:15" x14ac:dyDescent="0.3">
      <c r="B6" s="150" t="s">
        <v>429</v>
      </c>
    </row>
    <row r="7" spans="2:15" x14ac:dyDescent="0.3">
      <c r="B7" s="150" t="s">
        <v>431</v>
      </c>
      <c r="D7" s="150"/>
      <c r="E7" s="150"/>
      <c r="F7" s="150"/>
      <c r="G7" s="150"/>
      <c r="H7" s="150"/>
      <c r="I7" s="150"/>
      <c r="J7" s="150"/>
      <c r="K7" s="150"/>
      <c r="L7" s="150"/>
      <c r="M7" s="150"/>
      <c r="N7" s="150"/>
    </row>
    <row r="8" spans="2:15" x14ac:dyDescent="0.3">
      <c r="B8" s="150" t="s">
        <v>434</v>
      </c>
      <c r="D8" s="150"/>
      <c r="E8" s="150"/>
      <c r="F8" s="150"/>
      <c r="G8" s="150"/>
      <c r="H8" s="150"/>
      <c r="I8" s="150"/>
      <c r="J8" s="150"/>
      <c r="K8" s="150"/>
      <c r="L8" s="150"/>
      <c r="M8" s="150"/>
      <c r="N8" s="150"/>
    </row>
    <row r="9" spans="2:15" x14ac:dyDescent="0.3">
      <c r="B9" s="150" t="s">
        <v>435</v>
      </c>
      <c r="D9" s="150"/>
      <c r="E9" s="150"/>
      <c r="F9" s="150"/>
      <c r="G9" s="150"/>
      <c r="H9" s="150"/>
      <c r="I9" s="150"/>
      <c r="J9" s="150"/>
      <c r="K9" s="150"/>
      <c r="L9" s="150"/>
      <c r="M9" s="150"/>
      <c r="N9" s="150"/>
    </row>
    <row r="10" spans="2:15" x14ac:dyDescent="0.3">
      <c r="D10" s="150"/>
      <c r="E10" s="150"/>
      <c r="F10" s="150"/>
      <c r="G10" s="150"/>
      <c r="H10" s="150"/>
      <c r="I10" s="150"/>
      <c r="J10" s="150"/>
      <c r="K10" s="150"/>
      <c r="L10" s="150"/>
      <c r="M10" s="150"/>
      <c r="N10" s="150"/>
    </row>
    <row r="11" spans="2:15" x14ac:dyDescent="0.3">
      <c r="B11" s="152"/>
      <c r="C11" s="152" t="s">
        <v>396</v>
      </c>
      <c r="D11" s="152" t="s">
        <v>414</v>
      </c>
      <c r="E11" s="152" t="s">
        <v>415</v>
      </c>
      <c r="F11" s="152" t="s">
        <v>416</v>
      </c>
      <c r="G11" s="152" t="s">
        <v>417</v>
      </c>
      <c r="H11" s="152" t="s">
        <v>418</v>
      </c>
      <c r="I11" s="152" t="s">
        <v>419</v>
      </c>
      <c r="J11" s="152" t="s">
        <v>420</v>
      </c>
      <c r="K11" s="152" t="s">
        <v>421</v>
      </c>
      <c r="L11" s="152" t="s">
        <v>422</v>
      </c>
      <c r="M11" s="152" t="s">
        <v>423</v>
      </c>
      <c r="N11" s="152" t="s">
        <v>424</v>
      </c>
      <c r="O11" s="152" t="s">
        <v>425</v>
      </c>
    </row>
    <row r="12" spans="2:15" x14ac:dyDescent="0.3">
      <c r="B12" s="153"/>
      <c r="C12" s="153">
        <v>44561</v>
      </c>
      <c r="D12" s="154">
        <v>44592</v>
      </c>
      <c r="E12" s="154">
        <v>44620</v>
      </c>
      <c r="F12" s="154">
        <v>44651</v>
      </c>
      <c r="G12" s="154">
        <v>44681</v>
      </c>
      <c r="H12" s="154">
        <v>44712</v>
      </c>
      <c r="I12" s="154">
        <v>44742</v>
      </c>
      <c r="J12" s="154">
        <v>44773</v>
      </c>
      <c r="K12" s="154">
        <v>44804</v>
      </c>
      <c r="L12" s="154">
        <v>44834</v>
      </c>
      <c r="M12" s="154">
        <v>44865</v>
      </c>
      <c r="N12" s="154">
        <v>44896</v>
      </c>
      <c r="O12" s="154">
        <v>44926</v>
      </c>
    </row>
    <row r="13" spans="2:15" x14ac:dyDescent="0.3">
      <c r="B13" s="155" t="s">
        <v>393</v>
      </c>
      <c r="C13" s="151">
        <v>-50</v>
      </c>
      <c r="D13" s="158"/>
      <c r="E13" s="158"/>
      <c r="F13" s="158"/>
      <c r="G13" s="158"/>
      <c r="H13" s="158"/>
      <c r="I13" s="158"/>
      <c r="J13" s="158"/>
      <c r="K13" s="158"/>
      <c r="L13" s="158"/>
      <c r="M13" s="158"/>
      <c r="N13" s="158"/>
      <c r="O13" s="158"/>
    </row>
    <row r="14" spans="2:15" x14ac:dyDescent="0.3">
      <c r="B14" s="155" t="s">
        <v>394</v>
      </c>
      <c r="C14" s="151">
        <v>100</v>
      </c>
      <c r="D14" s="158"/>
      <c r="E14" s="158"/>
      <c r="F14" s="158"/>
      <c r="G14" s="158"/>
      <c r="H14" s="158"/>
      <c r="I14" s="158"/>
      <c r="J14" s="158"/>
      <c r="K14" s="158"/>
      <c r="L14" s="158"/>
      <c r="M14" s="158"/>
      <c r="N14" s="158"/>
      <c r="O14" s="158"/>
    </row>
    <row r="15" spans="2:15" x14ac:dyDescent="0.3">
      <c r="B15" s="155" t="s">
        <v>405</v>
      </c>
      <c r="C15" s="151">
        <v>0</v>
      </c>
      <c r="D15" s="158"/>
      <c r="E15" s="158"/>
      <c r="F15" s="158"/>
      <c r="G15" s="158"/>
      <c r="H15" s="158"/>
      <c r="I15" s="158"/>
      <c r="J15" s="158"/>
      <c r="K15" s="158"/>
      <c r="L15" s="158"/>
      <c r="M15" s="158"/>
      <c r="N15" s="158"/>
      <c r="O15" s="158"/>
    </row>
    <row r="16" spans="2:15" x14ac:dyDescent="0.3">
      <c r="B16" s="155" t="s">
        <v>428</v>
      </c>
      <c r="C16" s="151">
        <v>0</v>
      </c>
      <c r="D16" s="158"/>
      <c r="E16" s="158"/>
      <c r="F16" s="158"/>
      <c r="G16" s="158"/>
      <c r="H16" s="158"/>
      <c r="I16" s="158"/>
      <c r="J16" s="158"/>
      <c r="K16" s="158"/>
      <c r="L16" s="158"/>
      <c r="M16" s="158"/>
      <c r="N16" s="158"/>
      <c r="O16" s="158"/>
    </row>
    <row r="17" spans="2:16" x14ac:dyDescent="0.3">
      <c r="B17" s="155" t="s">
        <v>395</v>
      </c>
      <c r="C17" s="151">
        <v>-50</v>
      </c>
      <c r="D17" s="158"/>
      <c r="E17" s="158"/>
      <c r="F17" s="158"/>
      <c r="G17" s="158"/>
      <c r="H17" s="158"/>
      <c r="I17" s="158"/>
      <c r="J17" s="158"/>
      <c r="K17" s="158"/>
      <c r="L17" s="158"/>
      <c r="M17" s="158"/>
      <c r="N17" s="158"/>
      <c r="O17" s="158"/>
    </row>
    <row r="18" spans="2:16" x14ac:dyDescent="0.3">
      <c r="B18" s="155" t="s">
        <v>430</v>
      </c>
      <c r="C18" s="151">
        <v>-500</v>
      </c>
      <c r="D18" s="158"/>
      <c r="E18" s="158"/>
      <c r="F18" s="158"/>
      <c r="G18" s="158"/>
      <c r="H18" s="158"/>
      <c r="I18" s="158"/>
      <c r="J18" s="158"/>
      <c r="K18" s="158"/>
      <c r="L18" s="158"/>
      <c r="M18" s="158"/>
      <c r="N18" s="158"/>
      <c r="O18" s="158"/>
    </row>
    <row r="19" spans="2:16" x14ac:dyDescent="0.3">
      <c r="B19" s="155" t="s">
        <v>404</v>
      </c>
      <c r="C19" s="151"/>
      <c r="D19" s="158"/>
      <c r="E19" s="158"/>
      <c r="F19" s="158"/>
      <c r="G19" s="158"/>
      <c r="H19" s="158"/>
      <c r="I19" s="158"/>
      <c r="J19" s="158"/>
      <c r="K19" s="158"/>
      <c r="L19" s="158"/>
      <c r="M19" s="158"/>
      <c r="N19" s="158"/>
      <c r="O19" s="158"/>
    </row>
    <row r="20" spans="2:16" x14ac:dyDescent="0.3">
      <c r="B20" s="156" t="s">
        <v>407</v>
      </c>
      <c r="C20" s="157">
        <f t="shared" ref="C20:O20" si="0">SUM(C13:C19)</f>
        <v>-500</v>
      </c>
      <c r="D20" s="157">
        <f t="shared" si="0"/>
        <v>0</v>
      </c>
      <c r="E20" s="157">
        <f t="shared" si="0"/>
        <v>0</v>
      </c>
      <c r="F20" s="157">
        <f t="shared" si="0"/>
        <v>0</v>
      </c>
      <c r="G20" s="157">
        <f t="shared" si="0"/>
        <v>0</v>
      </c>
      <c r="H20" s="157">
        <f t="shared" si="0"/>
        <v>0</v>
      </c>
      <c r="I20" s="157">
        <f t="shared" si="0"/>
        <v>0</v>
      </c>
      <c r="J20" s="157">
        <f t="shared" si="0"/>
        <v>0</v>
      </c>
      <c r="K20" s="157">
        <f t="shared" si="0"/>
        <v>0</v>
      </c>
      <c r="L20" s="157">
        <f t="shared" si="0"/>
        <v>0</v>
      </c>
      <c r="M20" s="157">
        <f t="shared" si="0"/>
        <v>0</v>
      </c>
      <c r="N20" s="157">
        <f t="shared" si="0"/>
        <v>0</v>
      </c>
      <c r="O20" s="157">
        <f t="shared" si="0"/>
        <v>0</v>
      </c>
    </row>
    <row r="22" spans="2:16" x14ac:dyDescent="0.3">
      <c r="B22" s="161" t="s">
        <v>433</v>
      </c>
      <c r="C22" s="152" t="s">
        <v>396</v>
      </c>
      <c r="D22" s="152" t="s">
        <v>414</v>
      </c>
      <c r="E22" s="152" t="s">
        <v>415</v>
      </c>
      <c r="F22" s="152" t="s">
        <v>416</v>
      </c>
      <c r="G22" s="152" t="s">
        <v>417</v>
      </c>
      <c r="H22" s="152" t="s">
        <v>418</v>
      </c>
      <c r="I22" s="152" t="s">
        <v>419</v>
      </c>
      <c r="J22" s="152" t="s">
        <v>420</v>
      </c>
      <c r="K22" s="152" t="s">
        <v>421</v>
      </c>
      <c r="L22" s="152" t="s">
        <v>422</v>
      </c>
      <c r="M22" s="152" t="s">
        <v>423</v>
      </c>
      <c r="N22" s="152" t="s">
        <v>424</v>
      </c>
      <c r="O22" s="152" t="s">
        <v>425</v>
      </c>
    </row>
    <row r="23" spans="2:16" ht="27" x14ac:dyDescent="0.3">
      <c r="B23" s="160" t="s">
        <v>408</v>
      </c>
      <c r="D23" s="151">
        <v>95</v>
      </c>
      <c r="E23" s="151">
        <v>118</v>
      </c>
      <c r="F23" s="151">
        <v>37</v>
      </c>
      <c r="G23" s="151">
        <v>17</v>
      </c>
      <c r="H23" s="151">
        <v>22</v>
      </c>
      <c r="I23" s="151">
        <v>39</v>
      </c>
      <c r="J23" s="151">
        <v>-32</v>
      </c>
      <c r="K23" s="151">
        <v>4</v>
      </c>
      <c r="L23" s="151">
        <v>118</v>
      </c>
      <c r="M23" s="151">
        <v>99</v>
      </c>
      <c r="N23" s="151">
        <v>3</v>
      </c>
      <c r="O23" s="151">
        <v>-27</v>
      </c>
    </row>
    <row r="24" spans="2:16" ht="27" x14ac:dyDescent="0.3">
      <c r="B24" s="160" t="s">
        <v>409</v>
      </c>
      <c r="D24" s="151">
        <v>-46</v>
      </c>
      <c r="E24" s="151">
        <v>65</v>
      </c>
      <c r="F24" s="151">
        <v>14</v>
      </c>
      <c r="G24" s="151">
        <v>-24</v>
      </c>
      <c r="H24" s="151">
        <v>-19</v>
      </c>
      <c r="I24" s="151">
        <v>74</v>
      </c>
      <c r="J24" s="151">
        <v>-12</v>
      </c>
      <c r="K24" s="151">
        <v>62</v>
      </c>
      <c r="L24" s="151">
        <v>37</v>
      </c>
      <c r="M24" s="151">
        <v>96</v>
      </c>
      <c r="N24" s="151">
        <v>2</v>
      </c>
      <c r="O24" s="151">
        <v>101</v>
      </c>
    </row>
    <row r="25" spans="2:16" ht="27" x14ac:dyDescent="0.3">
      <c r="B25" s="160" t="s">
        <v>410</v>
      </c>
      <c r="D25" s="151">
        <v>4</v>
      </c>
      <c r="E25" s="151">
        <v>96</v>
      </c>
      <c r="F25" s="151">
        <v>14</v>
      </c>
      <c r="G25" s="151">
        <v>68</v>
      </c>
      <c r="H25" s="151">
        <v>37</v>
      </c>
      <c r="I25" s="151">
        <v>23</v>
      </c>
      <c r="J25" s="151">
        <v>-49</v>
      </c>
      <c r="K25" s="151">
        <v>-40</v>
      </c>
      <c r="L25" s="151">
        <v>63</v>
      </c>
      <c r="M25" s="151">
        <v>93</v>
      </c>
      <c r="N25" s="151">
        <v>71</v>
      </c>
      <c r="O25" s="151">
        <v>-18</v>
      </c>
    </row>
    <row r="26" spans="2:16" ht="27" x14ac:dyDescent="0.3">
      <c r="B26" s="160" t="s">
        <v>411</v>
      </c>
      <c r="D26" s="151">
        <v>11</v>
      </c>
      <c r="E26" s="151">
        <v>39</v>
      </c>
      <c r="F26" s="151">
        <v>-16</v>
      </c>
      <c r="G26" s="151">
        <v>-10</v>
      </c>
      <c r="H26" s="151">
        <v>-32</v>
      </c>
      <c r="I26" s="151">
        <v>29</v>
      </c>
      <c r="J26" s="151">
        <v>56</v>
      </c>
      <c r="K26" s="151">
        <v>-49</v>
      </c>
      <c r="L26" s="151">
        <v>-1</v>
      </c>
      <c r="M26" s="151">
        <v>67</v>
      </c>
      <c r="N26" s="151">
        <v>50</v>
      </c>
      <c r="O26" s="151">
        <v>92</v>
      </c>
    </row>
    <row r="27" spans="2:16" ht="27" x14ac:dyDescent="0.3">
      <c r="B27" s="160" t="s">
        <v>412</v>
      </c>
      <c r="D27" s="151">
        <v>119</v>
      </c>
      <c r="E27" s="151">
        <v>97</v>
      </c>
      <c r="F27" s="151">
        <v>71</v>
      </c>
      <c r="G27" s="151">
        <v>0</v>
      </c>
      <c r="H27" s="151">
        <v>43</v>
      </c>
      <c r="I27" s="151">
        <v>105</v>
      </c>
      <c r="J27" s="151">
        <v>-47</v>
      </c>
      <c r="K27" s="151">
        <v>61</v>
      </c>
      <c r="L27" s="151">
        <v>47</v>
      </c>
      <c r="M27" s="151">
        <v>90</v>
      </c>
      <c r="N27" s="151">
        <v>98</v>
      </c>
      <c r="O27" s="151">
        <v>57</v>
      </c>
    </row>
    <row r="28" spans="2:16" ht="27" x14ac:dyDescent="0.3">
      <c r="B28" s="160" t="s">
        <v>413</v>
      </c>
      <c r="D28" s="151">
        <v>-34</v>
      </c>
      <c r="E28" s="151">
        <v>113</v>
      </c>
      <c r="F28" s="151">
        <v>25</v>
      </c>
      <c r="G28" s="151">
        <v>-22</v>
      </c>
      <c r="H28" s="151">
        <v>-3</v>
      </c>
      <c r="I28" s="151">
        <v>47</v>
      </c>
      <c r="J28" s="151">
        <v>76</v>
      </c>
      <c r="K28" s="151">
        <v>81</v>
      </c>
      <c r="L28" s="151">
        <v>42</v>
      </c>
      <c r="M28" s="151">
        <v>-22</v>
      </c>
      <c r="N28" s="151">
        <v>61</v>
      </c>
      <c r="O28" s="151">
        <v>-39</v>
      </c>
    </row>
    <row r="29" spans="2:16" x14ac:dyDescent="0.3">
      <c r="B29" s="156" t="s">
        <v>442</v>
      </c>
      <c r="C29" s="156"/>
      <c r="D29" s="157">
        <f t="shared" ref="D29:O29" si="1">SUM(D23:D28)</f>
        <v>149</v>
      </c>
      <c r="E29" s="157">
        <f t="shared" si="1"/>
        <v>528</v>
      </c>
      <c r="F29" s="157">
        <f t="shared" si="1"/>
        <v>145</v>
      </c>
      <c r="G29" s="157">
        <f t="shared" si="1"/>
        <v>29</v>
      </c>
      <c r="H29" s="157">
        <f t="shared" si="1"/>
        <v>48</v>
      </c>
      <c r="I29" s="157">
        <f t="shared" si="1"/>
        <v>317</v>
      </c>
      <c r="J29" s="157">
        <f t="shared" si="1"/>
        <v>-8</v>
      </c>
      <c r="K29" s="157">
        <f t="shared" si="1"/>
        <v>119</v>
      </c>
      <c r="L29" s="157">
        <f t="shared" si="1"/>
        <v>306</v>
      </c>
      <c r="M29" s="157">
        <f t="shared" si="1"/>
        <v>423</v>
      </c>
      <c r="N29" s="157">
        <f t="shared" si="1"/>
        <v>285</v>
      </c>
      <c r="O29" s="157">
        <f t="shared" si="1"/>
        <v>166</v>
      </c>
      <c r="P29" s="159"/>
    </row>
    <row r="30" spans="2:16" x14ac:dyDescent="0.3">
      <c r="D30" s="150"/>
      <c r="E30" s="150"/>
      <c r="F30" s="150"/>
      <c r="G30" s="150"/>
      <c r="H30" s="150"/>
      <c r="I30" s="150"/>
      <c r="J30" s="150"/>
      <c r="K30" s="150"/>
      <c r="L30" s="150"/>
      <c r="M30" s="150"/>
      <c r="N30" s="150"/>
    </row>
    <row r="31" spans="2:16" x14ac:dyDescent="0.3">
      <c r="D31" s="159">
        <f>D20+D29</f>
        <v>149</v>
      </c>
      <c r="E31" s="159">
        <f t="shared" ref="E31:O31" si="2">E20+E29</f>
        <v>528</v>
      </c>
      <c r="F31" s="159">
        <f t="shared" si="2"/>
        <v>145</v>
      </c>
      <c r="G31" s="159">
        <f t="shared" si="2"/>
        <v>29</v>
      </c>
      <c r="H31" s="159">
        <f t="shared" si="2"/>
        <v>48</v>
      </c>
      <c r="I31" s="159">
        <f t="shared" si="2"/>
        <v>317</v>
      </c>
      <c r="J31" s="159">
        <f t="shared" si="2"/>
        <v>-8</v>
      </c>
      <c r="K31" s="159">
        <f t="shared" si="2"/>
        <v>119</v>
      </c>
      <c r="L31" s="159">
        <f t="shared" si="2"/>
        <v>306</v>
      </c>
      <c r="M31" s="159">
        <f t="shared" si="2"/>
        <v>423</v>
      </c>
      <c r="N31" s="159">
        <f t="shared" si="2"/>
        <v>285</v>
      </c>
      <c r="O31" s="159">
        <f t="shared" si="2"/>
        <v>166</v>
      </c>
    </row>
    <row r="32" spans="2:16" x14ac:dyDescent="0.3">
      <c r="D32" s="159"/>
      <c r="E32" s="159"/>
      <c r="F32" s="159"/>
      <c r="G32" s="159"/>
      <c r="H32" s="159"/>
      <c r="I32" s="159"/>
      <c r="J32" s="159"/>
      <c r="K32" s="159"/>
      <c r="L32" s="159"/>
      <c r="M32" s="159"/>
      <c r="N32" s="159"/>
      <c r="O32" s="159"/>
    </row>
    <row r="33" spans="2:18" x14ac:dyDescent="0.3">
      <c r="D33" s="150"/>
      <c r="E33" s="150"/>
      <c r="F33" s="150"/>
      <c r="G33" s="150"/>
      <c r="H33" s="150"/>
      <c r="I33" s="150"/>
      <c r="J33" s="150"/>
      <c r="K33" s="150"/>
      <c r="L33" s="150"/>
      <c r="M33" s="150"/>
      <c r="N33" s="150"/>
    </row>
    <row r="34" spans="2:18" ht="27" x14ac:dyDescent="0.3">
      <c r="B34" s="161" t="s">
        <v>432</v>
      </c>
      <c r="C34" s="152" t="s">
        <v>396</v>
      </c>
      <c r="D34" s="152" t="s">
        <v>414</v>
      </c>
      <c r="E34" s="152" t="s">
        <v>415</v>
      </c>
      <c r="F34" s="152" t="s">
        <v>416</v>
      </c>
      <c r="G34" s="152" t="s">
        <v>417</v>
      </c>
      <c r="H34" s="152" t="s">
        <v>418</v>
      </c>
      <c r="I34" s="152" t="s">
        <v>419</v>
      </c>
      <c r="J34" s="152" t="s">
        <v>420</v>
      </c>
      <c r="K34" s="152" t="s">
        <v>421</v>
      </c>
      <c r="L34" s="152" t="s">
        <v>422</v>
      </c>
      <c r="M34" s="152" t="s">
        <v>423</v>
      </c>
      <c r="N34" s="152" t="s">
        <v>424</v>
      </c>
      <c r="O34" s="152" t="s">
        <v>425</v>
      </c>
      <c r="R34" s="160" t="s">
        <v>441</v>
      </c>
    </row>
    <row r="35" spans="2:18" ht="27" x14ac:dyDescent="0.3">
      <c r="B35" s="160" t="s">
        <v>408</v>
      </c>
      <c r="D35" s="158"/>
      <c r="E35" s="158"/>
      <c r="F35" s="158"/>
      <c r="G35" s="158"/>
      <c r="H35" s="158"/>
      <c r="I35" s="158"/>
      <c r="J35" s="158"/>
      <c r="K35" s="158"/>
      <c r="L35" s="158"/>
      <c r="M35" s="158"/>
      <c r="N35" s="158"/>
      <c r="O35" s="158"/>
      <c r="Q35" s="160" t="s">
        <v>436</v>
      </c>
      <c r="R35" s="158"/>
    </row>
    <row r="36" spans="2:18" ht="27" x14ac:dyDescent="0.3">
      <c r="B36" s="160" t="s">
        <v>409</v>
      </c>
      <c r="D36" s="158"/>
      <c r="E36" s="158"/>
      <c r="F36" s="158"/>
      <c r="G36" s="158"/>
      <c r="H36" s="158"/>
      <c r="I36" s="158"/>
      <c r="J36" s="158"/>
      <c r="K36" s="158"/>
      <c r="L36" s="158"/>
      <c r="M36" s="158"/>
      <c r="N36" s="158"/>
      <c r="O36" s="158"/>
      <c r="Q36" s="160" t="s">
        <v>437</v>
      </c>
      <c r="R36" s="158"/>
    </row>
    <row r="37" spans="2:18" ht="27" x14ac:dyDescent="0.3">
      <c r="B37" s="160" t="s">
        <v>410</v>
      </c>
      <c r="D37" s="158"/>
      <c r="E37" s="158"/>
      <c r="F37" s="158"/>
      <c r="G37" s="158"/>
      <c r="H37" s="158"/>
      <c r="I37" s="158"/>
      <c r="J37" s="158"/>
      <c r="K37" s="158"/>
      <c r="L37" s="158"/>
      <c r="M37" s="158"/>
      <c r="N37" s="158"/>
      <c r="O37" s="158"/>
      <c r="Q37" s="160" t="s">
        <v>438</v>
      </c>
      <c r="R37" s="158"/>
    </row>
    <row r="38" spans="2:18" ht="27" x14ac:dyDescent="0.3">
      <c r="B38" s="160" t="s">
        <v>411</v>
      </c>
      <c r="D38" s="158"/>
      <c r="E38" s="158"/>
      <c r="F38" s="158"/>
      <c r="G38" s="158"/>
      <c r="H38" s="158"/>
      <c r="I38" s="158"/>
      <c r="J38" s="158"/>
      <c r="K38" s="158"/>
      <c r="L38" s="158"/>
      <c r="M38" s="158"/>
      <c r="N38" s="158"/>
      <c r="O38" s="158"/>
      <c r="Q38" s="160" t="s">
        <v>297</v>
      </c>
      <c r="R38" s="158"/>
    </row>
    <row r="39" spans="2:18" ht="27" x14ac:dyDescent="0.3">
      <c r="B39" s="160" t="s">
        <v>412</v>
      </c>
      <c r="D39" s="158"/>
      <c r="E39" s="158"/>
      <c r="F39" s="158"/>
      <c r="G39" s="158"/>
      <c r="H39" s="158"/>
      <c r="I39" s="158"/>
      <c r="J39" s="158"/>
      <c r="K39" s="158"/>
      <c r="L39" s="158"/>
      <c r="M39" s="158"/>
      <c r="N39" s="158"/>
      <c r="O39" s="158"/>
      <c r="Q39" s="160" t="s">
        <v>440</v>
      </c>
      <c r="R39" s="158"/>
    </row>
    <row r="40" spans="2:18" ht="27" x14ac:dyDescent="0.3">
      <c r="B40" s="160" t="s">
        <v>413</v>
      </c>
      <c r="D40" s="158"/>
      <c r="E40" s="158"/>
      <c r="F40" s="158"/>
      <c r="G40" s="158"/>
      <c r="H40" s="158"/>
      <c r="I40" s="158"/>
      <c r="J40" s="158"/>
      <c r="K40" s="158"/>
      <c r="L40" s="158"/>
      <c r="M40" s="158"/>
      <c r="N40" s="158"/>
      <c r="O40" s="158"/>
      <c r="Q40" s="160" t="s">
        <v>439</v>
      </c>
      <c r="R40" s="158"/>
    </row>
    <row r="41" spans="2:18" x14ac:dyDescent="0.3">
      <c r="B41" s="156" t="s">
        <v>442</v>
      </c>
      <c r="C41" s="156"/>
      <c r="D41" s="157">
        <f t="shared" ref="D41" si="3">SUM(D35:D40)</f>
        <v>0</v>
      </c>
      <c r="E41" s="157">
        <f t="shared" ref="E41" si="4">SUM(E35:E40)</f>
        <v>0</v>
      </c>
      <c r="F41" s="157">
        <f t="shared" ref="F41" si="5">SUM(F35:F40)</f>
        <v>0</v>
      </c>
      <c r="G41" s="157">
        <f t="shared" ref="G41" si="6">SUM(G35:G40)</f>
        <v>0</v>
      </c>
      <c r="H41" s="157">
        <f t="shared" ref="H41" si="7">SUM(H35:H40)</f>
        <v>0</v>
      </c>
      <c r="I41" s="157">
        <f t="shared" ref="I41" si="8">SUM(I35:I40)</f>
        <v>0</v>
      </c>
      <c r="J41" s="157">
        <f t="shared" ref="J41" si="9">SUM(J35:J40)</f>
        <v>0</v>
      </c>
      <c r="K41" s="157">
        <f t="shared" ref="K41" si="10">SUM(K35:K40)</f>
        <v>0</v>
      </c>
      <c r="L41" s="157">
        <f t="shared" ref="L41" si="11">SUM(L35:L40)</f>
        <v>0</v>
      </c>
      <c r="M41" s="157">
        <f t="shared" ref="M41" si="12">SUM(M35:M40)</f>
        <v>0</v>
      </c>
      <c r="N41" s="157">
        <f t="shared" ref="N41" si="13">SUM(N35:N40)</f>
        <v>0</v>
      </c>
      <c r="O41" s="157">
        <f t="shared" ref="O41" si="14">SUM(O35:O40)</f>
        <v>0</v>
      </c>
    </row>
    <row r="43" spans="2:18" x14ac:dyDescent="0.3">
      <c r="D43" s="159">
        <f>D20+D41</f>
        <v>0</v>
      </c>
      <c r="E43" s="159">
        <f t="shared" ref="E43:O43" si="15">E20+E41</f>
        <v>0</v>
      </c>
      <c r="F43" s="159">
        <f t="shared" si="15"/>
        <v>0</v>
      </c>
      <c r="G43" s="159">
        <f t="shared" si="15"/>
        <v>0</v>
      </c>
      <c r="H43" s="159">
        <f t="shared" si="15"/>
        <v>0</v>
      </c>
      <c r="I43" s="159">
        <f t="shared" si="15"/>
        <v>0</v>
      </c>
      <c r="J43" s="159">
        <f t="shared" si="15"/>
        <v>0</v>
      </c>
      <c r="K43" s="159">
        <f t="shared" si="15"/>
        <v>0</v>
      </c>
      <c r="L43" s="159">
        <f t="shared" si="15"/>
        <v>0</v>
      </c>
      <c r="M43" s="159">
        <f t="shared" si="15"/>
        <v>0</v>
      </c>
      <c r="N43" s="159">
        <f t="shared" si="15"/>
        <v>0</v>
      </c>
      <c r="O43" s="159">
        <f t="shared" si="15"/>
        <v>0</v>
      </c>
    </row>
  </sheetData>
  <phoneticPr fontId="43" type="noConversion"/>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baseColWidth="10" defaultColWidth="10.83203125" defaultRowHeight="15" x14ac:dyDescent="0.2"/>
  <cols>
    <col min="1" max="16384" width="10.83203125" style="1"/>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2"/>
  <sheetViews>
    <sheetView workbookViewId="0"/>
  </sheetViews>
  <sheetFormatPr baseColWidth="10" defaultColWidth="10.83203125" defaultRowHeight="29" x14ac:dyDescent="0.35"/>
  <cols>
    <col min="1" max="16384" width="10.83203125" style="7"/>
  </cols>
  <sheetData>
    <row r="2" spans="2:2" x14ac:dyDescent="0.35">
      <c r="B2" s="7" t="s">
        <v>360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2:B20"/>
  <sheetViews>
    <sheetView workbookViewId="0"/>
  </sheetViews>
  <sheetFormatPr baseColWidth="10" defaultColWidth="10.83203125" defaultRowHeight="26" x14ac:dyDescent="0.3"/>
  <cols>
    <col min="1" max="1" width="10.83203125" style="13"/>
    <col min="2" max="2" width="175.6640625" style="13" customWidth="1"/>
    <col min="3" max="16384" width="10.83203125" style="13"/>
  </cols>
  <sheetData>
    <row r="2" spans="2:2" x14ac:dyDescent="0.3">
      <c r="B2" s="13" t="s">
        <v>359</v>
      </c>
    </row>
    <row r="20" spans="2:2" ht="108" x14ac:dyDescent="0.3">
      <c r="B20" s="14" t="s">
        <v>114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Class10</vt:lpstr>
      <vt:lpstr>LearningObjectives</vt:lpstr>
      <vt:lpstr>Concepts</vt:lpstr>
      <vt:lpstr>RiskDrivers</vt:lpstr>
      <vt:lpstr>SourcesOfLiquidity</vt:lpstr>
      <vt:lpstr>Liquidity</vt:lpstr>
      <vt:lpstr>Scenario</vt:lpstr>
      <vt:lpstr>Ratios</vt:lpstr>
      <vt:lpstr>Matz_Ch2</vt:lpstr>
      <vt:lpstr>Matz Ch2.6</vt:lpstr>
      <vt:lpstr>Matz Ch2.7</vt:lpstr>
      <vt:lpstr>Matz Ch2.9</vt:lpstr>
      <vt:lpstr>Liquidity Report</vt:lpstr>
      <vt:lpstr>Matz_Ch4</vt:lpstr>
      <vt:lpstr>Matz_Ch4_Stress</vt:lpstr>
      <vt:lpstr>Matz_Ch7</vt:lpstr>
      <vt:lpstr>NextClass</vt:lpstr>
      <vt:lpstr>IMix1</vt:lpstr>
      <vt:lpstr>IMix1Calc</vt:lpstr>
      <vt:lpstr>IMix2</vt:lpstr>
      <vt:lpstr>IMix2Calc</vt:lpstr>
      <vt:lpstr>LiquidityReport</vt:lpstr>
      <vt:lpstr>Remember</vt:lpstr>
      <vt:lpstr>O_Discussion</vt:lpstr>
      <vt:lpstr>BonusMaterial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David Romoff</cp:lastModifiedBy>
  <dcterms:created xsi:type="dcterms:W3CDTF">2017-03-21T22:03:29Z</dcterms:created>
  <dcterms:modified xsi:type="dcterms:W3CDTF">2024-03-26T17:23:30Z</dcterms:modified>
</cp:coreProperties>
</file>