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07"/>
  <workbookPr/>
  <mc:AlternateContent xmlns:mc="http://schemas.openxmlformats.org/markup-compatibility/2006">
    <mc:Choice Requires="x15">
      <x15ac:absPath xmlns:x15ac="http://schemas.microsoft.com/office/spreadsheetml/2010/11/ac" url="/Users/davidromoff/Library/CloudStorage/GoogleDrive-davethemovie@gmail.com/My Drive/Columbia/Classes/FRM/ClassFiles/"/>
    </mc:Choice>
  </mc:AlternateContent>
  <xr:revisionPtr revIDLastSave="0" documentId="8_{4007C752-D8A6-024C-BD3B-8C45433B1F38}" xr6:coauthVersionLast="47" xr6:coauthVersionMax="47" xr10:uidLastSave="{00000000-0000-0000-0000-000000000000}"/>
  <bookViews>
    <workbookView xWindow="0" yWindow="0" windowWidth="28800" windowHeight="16260" tabRatio="500" xr2:uid="{00000000-000D-0000-FFFF-FFFF00000000}"/>
  </bookViews>
  <sheets>
    <sheet name="Class13" sheetId="3" r:id="rId1"/>
    <sheet name="FinalExamReview" sheetId="27" r:id="rId2"/>
    <sheet name="FinalExam_EssayBank" sheetId="28" r:id="rId3"/>
    <sheet name="FinancialCrisisHistory" sheetId="29" r:id="rId4"/>
    <sheet name="LG_Reading" sheetId="26" r:id="rId5"/>
    <sheet name="LG_GoldmanTestimony" sheetId="12" r:id="rId6"/>
    <sheet name="LG_LehmanDocumentation" sheetId="18" r:id="rId7"/>
    <sheet name="LG_WinLose" sheetId="19" r:id="rId8"/>
    <sheet name="LG_DoneBetter" sheetId="20" r:id="rId9"/>
    <sheet name="LG_Lessons" sheetId="21" r:id="rId10"/>
    <sheet name="StressTesting" sheetId="11" r:id="rId11"/>
    <sheet name="O_Discussion" sheetId="16" r:id="rId12"/>
    <sheet name="Question1" sheetId="22" state="hidden" r:id="rId13"/>
    <sheet name="Vanderbilt_Portfolio" sheetId="23" state="hidden" r:id="rId14"/>
    <sheet name="Vanderbilt_Portfolio_Stressed" sheetId="24" state="hidden" r:id="rId15"/>
    <sheet name="Question2" sheetId="25" state="hidden" r:id="rId16"/>
  </sheets>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s>
  <definedNames>
    <definedName name="a" localSheetId="3">[1]Liquidity_VaR!$B$7:$B$23</definedName>
    <definedName name="a">[2]Liquidity_VaR!$B$7:$B$23</definedName>
    <definedName name="AccrualPMT">[3]CDS!$I$21:$I$25</definedName>
    <definedName name="alan">[4]Excel!$C$10</definedName>
    <definedName name="alpha" localSheetId="3">[1]Liquidity_VaR!$G$28</definedName>
    <definedName name="alpha">[2]Liquidity_VaR!$G$28</definedName>
    <definedName name="bid" localSheetId="3">[1]Liquidity_VaR!$C$7:$C$23</definedName>
    <definedName name="bid">[2]Liquidity_VaR!$C$7:$C$23</definedName>
    <definedName name="Bond_Value" localSheetId="3">#REF!</definedName>
    <definedName name="Bond_Value">#REF!</definedName>
    <definedName name="Bond_Value_" localSheetId="3">#REF!</definedName>
    <definedName name="Bond_Value_">#REF!</definedName>
    <definedName name="C_">[5]OptionsHW!$C$20:$E$20</definedName>
    <definedName name="Cd">[6]Options2!#REF!</definedName>
    <definedName name="Change">[4]VaR0!#REF!</definedName>
    <definedName name="CI" localSheetId="3">#REF!</definedName>
    <definedName name="CI">#REF!</definedName>
    <definedName name="CI_lo" localSheetId="3">#REF!</definedName>
    <definedName name="CI_lo">#REF!</definedName>
    <definedName name="contracts">[5]OptionsHW!$C$26:$E$26</definedName>
    <definedName name="CouponPmt" localSheetId="3">#REF!</definedName>
    <definedName name="CouponPmt">#REF!</definedName>
    <definedName name="CouponRate" localSheetId="3">#REF!</definedName>
    <definedName name="CouponRate">#REF!</definedName>
    <definedName name="Cu" localSheetId="3">[6]Options2!#REF!</definedName>
    <definedName name="Cu">[6]Options2!#REF!</definedName>
    <definedName name="d">[6]Options2!$C$7</definedName>
    <definedName name="d1_" localSheetId="3">#REF!</definedName>
    <definedName name="d1_">#REF!</definedName>
    <definedName name="d2_" localSheetId="3">#REF!</definedName>
    <definedName name="d2_">#REF!</definedName>
    <definedName name="dollar_rate">[7]FX_Intro!$C$67</definedName>
    <definedName name="Eloss">[3]Spread2PD!$C$16</definedName>
    <definedName name="Epayoff">[3]CDS!$E$21:$E$25</definedName>
    <definedName name="Face" localSheetId="3">#REF!</definedName>
    <definedName name="Face">#REF!</definedName>
    <definedName name="forward_rate">[7]FX_Intro!$C$68</definedName>
    <definedName name="Frequency" localSheetId="3">#REF!</definedName>
    <definedName name="Frequency">#REF!</definedName>
    <definedName name="hazard">[3]CDS!$B$7:$B$7</definedName>
    <definedName name="K">[5]OptionsHW!$C$3</definedName>
    <definedName name="Loss">[3]Spread2PD!$E$40:$E$44</definedName>
    <definedName name="loss_30" localSheetId="3">#REF!</definedName>
    <definedName name="loss_30">#REF!</definedName>
    <definedName name="loss_t" localSheetId="3">#REF!</definedName>
    <definedName name="loss_t">#REF!</definedName>
    <definedName name="lossAmount">[3]Spread2PD!$G$45</definedName>
    <definedName name="Mean" localSheetId="3">#REF!</definedName>
    <definedName name="Mean">#REF!</definedName>
    <definedName name="midprice" localSheetId="3">[1]Liquidity_VaR!$E$7:$E$23</definedName>
    <definedName name="midprice">[2]Liquidity_VaR!$E$7:$E$23</definedName>
    <definedName name="mu" localSheetId="3">[1]Liquidity_VaR!$G$25</definedName>
    <definedName name="mu">[2]Liquidity_VaR!$G$25</definedName>
    <definedName name="n" localSheetId="3">#REF!</definedName>
    <definedName name="n">#REF!</definedName>
    <definedName name="n_" localSheetId="3">#REF!</definedName>
    <definedName name="n_">#REF!</definedName>
    <definedName name="N__d1">[5]OptionsHW!$C$14:$E$14</definedName>
    <definedName name="N__d2">[5]OptionsHW!$C$15:$E$15</definedName>
    <definedName name="N_d1">[5]OptionsHW!$C$12:$E$12</definedName>
    <definedName name="N_d2">[5]OptionsHW!$C$13:$E$13</definedName>
    <definedName name="notional">[5]OptionsHW!$C$25:$E$25</definedName>
    <definedName name="offer" localSheetId="3">[1]Liquidity_VaR!$D$7:$D$23</definedName>
    <definedName name="offer">[2]Liquidity_VaR!$D$7:$D$23</definedName>
    <definedName name="p">[8]Bond!$F$6</definedName>
    <definedName name="PD">[3]CDS!$C$21:$C$25</definedName>
    <definedName name="Period" localSheetId="3">#REF!</definedName>
    <definedName name="Period">#REF!</definedName>
    <definedName name="peso_rate">[7]FX_Intro!$C$66</definedName>
    <definedName name="pmt" localSheetId="3">#REF!</definedName>
    <definedName name="pmt">#REF!</definedName>
    <definedName name="pmt_" localSheetId="3">#REF!</definedName>
    <definedName name="pmt_">#REF!</definedName>
    <definedName name="pmtperyear">[8]Bond!$C$6</definedName>
    <definedName name="pmts">[8]Bond!$E$12:$E$25</definedName>
    <definedName name="Price">[4]VaR0!#REF!</definedName>
    <definedName name="PS">[3]CDS!$C$11:$C$15</definedName>
    <definedName name="PV">[3]CDS!$E$11:$E$15</definedName>
    <definedName name="PV_">[3]CDS!$F$21:$F$25</definedName>
    <definedName name="pv_rf">[3]Spread2PD!$F$20:$F$29</definedName>
    <definedName name="pv_rf_">[3]Spread2PD!$F$40:$F$44</definedName>
    <definedName name="pv2_">[8]Dur2!$G$12:$G$25</definedName>
    <definedName name="PVA">[8]InstallmentLoan!$F$3</definedName>
    <definedName name="PVPMT_A">[3]CDS!$J$21:$J$25</definedName>
    <definedName name="q" localSheetId="3">#REF!</definedName>
    <definedName name="q">#REF!</definedName>
    <definedName name="R_">[3]CDS!$D$21:$D$25</definedName>
    <definedName name="rate">[3]CDS!$C$7</definedName>
    <definedName name="rated">[5]fxHW!$F$4:$H$4</definedName>
    <definedName name="ratef">[5]fxHW!$F$5:$H$5</definedName>
    <definedName name="RatingLast">[9]CreditMatrix!$D$10:$D$109</definedName>
    <definedName name="RatingNow">[9]CreditMatrix!$E$10:$E$109</definedName>
    <definedName name="ratingsTbl">[9]CreditMatrix!$B$2:$C$7</definedName>
    <definedName name="Recovery">[3]Spread2PD!$D$40:$D$44</definedName>
    <definedName name="s" localSheetId="3">[1]Liquidity_VaR!$G$7:$G$23</definedName>
    <definedName name="s">[2]Liquidity_VaR!$G$7:$G$23</definedName>
    <definedName name="S0" localSheetId="3">#REF!</definedName>
    <definedName name="S0">#REF!</definedName>
    <definedName name="S0_e_qt">[5]OptionsHW!$C$17:$E$17</definedName>
    <definedName name="SD" localSheetId="3">#REF!</definedName>
    <definedName name="SD">#REF!</definedName>
    <definedName name="Shares" localSheetId="3">[1]Liquidity_VaR!$I$7:$I$23</definedName>
    <definedName name="Shares">[2]Liquidity_VaR!$I$7:$I$23</definedName>
    <definedName name="sigma" localSheetId="3">[1]Liquidity_VaR!$G$26</definedName>
    <definedName name="sigma">[2]Liquidity_VaR!$G$26</definedName>
    <definedName name="simS" localSheetId="3">[1]Liquidity_VaR!$G$29</definedName>
    <definedName name="simS">[2]Liquidity_VaR!$G$29</definedName>
    <definedName name="sims_a">[10]VaR1!$I$17:$I$37</definedName>
    <definedName name="sims_h">[10]VaR1!$H$17:$H$37</definedName>
    <definedName name="simSpread" localSheetId="3">[1]Liquidity_VaR!$J$7:$J$23</definedName>
    <definedName name="simSpread">[2]Liquidity_VaR!$J$7:$J$23</definedName>
    <definedName name="simSpreadPerShare" localSheetId="3">[1]Liquidity_VaR!$H$7:$H$23</definedName>
    <definedName name="simSpreadPerShare">[2]Liquidity_VaR!$H$7:$H$23</definedName>
    <definedName name="Spot">[5]fxHW!$F$3:$H$3</definedName>
    <definedName name="spread" localSheetId="3">[1]Liquidity_VaR!$F$7:$F$23</definedName>
    <definedName name="spread">[2]Liquidity_VaR!$F$7:$F$23</definedName>
    <definedName name="SpreadVaR" localSheetId="3">#REF!</definedName>
    <definedName name="SpreadVaR">#REF!</definedName>
    <definedName name="StartingPortfolio">[3]ExporeInf!$C$29:$H$29</definedName>
    <definedName name="t">[3]CDS!$B$11:$B$15</definedName>
    <definedName name="t_">[3]CDS!$B$21:$B$25</definedName>
    <definedName name="table_asf">[11]ASF!$C$31:$D$34</definedName>
    <definedName name="Time" localSheetId="3">#REF!</definedName>
    <definedName name="Time">#REF!</definedName>
    <definedName name="Time_">[3]Spread2PD!$B$40:$B$44</definedName>
    <definedName name="tmat">[3]ExporeInf!$C$3:$H$8</definedName>
    <definedName name="tmat12" localSheetId="3">#REF!</definedName>
    <definedName name="tmat12">#REF!</definedName>
    <definedName name="tmat5">[3]ExporeInf!$C$12:$H$17</definedName>
    <definedName name="tmatInf">[3]ExporeInf!$C$21:$H$26</definedName>
    <definedName name="u">[6]Options2!$C$6</definedName>
    <definedName name="usd_peso">[7]FX_Intro!$C$65</definedName>
    <definedName name="v" localSheetId="3">#REF!</definedName>
    <definedName name="v">#REF!</definedName>
    <definedName name="value">[8]Curve0!$E$26</definedName>
    <definedName name="value_01">[8]Dur2!$I$12</definedName>
    <definedName name="value_lo" localSheetId="3">#REF!</definedName>
    <definedName name="value_lo">#REF!</definedName>
    <definedName name="value_rf_">[3]Spread2PD!$C$40:$C$44</definedName>
    <definedName name="weight">[9]CreditMatrix_Weighted!$F$10:$F$109</definedName>
    <definedName name="X" localSheetId="3">#REF!</definedName>
    <definedName name="X">#REF!</definedName>
    <definedName name="X_e_rt">[5]OptionsHW!$C$18:$E$18</definedName>
    <definedName name="y">[8]Bond!$C$8</definedName>
    <definedName name="years">[8]Bond!$C$7</definedName>
    <definedName name="YTM" localSheetId="3">#REF!</definedName>
    <definedName name="YTM">#REF!</definedName>
    <definedName name="YTM_rf" localSheetId="3">#REF!</definedName>
    <definedName name="YTM_rf">#REF!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F8" i="24" l="1"/>
  <c r="I8" i="24" s="1"/>
  <c r="F9" i="24"/>
  <c r="K9" i="24" s="1"/>
  <c r="F10" i="24"/>
  <c r="K10" i="24"/>
  <c r="F11" i="24"/>
  <c r="I11" i="24"/>
  <c r="F12" i="24"/>
  <c r="L12" i="24"/>
  <c r="F13" i="24"/>
  <c r="O13" i="24"/>
  <c r="F14" i="24"/>
  <c r="L14" i="24"/>
  <c r="F15" i="24"/>
  <c r="L15" i="24"/>
  <c r="D18" i="24"/>
  <c r="F18" i="24"/>
  <c r="K18" i="24" s="1"/>
  <c r="D19" i="24"/>
  <c r="F19" i="24" s="1"/>
  <c r="D20" i="24"/>
  <c r="F20" i="24" s="1"/>
  <c r="M20" i="24" s="1"/>
  <c r="D21" i="24"/>
  <c r="F21" i="24" s="1"/>
  <c r="K21" i="24" s="1"/>
  <c r="F24" i="24"/>
  <c r="F25" i="24"/>
  <c r="D28" i="24"/>
  <c r="F28" i="24"/>
  <c r="D29" i="24"/>
  <c r="F29" i="24" s="1"/>
  <c r="D30" i="24"/>
  <c r="F30" i="24" s="1"/>
  <c r="D31" i="24"/>
  <c r="F31" i="24" s="1"/>
  <c r="D34" i="24"/>
  <c r="F34" i="24"/>
  <c r="O34" i="24" s="1"/>
  <c r="D35" i="24"/>
  <c r="C35" i="24" s="1"/>
  <c r="O35" i="24"/>
  <c r="D36" i="24"/>
  <c r="C36" i="24" s="1"/>
  <c r="O36" i="24"/>
  <c r="F39" i="24"/>
  <c r="N39" i="24" s="1"/>
  <c r="F40" i="24"/>
  <c r="O40" i="24"/>
  <c r="F41" i="24"/>
  <c r="O41" i="24" s="1"/>
  <c r="J44" i="24"/>
  <c r="P44" i="24"/>
  <c r="F8" i="23"/>
  <c r="I8" i="23" s="1"/>
  <c r="I44" i="23" s="1"/>
  <c r="F9" i="23"/>
  <c r="K9" i="23" s="1"/>
  <c r="F10" i="23"/>
  <c r="M10" i="23" s="1"/>
  <c r="F11" i="23"/>
  <c r="K11" i="23" s="1"/>
  <c r="F12" i="23"/>
  <c r="J12" i="23" s="1"/>
  <c r="F13" i="23"/>
  <c r="K13" i="23" s="1"/>
  <c r="F14" i="23"/>
  <c r="K14" i="23" s="1"/>
  <c r="F15" i="23"/>
  <c r="K15" i="23" s="1"/>
  <c r="F18" i="23"/>
  <c r="J18" i="23" s="1"/>
  <c r="F19" i="23"/>
  <c r="J19" i="23"/>
  <c r="K19" i="23"/>
  <c r="F20" i="23"/>
  <c r="L20" i="23" s="1"/>
  <c r="L44" i="23" s="1"/>
  <c r="F21" i="23"/>
  <c r="K21" i="23"/>
  <c r="F24" i="23"/>
  <c r="F25" i="23"/>
  <c r="D28" i="23"/>
  <c r="F28" i="23"/>
  <c r="D29" i="23"/>
  <c r="F29" i="23" s="1"/>
  <c r="U44" i="23" s="1"/>
  <c r="F30" i="23"/>
  <c r="F31" i="23"/>
  <c r="U61" i="23" s="1"/>
  <c r="F34" i="23"/>
  <c r="O34" i="23" s="1"/>
  <c r="C35" i="23"/>
  <c r="O35" i="23"/>
  <c r="C36" i="23"/>
  <c r="O36" i="23"/>
  <c r="F39" i="23"/>
  <c r="N39" i="23" s="1"/>
  <c r="N44" i="23" s="1"/>
  <c r="F40" i="23"/>
  <c r="O40" i="23" s="1"/>
  <c r="F41" i="23"/>
  <c r="O41" i="23"/>
  <c r="P44" i="23"/>
  <c r="T61" i="23"/>
  <c r="L44" i="24" l="1"/>
  <c r="I44" i="24"/>
  <c r="M44" i="23"/>
  <c r="N44" i="24"/>
  <c r="T61" i="24"/>
  <c r="U61" i="24"/>
  <c r="O44" i="24"/>
  <c r="K44" i="24"/>
  <c r="J44" i="23"/>
  <c r="V44" i="23" s="1"/>
  <c r="O44" i="23"/>
  <c r="K44" i="23"/>
  <c r="U44" i="24"/>
  <c r="T44" i="24"/>
  <c r="M19" i="24"/>
  <c r="F44" i="24"/>
  <c r="H44" i="24"/>
  <c r="T44" i="23"/>
  <c r="F44" i="23"/>
  <c r="I46" i="23" s="1"/>
  <c r="I61" i="23" s="1"/>
  <c r="K46" i="24" l="1"/>
  <c r="K61" i="24" s="1"/>
  <c r="L46" i="24"/>
  <c r="L61" i="24" s="1"/>
  <c r="F61" i="24"/>
  <c r="J46" i="24"/>
  <c r="J61" i="24" s="1"/>
  <c r="L46" i="23"/>
  <c r="L61" i="23" s="1"/>
  <c r="P46" i="23"/>
  <c r="P61" i="23" s="1"/>
  <c r="M46" i="23"/>
  <c r="M61" i="23" s="1"/>
  <c r="F61" i="23"/>
  <c r="O46" i="23"/>
  <c r="O61" i="23" s="1"/>
  <c r="J46" i="23"/>
  <c r="J61" i="23" s="1"/>
  <c r="N46" i="23"/>
  <c r="N61" i="23" s="1"/>
  <c r="K46" i="23"/>
  <c r="K61" i="23" s="1"/>
  <c r="M44" i="24"/>
  <c r="V44" i="24" s="1"/>
  <c r="H44" i="23"/>
  <c r="I46" i="24"/>
  <c r="I61" i="24" s="1"/>
  <c r="M46" i="24" l="1"/>
  <c r="O46" i="24"/>
  <c r="O61" i="24" s="1"/>
  <c r="M61" i="24"/>
  <c r="N46" i="24"/>
  <c r="N61" i="24" s="1"/>
  <c r="W61" i="23"/>
  <c r="H61" i="23"/>
  <c r="P46" i="24"/>
  <c r="P61" i="24" s="1"/>
  <c r="W61" i="24"/>
  <c r="H61" i="24"/>
  <c r="K63" i="23" l="1"/>
  <c r="O63" i="23"/>
  <c r="L63" i="23"/>
  <c r="P63" i="23"/>
  <c r="J63" i="23"/>
  <c r="M63" i="23"/>
  <c r="N63" i="23"/>
  <c r="I63" i="23"/>
  <c r="J63" i="24"/>
  <c r="N63" i="24"/>
  <c r="K63" i="24"/>
  <c r="O63" i="24"/>
  <c r="L63" i="24"/>
  <c r="P63" i="24"/>
  <c r="M63" i="24"/>
  <c r="I63" i="24"/>
</calcChain>
</file>

<file path=xl/sharedStrings.xml><?xml version="1.0" encoding="utf-8"?>
<sst xmlns="http://schemas.openxmlformats.org/spreadsheetml/2006/main" count="598" uniqueCount="396">
  <si>
    <t>Objectives</t>
  </si>
  <si>
    <t>Optional Discussion</t>
  </si>
  <si>
    <t>Dogma is faster</t>
  </si>
  <si>
    <t>Confusion is observable</t>
  </si>
  <si>
    <t>My thoughts</t>
  </si>
  <si>
    <t>Market Failure</t>
  </si>
  <si>
    <t>Regulatory Arbitrage</t>
  </si>
  <si>
    <t>Simplicity</t>
  </si>
  <si>
    <t>Fannie and Freddie Mac</t>
  </si>
  <si>
    <t>Polarization</t>
  </si>
  <si>
    <t xml:space="preserve">Biblical justice / Code of Hammurabi </t>
  </si>
  <si>
    <t>Free Markets</t>
  </si>
  <si>
    <t>Heuristics</t>
  </si>
  <si>
    <t>The Dog and the Frisbee</t>
  </si>
  <si>
    <t>Need disclosure to market for market confidence</t>
  </si>
  <si>
    <t>To get systemic sensitivity, need shared scenarios.</t>
  </si>
  <si>
    <t>Systemic Stress Testing of Banks</t>
  </si>
  <si>
    <t>1:48:00 Insurable Interest</t>
  </si>
  <si>
    <t>1:27:00 Sensitivity</t>
  </si>
  <si>
    <t>1:09:30 It’s the government</t>
  </si>
  <si>
    <t>1:07:00 No one knew</t>
  </si>
  <si>
    <t>1:04:00 Continued underwriting</t>
  </si>
  <si>
    <t>1:00:00 Blankfein: what they knew</t>
  </si>
  <si>
    <t>58:00 Turning point idea</t>
  </si>
  <si>
    <t>57:30 Blankfein: explanation</t>
  </si>
  <si>
    <t>52:30 Short and long Positions</t>
  </si>
  <si>
    <t>50:00 Conflict of interest</t>
  </si>
  <si>
    <t>47:00 Rational to go public</t>
  </si>
  <si>
    <t>40:13 Synthetic CDO. No ‘insurable interest’</t>
  </si>
  <si>
    <t>8:00  Carl Levin: Junk Deals</t>
  </si>
  <si>
    <t>7:00 Blankfein: Net short</t>
  </si>
  <si>
    <t>6:40 Blankfein: strong risk management</t>
  </si>
  <si>
    <t>6:00 Blankfein: centralized clearing</t>
  </si>
  <si>
    <t>https://www.c-span.org/video/?293196-3/investment-banks-financial-crisis-goldman-sachs-chair-ceo</t>
  </si>
  <si>
    <t>Blankfien testimony</t>
  </si>
  <si>
    <t>Debate: Goldman's actions were unethical.</t>
  </si>
  <si>
    <t>Debate: Greed is a legitimate factor in thinking about risk and the economy.</t>
  </si>
  <si>
    <t>Lehman Bankruptcy Documenation</t>
  </si>
  <si>
    <t>https://jenner.com/lehman/VOLUME%201.pdf</t>
  </si>
  <si>
    <t>Lack of discipline regarding limits.</t>
  </si>
  <si>
    <t>Between December 2006 and December 2007, Lehman raised its firm‐</t>
  </si>
  <si>
    <t>wide risk appetite limit three times, going from $2.3 to $4.0 billion</t>
  </si>
  <si>
    <t>Manipulated risk management process.</t>
  </si>
  <si>
    <t>Between May and August 2007, Lehman omitted some of its largest risks</t>
  </si>
  <si>
    <t>from its risk usage calculation.    The primary omitted risk was a $2.3</t>
  </si>
  <si>
    <t>billion bridge equity position in the Archstone‐Smith Real Estate</t>
  </si>
  <si>
    <t>Investment Trust</t>
  </si>
  <si>
    <t>Did not allow for risk management to reign in.</t>
  </si>
  <si>
    <t>Based upon their considerable business experience and successful track record,</t>
  </si>
  <si>
    <t>Lehman’s senior managers decided to place a higher priority on increasing profits than</t>
  </si>
  <si>
    <t>on keeping the firm’s risk level within the limits arising from its risk management</t>
  </si>
  <si>
    <t>policies and metrics.    Lehman’s senior managers were confident making business</t>
  </si>
  <si>
    <t>judgments based on their understanding of the markets, and did not feel constrained by</t>
  </si>
  <si>
    <t xml:space="preserve">the quantitative metrics generated by Lehman’s risk management system.  </t>
  </si>
  <si>
    <t>Did not listen to dissent.</t>
  </si>
  <si>
    <t>During the course of 2006, Lehman’s management and Board made the</t>
  </si>
  <si>
    <t>deliberate business decision to increase the firm’s risk profile generally, and to take</t>
  </si>
  <si>
    <t>more risk specifically with respect to principal investments with the firm’s capital.  This</t>
  </si>
  <si>
    <t xml:space="preserve">new strategy was directed by Lehman’s highest officers </t>
  </si>
  <si>
    <t>– primarily Fuld, Joseph Gregory (Lehman’s President and Chief Operating Officer), and Hugh E. (Skip) McGee</t>
  </si>
  <si>
    <t xml:space="preserve">III (Global Head of Investment Banking) – after significant internal debate. </t>
  </si>
  <si>
    <t>Considered intangible assets as a benefit.</t>
  </si>
  <si>
    <t>The business strategy to expand the leveraged loan business was somewhat</t>
  </si>
  <si>
    <t>different.   Lehman’s management recognized that leveraged loans in their own right,</t>
  </si>
  <si>
    <t>including the bridge equity components of those transactions, were risky relative to</t>
  </si>
  <si>
    <t>their profitability.165   But Fuld, Gregory, and McGee in particular believed that if</t>
  </si>
  <si>
    <t>Lehman made loans to private equity sponsors as part of major M&amp;A transactions,</t>
  </si>
  <si>
    <t>Lehman would build long‐term client relationships with the sponsors and perhaps with</t>
  </si>
  <si>
    <t>other institutions involved in the transaction.166  Fuld, Gregory, and McGee believed</t>
  </si>
  <si>
    <t>that every dollar that Lehman made from a leveraged loan would lead to five dollars of</t>
  </si>
  <si>
    <t>follow‐on profits in the future.167</t>
  </si>
  <si>
    <t>Did not include non-traded assets in stress testing.</t>
  </si>
  <si>
    <t>When Lehman first adopted stress testing in about 2005, it applied the testing</t>
  </si>
  <si>
    <t>only to its tradable instruments such as stocks, bonds, and other securities; it did not</t>
  </si>
  <si>
    <t>include its un‐traded assets such as its commercial real estate or private equity</t>
  </si>
  <si>
    <t>investments.192   Because these assets did not trade freely, they were not considered</t>
  </si>
  <si>
    <t>susceptible to stress testing over a short‐term scenario.</t>
  </si>
  <si>
    <t>More investments excluded from risk management process.</t>
  </si>
  <si>
    <t>At various points in 2006 and 2007, Lehman’s risk managers considered whether</t>
  </si>
  <si>
    <t>to include principal investments in Lehman’s stress testing.196  An internal audit advised</t>
  </si>
  <si>
    <t>that Lehman “address the main risks in the Firm’s portfolio,” including “illiquidity”</t>
  </si>
  <si>
    <t>and “concentration risk.”197  But Lehman did not take significant steps to include these</t>
  </si>
  <si>
    <t>private equity positions in the stress testing until 2008, even though these investments</t>
  </si>
  <si>
    <t xml:space="preserve">became an increasingly large portion of Lehman’s risk profile.198 </t>
  </si>
  <si>
    <t>It turns out excluded risks were extreme.</t>
  </si>
  <si>
    <t>Experimental stress tests conducted in 2008</t>
  </si>
  <si>
    <t>showed that a large proportion of Lehman’s tail risk – perhaps even a large majority of</t>
  </si>
  <si>
    <t>its overall tail risk – lay with the businesses that were previously excluded from the</t>
  </si>
  <si>
    <t xml:space="preserve">stress testing.   </t>
  </si>
  <si>
    <t>Weak board?</t>
  </si>
  <si>
    <t xml:space="preserve">Lehman’s Board fully embraced Lehman’s growth strategy. </t>
  </si>
  <si>
    <t>Did not know about subprime.</t>
  </si>
  <si>
    <t>No network intelligence.</t>
  </si>
  <si>
    <t>Executive committee on the risk committee</t>
  </si>
  <si>
    <t>Source?</t>
  </si>
  <si>
    <t>Description of securitization business</t>
  </si>
  <si>
    <t>Lehman had a vertically integrated residential mortgage</t>
  </si>
  <si>
    <t>business in which BNC originated subprime loans and Aurora originated Alt‐A loans,</t>
  </si>
  <si>
    <t>and Lehman itself securitized pools of those mortgages into residential mortgage‐</t>
  </si>
  <si>
    <t>backed securities (“RMBS”).265    BNC and Aurora were part of Lehman’s Mortgage</t>
  </si>
  <si>
    <t>Capital Division, which originated residential mortgages, while FID was responsible for</t>
  </si>
  <si>
    <t>securitizing the mortgages.266    By selling the RMBS to investors, Lehman shifted the</t>
  </si>
  <si>
    <t>risks of the underlying mortgages to the investors.267  Lehman, however, bore the risk</t>
  </si>
  <si>
    <t xml:space="preserve">that it would not be able to securitize the mortgages or sell the RMBS.26 </t>
  </si>
  <si>
    <t>Illiquid assets</t>
  </si>
  <si>
    <t xml:space="preserve">The mortgagesthat Lehman could not shift to third‐party investors through securitization were known as “retained interests.”269   </t>
  </si>
  <si>
    <t>By late 2006, Lehman’s non‐investment grade retained interests began to increase</t>
  </si>
  <si>
    <t>sharply;  investors were growing increasingly cautious about purchasing RMBS bonds</t>
  </si>
  <si>
    <t>backed by subprime mortgages, “and as a result the [Lehman residential mortgage</t>
  </si>
  <si>
    <t xml:space="preserve">trading] desk [was] struggling to sell residuals and [non‐investment grade] bonds.”270  </t>
  </si>
  <si>
    <t>Lehman’s diminished ability to shift the mortgage‐based risk to investors meant that</t>
  </si>
  <si>
    <t>the formerly profitable moving business could become a money‐losing storage business</t>
  </si>
  <si>
    <t>Sneaky expansion</t>
  </si>
  <si>
    <t>Even as Lehman was tightening standards on its subprime originations through</t>
  </si>
  <si>
    <t>BNC, Lehman was also using its Aurora subsidiary to expand its Alt‐A lending</t>
  </si>
  <si>
    <t>How did Lehman lose money?</t>
  </si>
  <si>
    <t>Risk Management</t>
  </si>
  <si>
    <t>No adherence to risk limits.</t>
  </si>
  <si>
    <t>Incomplete scenario analysis.</t>
  </si>
  <si>
    <t>Assets not included in risk process.</t>
  </si>
  <si>
    <t>Risk committee dominated by executive committee.</t>
  </si>
  <si>
    <t>Uninformed and weak board.</t>
  </si>
  <si>
    <t>Strategy</t>
  </si>
  <si>
    <t>Decoupling</t>
  </si>
  <si>
    <t>Expansion</t>
  </si>
  <si>
    <t>Bluffing to the market</t>
  </si>
  <si>
    <t>Did not listed to skilled personnel</t>
  </si>
  <si>
    <t>Culture</t>
  </si>
  <si>
    <t>Ulterior motives for hiring</t>
  </si>
  <si>
    <t>Low Morale</t>
  </si>
  <si>
    <t>Authoritarian culture</t>
  </si>
  <si>
    <t>Loss of skilled personnel</t>
  </si>
  <si>
    <t>How did Goldman make money?</t>
  </si>
  <si>
    <t>Luck</t>
  </si>
  <si>
    <t>John Paulson</t>
  </si>
  <si>
    <t>Mark to market</t>
  </si>
  <si>
    <t>Diversified revenue streams</t>
  </si>
  <si>
    <t>Mechanics</t>
  </si>
  <si>
    <t>First mover advantage</t>
  </si>
  <si>
    <t>The Big Short</t>
  </si>
  <si>
    <t>ABX</t>
  </si>
  <si>
    <t>CDS</t>
  </si>
  <si>
    <t>AIG</t>
  </si>
  <si>
    <t>Bear</t>
  </si>
  <si>
    <t>SecDB</t>
  </si>
  <si>
    <t>What could Lehman have done?</t>
  </si>
  <si>
    <t>Do their own Big Short!</t>
  </si>
  <si>
    <t>CDO</t>
  </si>
  <si>
    <t>CMBS</t>
  </si>
  <si>
    <t>Alt-A</t>
  </si>
  <si>
    <t>Replace senior management</t>
  </si>
  <si>
    <t>Sell treasury stock to raise capital</t>
  </si>
  <si>
    <t>Clear out the inventory</t>
  </si>
  <si>
    <t>Hire back departed talent</t>
  </si>
  <si>
    <t>What could Goldman have done better?</t>
  </si>
  <si>
    <t>Fiduciary Responsibility</t>
  </si>
  <si>
    <t>Inform clients</t>
  </si>
  <si>
    <t>What can we learn from Lehman?</t>
  </si>
  <si>
    <t>Strategy and Risk Management interact</t>
  </si>
  <si>
    <t>Culture matters</t>
  </si>
  <si>
    <t>VaR can help</t>
  </si>
  <si>
    <t>Strategy from collective intelligence is safer</t>
  </si>
  <si>
    <t>Illiquid assets can’t be repo’d</t>
  </si>
  <si>
    <t>What can we learn from Goldman?</t>
  </si>
  <si>
    <t>Teamwork can help fight through complexity</t>
  </si>
  <si>
    <t>PR matters</t>
  </si>
  <si>
    <t>Teach the public hedge vs speculate</t>
  </si>
  <si>
    <t>Avoid this:</t>
  </si>
  <si>
    <t>http://www.rollingstone.com/politics/news/the-great-american-bubble-machine-20100405</t>
  </si>
  <si>
    <t>https://en.wikipedia.org/wiki/Vampire_squid</t>
  </si>
  <si>
    <t>When to push back against VaR</t>
  </si>
  <si>
    <t>Observe Lessons by contrasting Lehman and Goldman</t>
  </si>
  <si>
    <t>Lehman vs Goldman</t>
  </si>
  <si>
    <t>Goldman Testimony</t>
  </si>
  <si>
    <t>Lehman Documentation</t>
  </si>
  <si>
    <t>Wins and Losses</t>
  </si>
  <si>
    <t>What could have been done better?</t>
  </si>
  <si>
    <r>
      <t>Which alternative investment* position(s) show the most contagion risk in the stress tes</t>
    </r>
    <r>
      <rPr>
        <sz val="12"/>
        <color rgb="FF333333"/>
        <rFont val="Calibri"/>
        <family val="2"/>
      </rPr>
      <t>t?</t>
    </r>
  </si>
  <si>
    <t>Which equity position(s) show the most contagion risk in the stress test?</t>
  </si>
  <si>
    <t>Which fixed income position(s) show the most contagion risk in the stress test?</t>
  </si>
  <si>
    <t>Responses</t>
  </si>
  <si>
    <t>(* = Commercial Real Estate and Hedge Funds)</t>
  </si>
  <si>
    <r>
      <t>3.</t>
    </r>
    <r>
      <rPr>
        <sz val="7"/>
        <color rgb="FF333333"/>
        <rFont val="Times New Roman"/>
        <family val="1"/>
      </rPr>
      <t xml:space="preserve">     </t>
    </r>
    <r>
      <rPr>
        <sz val="12"/>
        <color rgb="FF333333"/>
        <rFont val="Calibri"/>
        <family val="2"/>
      </rPr>
      <t>Which alternative investment* position(s) show the most contagion risk in the stress test?</t>
    </r>
  </si>
  <si>
    <r>
      <t>2.</t>
    </r>
    <r>
      <rPr>
        <sz val="7"/>
        <color rgb="FF333333"/>
        <rFont val="Times New Roman"/>
        <family val="1"/>
      </rPr>
      <t xml:space="preserve">     </t>
    </r>
    <r>
      <rPr>
        <sz val="12"/>
        <color rgb="FF333333"/>
        <rFont val="Calibri"/>
        <family val="2"/>
      </rPr>
      <t>Which equity position(s) show the most contagion risk in the stress test?</t>
    </r>
  </si>
  <si>
    <r>
      <t>1.</t>
    </r>
    <r>
      <rPr>
        <sz val="7"/>
        <color rgb="FF333333"/>
        <rFont val="Times New Roman"/>
        <family val="1"/>
      </rPr>
      <t xml:space="preserve">     </t>
    </r>
    <r>
      <rPr>
        <sz val="12"/>
        <color rgb="FF333333"/>
        <rFont val="Calibri"/>
        <family val="2"/>
      </rPr>
      <t>Which fixed income position(s) show the most contagion risk in the stress test?</t>
    </r>
  </si>
  <si>
    <r>
      <t xml:space="preserve">Study the price changes of the investments, listed in the other tabs, between 31 March 2019 and the 30 June 2019 stress test. Based on your knowledge of each type of investment’s market, credit and liquidity risk characteristics, enter your rationale for the existence and magnitude, or non-existence, of contagion risk against each position in the shaded </t>
    </r>
    <r>
      <rPr>
        <u/>
        <sz val="12"/>
        <color rgb="FF333333"/>
        <rFont val="Calibri"/>
        <family val="2"/>
      </rPr>
      <t>Contagion Risk Assessment</t>
    </r>
    <r>
      <rPr>
        <sz val="12"/>
        <color rgb="FF333333"/>
        <rFont val="Calibri"/>
        <family val="2"/>
      </rPr>
      <t xml:space="preserve"> column. Then, answer the following questions, giving brief reasons for each of your answers.</t>
    </r>
  </si>
  <si>
    <t>Instructions</t>
  </si>
  <si>
    <t>You are the same risk analyst in a wealth management company who helped one of the wealth managers win the account of the Vanderbilt Family Office. Your liquidity analysis of the FO’s existing and proposed investment portfolios was favorably received and the proposed portfolio changes were made. Now the FO’s Administrative Manager has asked you to stress test the new portfolio in a Global Markets Correction scenario, highlighting the positions which are vulnerable to contagion between more than one risk category.</t>
  </si>
  <si>
    <t>Description</t>
  </si>
  <si>
    <t>Assess contagion risk in an investment portfolio</t>
  </si>
  <si>
    <t>Title</t>
  </si>
  <si>
    <t>The liquidity profile of the new portfolio exceeds the family's requirement for at least 30% of the portfolio to be liquid in 2 days.</t>
  </si>
  <si>
    <t>Rationale for acceptability of liquidity risk in new portfolio</t>
  </si>
  <si>
    <t>=</t>
  </si>
  <si>
    <t>-</t>
  </si>
  <si>
    <t>+</t>
  </si>
  <si>
    <t>Existing projected cumulative liquidity</t>
  </si>
  <si>
    <t>Old WAVY</t>
  </si>
  <si>
    <t>New projected cumulative liquidity</t>
  </si>
  <si>
    <t>15% diversification applied</t>
  </si>
  <si>
    <t>New WAVY</t>
  </si>
  <si>
    <t>Total</t>
  </si>
  <si>
    <t>Hedge Funds</t>
  </si>
  <si>
    <t>Commercial Real Estate</t>
  </si>
  <si>
    <t>Equities</t>
  </si>
  <si>
    <t>Fixed income</t>
  </si>
  <si>
    <t>Notes</t>
  </si>
  <si>
    <t>Liquidity Metric</t>
  </si>
  <si>
    <t>Stress</t>
  </si>
  <si>
    <t>VaR</t>
  </si>
  <si>
    <t>Liquidity</t>
  </si>
  <si>
    <t>Volatility</t>
  </si>
  <si>
    <t>Yield</t>
  </si>
  <si>
    <t>US$ Value</t>
  </si>
  <si>
    <t>FX</t>
  </si>
  <si>
    <t>Price</t>
  </si>
  <si>
    <t>Quantity</t>
  </si>
  <si>
    <t>Projected</t>
  </si>
  <si>
    <t>Expected</t>
  </si>
  <si>
    <t>Days to Liquidate or Close Out</t>
  </si>
  <si>
    <t>YIELD &amp; LIQUIDITY ANALYSIS</t>
  </si>
  <si>
    <t>INVESTMENTS TO CONSIDER</t>
  </si>
  <si>
    <t>Projected cumulative liquidity</t>
  </si>
  <si>
    <t>WAV Yield</t>
  </si>
  <si>
    <t>This hedge fund adds CRE expsoure with average yield and liquidity for the sector</t>
  </si>
  <si>
    <t>180 days: up to USD 10 mn</t>
  </si>
  <si>
    <t>R Investment Advisors CRE Fund</t>
  </si>
  <si>
    <t>This hedge fund has average yield and liquidity for the sector</t>
  </si>
  <si>
    <t>180 days: up to USD 10mn</t>
  </si>
  <si>
    <t>Q Investment Advisors Value Fund</t>
  </si>
  <si>
    <t>This hedge fund has typical liquidity but not a very high yield</t>
  </si>
  <si>
    <t>60 days: up to USD 5mn</t>
  </si>
  <si>
    <t>Z Investment Advisors Macro Fund</t>
  </si>
  <si>
    <t>This CRE investment has better than average  yield and liquidity and represents a different portion of the commercial real estate sector</t>
  </si>
  <si>
    <t>Can be bought in lots of USD 5mn</t>
  </si>
  <si>
    <t>180 days up to USD 10mn</t>
  </si>
  <si>
    <t>Ownership of luxury apartment building in Denver</t>
  </si>
  <si>
    <t>This CRE investment has average  yield and liquidity and represents a different portion of the commercial real estate sector</t>
  </si>
  <si>
    <t>Ownership of West Hills shopping mall in Pittsburgh</t>
  </si>
  <si>
    <t>This CRE investment has a moderate yield but limited liquidity and represents only one portion of the commercial real estate sector</t>
  </si>
  <si>
    <t>Can be sold in lots of USD 10mn</t>
  </si>
  <si>
    <t>180 days: up to USD 10mn    360 days up to USD 20mn</t>
  </si>
  <si>
    <t>Ownership of office tower located at 240 E Monroe in Chicago</t>
  </si>
  <si>
    <t>1 day: up to USD 2mn</t>
  </si>
  <si>
    <t>Put, GSPTSE, strike 13,000, 5-Jul-19</t>
  </si>
  <si>
    <t>Put, Nikkei 225, strike 15,000, 5-Jul-19</t>
  </si>
  <si>
    <t>Put, AEX, strike 395, 5-Jul-19</t>
  </si>
  <si>
    <t>Put, SPX, strike 1,800, 5-Jul-19</t>
  </si>
  <si>
    <t>Shorts</t>
  </si>
  <si>
    <t>Derivatives</t>
  </si>
  <si>
    <t>1 day: up to USD 20mn</t>
  </si>
  <si>
    <t>Sell CAD, Buy USD, 1.35, 30-Jun-2019</t>
  </si>
  <si>
    <t>Sell EUR, Buy USD, 1.05, 31-Dec-2019</t>
  </si>
  <si>
    <t>Currencies</t>
  </si>
  <si>
    <t>This stock has a low yield but moderate liquidity in large amounts</t>
  </si>
  <si>
    <t>2 days: up to USD 5mn               5 days: up to USD 10mn          10 days up to USD 20mn</t>
  </si>
  <si>
    <t>Company W, common stock, Euronext</t>
  </si>
  <si>
    <t>This stock has a good yield and moderate liquidity in modest amounts</t>
  </si>
  <si>
    <t>5 days: up to USD 5Mn               10 days: up to USD 10mn</t>
  </si>
  <si>
    <t>Company X, common stock, Nikkei</t>
  </si>
  <si>
    <t>This stock has moderate yield and liquidity in moderate amounts</t>
  </si>
  <si>
    <t>1 day: up to USD 1Mn               2 days: up to USD 2mn         5 days up to USD 10 mn            10 days: up to USD 15mn</t>
  </si>
  <si>
    <t>Company Y, common stock, TSX</t>
  </si>
  <si>
    <t>This stock has high growth potential and good liquidity but zero yield</t>
  </si>
  <si>
    <t>1 day: up to USD 5Mn               2 days: up to USD 10mn        5 days up to USD 20 mn</t>
  </si>
  <si>
    <t>Company V, common stock, Nasdaq</t>
  </si>
  <si>
    <t>This muni bond's yield and liquidity in moderate amounts are typical of the sector</t>
  </si>
  <si>
    <t>Credit rating A-</t>
  </si>
  <si>
    <t xml:space="preserve">2 days: up to USD 1mn                                                             5 days: up to USD 5mn               10 days: up to USD 10mn           30 days: up to USD 20mn    </t>
  </si>
  <si>
    <t>MI Financial Authority, USD, 1,000,000, 1-Jun-2022, 5%, 180/360</t>
  </si>
  <si>
    <t>Credit rating Baa1/A-</t>
  </si>
  <si>
    <t>IL State GO, USD, 1,000,000, 3-Jan-2024, 5%, 180/360</t>
  </si>
  <si>
    <t>This muni bond has a low yield compared to others with similar liquidity</t>
  </si>
  <si>
    <t>Credit rating A3/A-</t>
  </si>
  <si>
    <t>NJ State Transit Authority, USD, 1,000,000, 15-Jun-2024, 3%, 180/360</t>
  </si>
  <si>
    <t>This bond has good liquidity in large amounts and a moderate yield</t>
  </si>
  <si>
    <t>Credit rating Aaa/AA+</t>
  </si>
  <si>
    <t>1 day: up to USD 5Mn               2 days: up to USD 20mn</t>
  </si>
  <si>
    <t>US Treasury, USD, 3,000,000, 0%, 31-Dec-2038</t>
  </si>
  <si>
    <t>This high yield bond has reasonable liquidity in moderate amounts</t>
  </si>
  <si>
    <t>Credit rating Ba1/BB+</t>
  </si>
  <si>
    <t>5 days: up to USD 5mn             10 days: up to USD 15mn</t>
  </si>
  <si>
    <t>Company T, CAD, 1,500,000, 31-Dec-2021, 2.75%, 360/360</t>
  </si>
  <si>
    <t>This Coco bond has limited liquidity in modest amoounts but a very high yield</t>
  </si>
  <si>
    <t>Credit rating Baa3/BBB-</t>
  </si>
  <si>
    <t>10 days: up to USD 2mn     30 days: up to USD 5mn</t>
  </si>
  <si>
    <t>Bank S, USD, 5,000,000, Coco, 31-Dec-2037, 6%, 180/360</t>
  </si>
  <si>
    <t>This bond has moderate yield and liquidity in modest amounts</t>
  </si>
  <si>
    <t>Credit rating A2/A</t>
  </si>
  <si>
    <t xml:space="preserve">1 day: up to USD 1mn                                                             2 days: up to USD 5mn               5 days: up to USD 10mn          10 days: up to USD 20mn     </t>
  </si>
  <si>
    <t xml:space="preserve">Bank R, USD, 2,000,000, senior unsecured, 31-Dec-2023, 2.0%, 180/360 </t>
  </si>
  <si>
    <t>Contagion between market, credit and/or liquidity risk: Yes/No? Briefly state the rationale for your assessment</t>
  </si>
  <si>
    <t>Credit rating Aa2/AA</t>
  </si>
  <si>
    <t>1 day: up to USD 10mn                                2 days: up to USD 20mn</t>
  </si>
  <si>
    <t>Sovereign Q, EUR, 1,000,000, 31-Dec-2028, 1.5%, 360/360</t>
  </si>
  <si>
    <t>CONTAGION RISK ASSESSMENT</t>
  </si>
  <si>
    <r>
      <t>VANDERBILT FAMILY OFFICE INVESTMENT PORTFOLIO -</t>
    </r>
    <r>
      <rPr>
        <b/>
        <sz val="11"/>
        <color rgb="FFFF0000"/>
        <rFont val="Calibri"/>
        <family val="2"/>
        <scheme val="minor"/>
      </rPr>
      <t xml:space="preserve"> </t>
    </r>
    <r>
      <rPr>
        <b/>
        <sz val="11"/>
        <color theme="1"/>
        <rFont val="Calibri"/>
        <family val="2"/>
        <scheme val="minor"/>
      </rPr>
      <t>NEW PORTFOLIO</t>
    </r>
  </si>
  <si>
    <t>Attachment A</t>
  </si>
  <si>
    <t>GLOBAL MARKET CORRECTION</t>
  </si>
  <si>
    <t>Scenario:</t>
  </si>
  <si>
    <r>
      <t>VANDERBILT FAMILY OFFICE INVESTMENT PORTFOLIO - NEW PORTFOLIO -</t>
    </r>
    <r>
      <rPr>
        <b/>
        <sz val="11"/>
        <color rgb="FFFF0000"/>
        <rFont val="Calibri"/>
        <family val="2"/>
        <scheme val="minor"/>
      </rPr>
      <t xml:space="preserve"> STRESS TEST</t>
    </r>
  </si>
  <si>
    <t>Does FX hedging proposal #4 contain wrong-way risk? If yes, explain how, and suggest how the proposed transaction can be altered to avoid it.</t>
  </si>
  <si>
    <t>Does FX hedging proposal #3 contain wrong-way risk? If yes, explain how, and suggest how the proposed transaction can be altered to avoid it.</t>
  </si>
  <si>
    <r>
      <t>Does FX hedging proposal #2 contain wrong-way risk? If yes, explain how, and suggest how the proposed transaction can be altered to avoid it</t>
    </r>
    <r>
      <rPr>
        <sz val="12"/>
        <color rgb="FF333333"/>
        <rFont val="Calibri"/>
        <family val="2"/>
      </rPr>
      <t>.</t>
    </r>
  </si>
  <si>
    <t>Which Does FX hedging proposal #1 contain wrong-way risk? If yes, explain how, and suggest how the proposed transaction can be altered to avoid it.</t>
  </si>
  <si>
    <r>
      <t>4.</t>
    </r>
    <r>
      <rPr>
        <sz val="7"/>
        <color rgb="FF333333"/>
        <rFont val="Times New Roman"/>
        <family val="1"/>
      </rPr>
      <t xml:space="preserve">     </t>
    </r>
    <r>
      <rPr>
        <sz val="12"/>
        <color rgb="FF333333"/>
        <rFont val="Calibri"/>
        <family val="2"/>
      </rPr>
      <t>Does FX hedging proposal #4 contain wrong-way risk? If yes, explain how and suggest how the proposed transaction can be altered to avoid it.</t>
    </r>
  </si>
  <si>
    <r>
      <t>3.</t>
    </r>
    <r>
      <rPr>
        <sz val="7"/>
        <color rgb="FF333333"/>
        <rFont val="Times New Roman"/>
        <family val="1"/>
      </rPr>
      <t xml:space="preserve">     </t>
    </r>
    <r>
      <rPr>
        <sz val="12"/>
        <color rgb="FF333333"/>
        <rFont val="Calibri"/>
        <family val="2"/>
      </rPr>
      <t>Does FX hedging proposal #3 contain wrong-way risk? If yes, explain how and suggest how the proposed transaction can be altered to avoid it.</t>
    </r>
  </si>
  <si>
    <r>
      <t>2.</t>
    </r>
    <r>
      <rPr>
        <sz val="7"/>
        <color rgb="FF333333"/>
        <rFont val="Times New Roman"/>
        <family val="1"/>
      </rPr>
      <t xml:space="preserve">     </t>
    </r>
    <r>
      <rPr>
        <sz val="12"/>
        <color rgb="FF333333"/>
        <rFont val="Calibri"/>
        <family val="2"/>
      </rPr>
      <t>Does FX hedging proposal #2 contain wrong-way risk? If yes, explain how and suggest how the proposed transaction can be altered to avoid it.</t>
    </r>
  </si>
  <si>
    <r>
      <t>1.</t>
    </r>
    <r>
      <rPr>
        <sz val="7"/>
        <color rgb="FF333333"/>
        <rFont val="Times New Roman"/>
        <family val="1"/>
      </rPr>
      <t xml:space="preserve">     </t>
    </r>
    <r>
      <rPr>
        <sz val="12"/>
        <color rgb="FF333333"/>
        <rFont val="Calibri"/>
        <family val="2"/>
      </rPr>
      <t>Does FX hedging proposal #1 contain wrong-way risk? If yes, explain how and suggest how the proposed transaction can be altered to avoid it.</t>
    </r>
  </si>
  <si>
    <r>
      <t xml:space="preserve">Company G’s Treasury Risk Management Policy requires all FX transactions which create </t>
    </r>
    <r>
      <rPr>
        <i/>
        <u/>
        <sz val="12"/>
        <color rgb="FF333333"/>
        <rFont val="Calibri"/>
        <family val="2"/>
      </rPr>
      <t>wrong-way risk</t>
    </r>
    <r>
      <rPr>
        <sz val="12"/>
        <color rgb="FF333333"/>
        <rFont val="Calibri"/>
        <family val="2"/>
      </rPr>
      <t xml:space="preserve"> to be approved by the Corporate Treasurer. Study the above FX hedging proposals and answer the following questions, giving brief reasons for each of your answers.</t>
    </r>
  </si>
  <si>
    <r>
      <t>4)</t>
    </r>
    <r>
      <rPr>
        <sz val="7"/>
        <color rgb="FF333333"/>
        <rFont val="Times New Roman"/>
        <family val="1"/>
      </rPr>
      <t xml:space="preserve">    </t>
    </r>
    <r>
      <rPr>
        <u/>
        <sz val="12"/>
        <color rgb="FF333333"/>
        <rFont val="Calibri"/>
        <family val="2"/>
      </rPr>
      <t>KRW hedging proposal</t>
    </r>
  </si>
  <si>
    <r>
      <t>3)</t>
    </r>
    <r>
      <rPr>
        <sz val="7"/>
        <color rgb="FF333333"/>
        <rFont val="Times New Roman"/>
        <family val="1"/>
      </rPr>
      <t xml:space="preserve">    </t>
    </r>
    <r>
      <rPr>
        <u/>
        <sz val="12"/>
        <color rgb="FF333333"/>
        <rFont val="Calibri"/>
        <family val="2"/>
      </rPr>
      <t>IDR hedging proposal</t>
    </r>
  </si>
  <si>
    <r>
      <t>The treasury team based in Sao Paulo wants to buy a series of BRL forwards against the USD, in order to hedge the FX rate for USD 15mn of payments for iron ore exports taking place over the next 6 months. They request approval to close the FX forwards with Banco Itau, Brazil’s 2</t>
    </r>
    <r>
      <rPr>
        <vertAlign val="superscript"/>
        <sz val="12"/>
        <color rgb="FF333333"/>
        <rFont val="Calibri"/>
        <family val="2"/>
      </rPr>
      <t>nd</t>
    </r>
    <r>
      <rPr>
        <sz val="12"/>
        <color rgb="FF333333"/>
        <rFont val="Calibri"/>
        <family val="2"/>
      </rPr>
      <t xml:space="preserve"> -largest bank by asset size, which is publicly-owned.</t>
    </r>
  </si>
  <si>
    <r>
      <t>2)</t>
    </r>
    <r>
      <rPr>
        <sz val="7"/>
        <color rgb="FF333333"/>
        <rFont val="Times New Roman"/>
        <family val="1"/>
      </rPr>
      <t xml:space="preserve">    </t>
    </r>
    <r>
      <rPr>
        <u/>
        <sz val="12"/>
        <color rgb="FF333333"/>
        <rFont val="Calibri"/>
        <family val="2"/>
      </rPr>
      <t>BRL hedging proposal</t>
    </r>
  </si>
  <si>
    <r>
      <t>1)</t>
    </r>
    <r>
      <rPr>
        <sz val="7"/>
        <color rgb="FF333333"/>
        <rFont val="Times New Roman"/>
        <family val="1"/>
      </rPr>
      <t xml:space="preserve">    </t>
    </r>
    <r>
      <rPr>
        <u/>
        <sz val="12"/>
        <color rgb="FF333333"/>
        <rFont val="Calibri"/>
        <family val="2"/>
      </rPr>
      <t>RUR hedging proposal</t>
    </r>
  </si>
  <si>
    <t xml:space="preserve">Today you have received the following 4 FX hedging proposals. </t>
  </si>
  <si>
    <t>You receive FX transaction hedging proposals daily from business divisions and countries around the world. It is your responsibility to assess the risks in each proposal and recommend either approval, denial or amendment to the Assistant Treasurer, according to the company’s Treasury Risk Management Policy and Procedures.</t>
  </si>
  <si>
    <t>You are a treasury risk analyst in Company G, a multinational industrial conglomerate with manufacturing, sales and investments in over 30 countries. Although the company’s executive leadership has delegated many strategic and operational decisions to business division and country heads, financial decisions such as funding, bank relations and FX hedging are managed globally by the company’s Corporate Treasury.</t>
  </si>
  <si>
    <t>Assess wrong way risk in a currency forward</t>
  </si>
  <si>
    <t>The treasury team based in Jakarta wants to sell IDR forward against USD, in order to lock in the FX rate for payment of USD 12mn of grain to be imported and sold into the local market by Company G’s distribution company during the next 9 months. They request approval to close the FX forwards with Bank Mandiri, Indonesia’s largest bank, which is 60%-owned by the Indonesian Government.</t>
  </si>
  <si>
    <t>The treasury team based in Seoul wants to enter into a USD 5mn KRW/USD swap, in order to lock in the FX rates for 6-monthly principal and interest payments on a 3-year USD-denominated intercompany loan from Company G’s Asian holding company, based in Singapore. They request approval to enter into the swap with Citibank’s Seoul branch.</t>
  </si>
  <si>
    <t>The treasury team based in Moscow wants to sell RUR forward for 1 year against EUR, in order to lock in the return on a USD 20mn purchase of Russian Government T-Notes whose yield is especially attractive. They will fund the investment with a 1-year EUR-denominated intercompany loan from Company G’s European holding company, based in Geneva. They request approval to close the FX forward with Sberbank, Russia’s largest bank which is 50%-owned by the Russian Central Bank.</t>
  </si>
  <si>
    <t>http://www.bis.org/review/r120905a.pdf</t>
  </si>
  <si>
    <t>https://papers.ssrn.com/sol3/papers.cfm?abstract_id=2041579</t>
  </si>
  <si>
    <t>For material before the midterm, repeat the review for that.</t>
  </si>
  <si>
    <t>In a 'pick one of these questions section' you will have the option to anwer questions on Lehman vs Goldman.</t>
  </si>
  <si>
    <t>Be sure to memorize what you need to memorize:</t>
  </si>
  <si>
    <t>Metrics of interconnected risk</t>
  </si>
  <si>
    <t>Basel III measures of liquidity</t>
  </si>
  <si>
    <t>Matz's conclusions on liquidity risk</t>
  </si>
  <si>
    <t>What are different measure of liquidity risk?</t>
  </si>
  <si>
    <t>What are tradeoffs for different types of funding?</t>
  </si>
  <si>
    <t>What are strategies to help assure funding is available?</t>
  </si>
  <si>
    <t>What are some calculation details for Basel III liquidity calculations?</t>
  </si>
  <si>
    <t>What are some lessons from the financial crisis.</t>
  </si>
  <si>
    <t>What are some paths in which risk spread through the system?</t>
  </si>
  <si>
    <t>What are some causes of the financial crisis?</t>
  </si>
  <si>
    <t>How do events in the broader economy (such as inflation, globalization, interest rates) lead to risk events at financial institutions.  Offer 3 two-sentence examples.</t>
  </si>
  <si>
    <t>Create an example where an institution poorly hedges it’s counter-party credit risk because of ‘wrong-way risk’.</t>
  </si>
  <si>
    <t>What does it mean to be long gamma?  How is that like convexity.  When is it good to be long gamma?  </t>
  </si>
  <si>
    <t>In the financial crisis, describe what Lehman did wrong and Goldman did right.  List and describe at least 2 risk related practices for each.</t>
  </si>
  <si>
    <t>In terms of risk to a financial institution, describe the parallels between the financial crisis and the current Pandemic?  </t>
  </si>
  <si>
    <t>Summarize the practices of a liquidity risk management program as described by Matz.</t>
  </si>
  <si>
    <t>What is a CDO?  How does correlation undermine the ideal working of a CDO?</t>
  </si>
  <si>
    <t>A company may decide to do business overseas.  If the company does so, it will borrow in the foreign currency; and the company will therefore need to make payments in that foreign currency.  </t>
  </si>
  <si>
    <t>How can this this possible risk be hedged?</t>
  </si>
  <si>
    <t>The company puts on the hedge you have suggested but shortly after, the business deal fails and the company will not engage in its overseas project.  Without selling the hedge that you have put on (in the previous question) how can you now hedge the position you have put on.  Or another way of saying, how can you hedge your old hedge?</t>
  </si>
  <si>
    <t>Fully describe one of these calculations:</t>
  </si>
  <si>
    <t>How a credit spread is inferred from a hazard rate in Hull’s textbook.</t>
  </si>
  <si>
    <t>What are the 5 metrics that measure interconnectedness presented DTCC’s systemic risk paper, “Understanding Interconnected Risks”?  Breifly describe each.</t>
  </si>
  <si>
    <t>Given an investment portfolio.  List all the risks that you can think of.  For each risk, briefly describe an approach to measuring and mitigating that risk.</t>
  </si>
  <si>
    <t>Given some simple financial statements.  Calculate ratios that describe the health of a company.</t>
  </si>
  <si>
    <t xml:space="preserve"> Lehman Case Study in Module 13</t>
  </si>
  <si>
    <t>End of the cold war</t>
  </si>
  <si>
    <t>Privitization and Globalization</t>
  </si>
  <si>
    <t>Asian Tigers</t>
  </si>
  <si>
    <t>Hong Kong, Singapore, South Korea, and Taiwan</t>
  </si>
  <si>
    <t>LTCM</t>
  </si>
  <si>
    <t>CDS / BISTRO</t>
  </si>
  <si>
    <t>Exxon Valdez and JPMorgan</t>
  </si>
  <si>
    <t>Internet Bubble</t>
  </si>
  <si>
    <t>Global Savings Glut</t>
  </si>
  <si>
    <t>Demand from China</t>
  </si>
  <si>
    <t>Securitization</t>
  </si>
  <si>
    <t>Housing Boom</t>
  </si>
  <si>
    <t>https://youtu.be/psCF_AHuLM4?t=88</t>
  </si>
  <si>
    <t>Fannie and Freddie</t>
  </si>
  <si>
    <t>Monolines: Country Wide and New Century</t>
  </si>
  <si>
    <t>https://youtu.be/3Ho8y6Xg3SM</t>
  </si>
  <si>
    <t>https://youtu.be/A25EUhZGBws</t>
  </si>
  <si>
    <t>Insure AAA</t>
  </si>
  <si>
    <t>Warehouses</t>
  </si>
  <si>
    <t>Bear Stearns</t>
  </si>
  <si>
    <t>https://youtu.be/f5Is6d0BfXc</t>
  </si>
  <si>
    <t>Lehman Brothers</t>
  </si>
  <si>
    <t>Traders</t>
  </si>
  <si>
    <t>CEO</t>
  </si>
  <si>
    <t>Fraud</t>
  </si>
  <si>
    <t>Board Meeting</t>
  </si>
  <si>
    <t>https://youtu.be/Hhy7JUinlu0</t>
  </si>
  <si>
    <t>firesale</t>
  </si>
  <si>
    <t>https://youtu.be/RR4_mLmR1FE</t>
  </si>
  <si>
    <t>repo</t>
  </si>
  <si>
    <t>https://youtu.be/cUQiA4LtkmQ?t=48</t>
  </si>
  <si>
    <t>JP Morgan</t>
  </si>
  <si>
    <t>Dimon, Winters, Hancock</t>
  </si>
  <si>
    <t>Merril</t>
  </si>
  <si>
    <t>Paul Oneill</t>
  </si>
  <si>
    <t>John Thane</t>
  </si>
  <si>
    <t>Bank of America</t>
  </si>
  <si>
    <t>&lt;-- Repo 105</t>
  </si>
  <si>
    <t>Sell off subsidiaries</t>
  </si>
  <si>
    <t xml:space="preserve">Review the homeworks. </t>
  </si>
  <si>
    <t>Based on the Financial Crisis lecture and reading in Hull:</t>
  </si>
  <si>
    <t>How Liquidity VaR is measured in Hull’s textbook.</t>
  </si>
  <si>
    <t>How probability of default is inferred from a CDS in Hull’s textbook.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</si>
</sst>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_);\(#,##0.0\)"/>
  </numFmts>
  <fonts count="36" x14ac:knownFonts="1">
    <font>
      <sz val="12"/>
      <color theme="1"/>
      <name val="Calibri"/>
      <family val="2"/>
      <scheme val="minor"/>
    </font>
    <font>
      <sz val="12"/>
      <color theme="1"/>
      <name val="Calibri"/>
      <family val="2"/>
      <scheme val="minor"/>
    </font>
    <font>
      <sz val="22"/>
      <color theme="1"/>
      <name val="Calibri"/>
      <family val="2"/>
      <scheme val="minor"/>
    </font>
    <font>
      <u/>
      <sz val="12"/>
      <color theme="10"/>
      <name val="Calibri"/>
      <family val="2"/>
      <scheme val="minor"/>
    </font>
    <font>
      <sz val="20"/>
      <color theme="1"/>
      <name val="Calibri"/>
      <family val="2"/>
      <scheme val="minor"/>
    </font>
    <font>
      <u/>
      <sz val="20"/>
      <color theme="10"/>
      <name val="Calibri"/>
      <family val="2"/>
      <scheme val="minor"/>
    </font>
    <font>
      <sz val="11"/>
      <color theme="1"/>
      <name val="Calibri"/>
      <family val="2"/>
      <scheme val="minor"/>
    </font>
    <font>
      <sz val="36"/>
      <color theme="1"/>
      <name val="Calibri"/>
      <family val="2"/>
      <scheme val="minor"/>
    </font>
    <font>
      <u/>
      <sz val="11"/>
      <color theme="10"/>
      <name val="Calibri"/>
      <family val="2"/>
      <scheme val="minor"/>
    </font>
    <font>
      <b/>
      <sz val="11"/>
      <color theme="1"/>
      <name val="Calibri"/>
      <family val="2"/>
      <scheme val="minor"/>
    </font>
    <font>
      <sz val="14"/>
      <color theme="1"/>
      <name val="Calibri"/>
      <family val="2"/>
      <scheme val="minor"/>
    </font>
    <font>
      <u/>
      <sz val="14"/>
      <color theme="10"/>
      <name val="Calibri"/>
      <family val="2"/>
      <scheme val="minor"/>
    </font>
    <font>
      <b/>
      <sz val="12"/>
      <color rgb="FF333333"/>
      <name val="Calibri"/>
      <family val="2"/>
    </font>
    <font>
      <sz val="12"/>
      <color rgb="FF333333"/>
      <name val="Calibri"/>
      <family val="2"/>
    </font>
    <font>
      <i/>
      <sz val="12"/>
      <color rgb="FF333333"/>
      <name val="Calibri"/>
      <family val="2"/>
    </font>
    <font>
      <sz val="7"/>
      <color rgb="FF333333"/>
      <name val="Times New Roman"/>
      <family val="1"/>
    </font>
    <font>
      <u/>
      <sz val="12"/>
      <color rgb="FF333333"/>
      <name val="Calibri"/>
      <family val="2"/>
    </font>
    <font>
      <b/>
      <sz val="11"/>
      <color rgb="FF0033CC"/>
      <name val="Calibri"/>
      <family val="2"/>
      <scheme val="minor"/>
    </font>
    <font>
      <i/>
      <sz val="11"/>
      <color rgb="FF0033CC"/>
      <name val="Calibri"/>
      <family val="2"/>
      <scheme val="minor"/>
    </font>
    <font>
      <i/>
      <sz val="11"/>
      <color rgb="FFFF0000"/>
      <name val="Calibri"/>
      <family val="2"/>
      <scheme val="minor"/>
    </font>
    <font>
      <sz val="11"/>
      <color rgb="FF0033CC"/>
      <name val="Calibri"/>
      <family val="2"/>
      <scheme val="minor"/>
    </font>
    <font>
      <sz val="11"/>
      <color rgb="FFFF0000"/>
      <name val="Calibri"/>
      <family val="2"/>
      <scheme val="minor"/>
    </font>
    <font>
      <i/>
      <sz val="10"/>
      <color rgb="FF00B050"/>
      <name val="Calibri"/>
      <family val="2"/>
      <scheme val="minor"/>
    </font>
    <font>
      <i/>
      <sz val="10"/>
      <color rgb="FF0033CC"/>
      <name val="Calibri"/>
      <family val="2"/>
      <scheme val="minor"/>
    </font>
    <font>
      <b/>
      <sz val="11"/>
      <color rgb="FFFF0000"/>
      <name val="Calibri"/>
      <family val="2"/>
      <scheme val="minor"/>
    </font>
    <font>
      <sz val="10"/>
      <color rgb="FF0000FF"/>
      <name val="Calibri"/>
      <family val="2"/>
      <scheme val="minor"/>
    </font>
    <font>
      <sz val="10"/>
      <color theme="1"/>
      <name val="Calibri"/>
      <family val="2"/>
      <scheme val="minor"/>
    </font>
    <font>
      <i/>
      <sz val="10"/>
      <color rgb="FFFF0000"/>
      <name val="Calibri"/>
      <family val="2"/>
      <scheme val="minor"/>
    </font>
    <font>
      <i/>
      <sz val="11"/>
      <color theme="7" tint="-0.249977111117893"/>
      <name val="Calibri"/>
      <family val="2"/>
      <scheme val="minor"/>
    </font>
    <font>
      <u/>
      <sz val="11"/>
      <color theme="1"/>
      <name val="Calibri"/>
      <family val="2"/>
      <scheme val="minor"/>
    </font>
    <font>
      <sz val="6"/>
      <color rgb="FF333333"/>
      <name val="Calibri"/>
      <family val="2"/>
    </font>
    <font>
      <i/>
      <u/>
      <sz val="12"/>
      <color rgb="FF333333"/>
      <name val="Calibri"/>
      <family val="2"/>
    </font>
    <font>
      <vertAlign val="superscript"/>
      <sz val="12"/>
      <color rgb="FF333333"/>
      <name val="Calibri"/>
      <family val="2"/>
    </font>
    <font>
      <sz val="16"/>
      <color theme="1"/>
      <name val="Calibri"/>
      <family val="2"/>
      <scheme val="minor"/>
    </font>
    <font>
      <sz val="14"/>
      <color rgb="FFFF0000"/>
      <name val="Calibri"/>
      <family val="2"/>
      <scheme val="minor"/>
    </font>
    <font>
      <sz val="16"/>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249977111117893"/>
        <bgColor indexed="64"/>
      </patternFill>
    </fill>
    <fill>
      <patternFill patternType="solid">
        <fgColor theme="7" tint="0.79998168889431442"/>
        <bgColor indexed="64"/>
      </patternFill>
    </fill>
  </fills>
  <borders count="23">
    <border>
      <left/>
      <right/>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0" fontId="3" fillId="0" borderId="0" applyNumberFormat="0" applyFill="0" applyBorder="0" applyAlignment="0" applyProtection="0"/>
    <xf numFmtId="0" fontId="6" fillId="0" borderId="0"/>
    <xf numFmtId="0" fontId="1" fillId="0" borderId="0"/>
    <xf numFmtId="0" fontId="1" fillId="0" borderId="0"/>
    <xf numFmtId="0" fontId="1" fillId="0" borderId="0"/>
    <xf numFmtId="9" fontId="1" fillId="0" borderId="0" applyFont="0" applyFill="0" applyBorder="0" applyAlignment="0" applyProtection="0"/>
    <xf numFmtId="0" fontId="8" fillId="0" borderId="0" applyNumberFormat="0" applyFill="0" applyBorder="0" applyAlignment="0" applyProtection="0"/>
  </cellStyleXfs>
  <cellXfs count="186">
    <xf numFmtId="0" fontId="0" fillId="0" borderId="0" xfId="0"/>
    <xf numFmtId="0" fontId="2" fillId="2" borderId="0" xfId="0" applyFont="1" applyFill="1"/>
    <xf numFmtId="0" fontId="0" fillId="2" borderId="0" xfId="0" applyFill="1"/>
    <xf numFmtId="0" fontId="4" fillId="2" borderId="0" xfId="0" applyFont="1" applyFill="1"/>
    <xf numFmtId="0" fontId="5" fillId="2" borderId="0" xfId="1" applyFont="1" applyFill="1"/>
    <xf numFmtId="0" fontId="2" fillId="2" borderId="0" xfId="3" applyFont="1" applyFill="1"/>
    <xf numFmtId="0" fontId="3" fillId="2" borderId="0" xfId="1" applyFill="1"/>
    <xf numFmtId="0" fontId="7" fillId="3" borderId="0" xfId="2" applyFont="1" applyFill="1"/>
    <xf numFmtId="0" fontId="6" fillId="3" borderId="0" xfId="2" applyFill="1"/>
    <xf numFmtId="0" fontId="8" fillId="3" borderId="0" xfId="7" applyFill="1"/>
    <xf numFmtId="0" fontId="9" fillId="3" borderId="0" xfId="2" applyFont="1" applyFill="1"/>
    <xf numFmtId="0" fontId="10" fillId="3" borderId="0" xfId="2" applyFont="1" applyFill="1"/>
    <xf numFmtId="0" fontId="11" fillId="3" borderId="0" xfId="7" applyFont="1" applyFill="1"/>
    <xf numFmtId="0" fontId="4" fillId="3" borderId="0" xfId="4" applyFont="1" applyFill="1"/>
    <xf numFmtId="0" fontId="13" fillId="0" borderId="4" xfId="2" applyFont="1" applyBorder="1" applyAlignment="1">
      <alignment vertical="center" wrapText="1"/>
    </xf>
    <xf numFmtId="0" fontId="14" fillId="0" borderId="5" xfId="2" applyFont="1" applyBorder="1" applyAlignment="1">
      <alignment vertical="center" wrapText="1"/>
    </xf>
    <xf numFmtId="0" fontId="13" fillId="0" borderId="5" xfId="2" applyFont="1" applyBorder="1" applyAlignment="1">
      <alignment horizontal="left" vertical="center" wrapText="1" indent="3"/>
    </xf>
    <xf numFmtId="0" fontId="13" fillId="0" borderId="5" xfId="2" applyFont="1" applyBorder="1" applyAlignment="1">
      <alignment vertical="center" wrapText="1"/>
    </xf>
    <xf numFmtId="0" fontId="12" fillId="0" borderId="1" xfId="2" applyFont="1" applyBorder="1" applyAlignment="1">
      <alignment vertical="center" wrapText="1"/>
    </xf>
    <xf numFmtId="0" fontId="4" fillId="3" borderId="6" xfId="4" applyFont="1" applyFill="1" applyBorder="1"/>
    <xf numFmtId="0" fontId="6" fillId="0" borderId="0" xfId="2"/>
    <xf numFmtId="0" fontId="17" fillId="0" borderId="0" xfId="2" applyFont="1"/>
    <xf numFmtId="0" fontId="9" fillId="0" borderId="0" xfId="2" applyFont="1" applyAlignment="1">
      <alignment horizontal="center"/>
    </xf>
    <xf numFmtId="164" fontId="18" fillId="0" borderId="0" xfId="2" applyNumberFormat="1" applyFont="1"/>
    <xf numFmtId="10" fontId="17" fillId="0" borderId="10" xfId="2" applyNumberFormat="1" applyFont="1" applyBorder="1" applyAlignment="1">
      <alignment horizontal="center"/>
    </xf>
    <xf numFmtId="164" fontId="18" fillId="0" borderId="0" xfId="2" applyNumberFormat="1" applyFont="1" applyAlignment="1">
      <alignment horizontal="right"/>
    </xf>
    <xf numFmtId="164" fontId="19" fillId="0" borderId="0" xfId="2" applyNumberFormat="1" applyFont="1" applyAlignment="1">
      <alignment horizontal="center"/>
    </xf>
    <xf numFmtId="0" fontId="20" fillId="0" borderId="0" xfId="2" applyFont="1" applyAlignment="1">
      <alignment horizontal="center"/>
    </xf>
    <xf numFmtId="0" fontId="19" fillId="0" borderId="0" xfId="2" applyFont="1" applyAlignment="1">
      <alignment horizontal="right"/>
    </xf>
    <xf numFmtId="0" fontId="21" fillId="0" borderId="0" xfId="2" applyFont="1"/>
    <xf numFmtId="0" fontId="22" fillId="0" borderId="0" xfId="2" applyFont="1" applyAlignment="1">
      <alignment horizontal="right"/>
    </xf>
    <xf numFmtId="37" fontId="6" fillId="0" borderId="0" xfId="2" applyNumberFormat="1"/>
    <xf numFmtId="0" fontId="21" fillId="0" borderId="0" xfId="2" applyFont="1" applyAlignment="1">
      <alignment horizontal="center"/>
    </xf>
    <xf numFmtId="37" fontId="23" fillId="0" borderId="0" xfId="2" applyNumberFormat="1" applyFont="1"/>
    <xf numFmtId="165" fontId="6" fillId="0" borderId="0" xfId="2" applyNumberFormat="1"/>
    <xf numFmtId="3" fontId="6" fillId="4" borderId="10" xfId="2" applyNumberFormat="1" applyFill="1" applyBorder="1"/>
    <xf numFmtId="0" fontId="6" fillId="0" borderId="0" xfId="2" applyAlignment="1">
      <alignment horizontal="right"/>
    </xf>
    <xf numFmtId="165" fontId="20" fillId="0" borderId="0" xfId="2" applyNumberFormat="1" applyFont="1" applyAlignment="1">
      <alignment horizontal="center"/>
    </xf>
    <xf numFmtId="10" fontId="24" fillId="0" borderId="10" xfId="2" applyNumberFormat="1" applyFont="1" applyBorder="1" applyAlignment="1">
      <alignment horizontal="center"/>
    </xf>
    <xf numFmtId="37" fontId="9" fillId="4" borderId="10" xfId="2" applyNumberFormat="1" applyFont="1" applyFill="1" applyBorder="1"/>
    <xf numFmtId="0" fontId="20" fillId="0" borderId="11" xfId="2" applyFont="1" applyBorder="1" applyAlignment="1">
      <alignment vertical="center" wrapText="1"/>
    </xf>
    <xf numFmtId="0" fontId="6" fillId="0" borderId="12" xfId="2" applyBorder="1" applyAlignment="1">
      <alignment vertical="center" wrapText="1"/>
    </xf>
    <xf numFmtId="0" fontId="25" fillId="0" borderId="11" xfId="2" applyFont="1" applyBorder="1" applyAlignment="1">
      <alignment horizontal="left" vertical="center" wrapText="1"/>
    </xf>
    <xf numFmtId="9" fontId="6" fillId="0" borderId="11" xfId="2" applyNumberFormat="1" applyBorder="1" applyAlignment="1">
      <alignment horizontal="center" vertical="center"/>
    </xf>
    <xf numFmtId="10" fontId="6" fillId="0" borderId="12" xfId="2" applyNumberFormat="1" applyBorder="1" applyAlignment="1">
      <alignment horizontal="center" vertical="center"/>
    </xf>
    <xf numFmtId="0" fontId="6" fillId="0" borderId="13" xfId="2" applyBorder="1" applyAlignment="1">
      <alignment horizontal="center" vertical="center"/>
    </xf>
    <xf numFmtId="0" fontId="6" fillId="0" borderId="12" xfId="2" applyBorder="1" applyAlignment="1">
      <alignment horizontal="center" vertical="center"/>
    </xf>
    <xf numFmtId="165" fontId="6" fillId="0" borderId="11" xfId="2" applyNumberFormat="1" applyBorder="1" applyAlignment="1">
      <alignment horizontal="center" vertical="center"/>
    </xf>
    <xf numFmtId="165" fontId="6" fillId="0" borderId="12" xfId="2" applyNumberFormat="1" applyBorder="1" applyAlignment="1">
      <alignment horizontal="center" vertical="center"/>
    </xf>
    <xf numFmtId="10" fontId="20" fillId="0" borderId="12" xfId="2" applyNumberFormat="1" applyFont="1" applyBorder="1" applyAlignment="1">
      <alignment horizontal="center" vertical="center"/>
    </xf>
    <xf numFmtId="37" fontId="6" fillId="3" borderId="14" xfId="2" applyNumberFormat="1" applyFill="1" applyBorder="1" applyAlignment="1">
      <alignment vertical="center"/>
    </xf>
    <xf numFmtId="37" fontId="6" fillId="0" borderId="11" xfId="2" applyNumberFormat="1" applyBorder="1" applyAlignment="1">
      <alignment vertical="center"/>
    </xf>
    <xf numFmtId="2" fontId="6" fillId="0" borderId="11" xfId="2" applyNumberFormat="1" applyBorder="1" applyAlignment="1">
      <alignment horizontal="center" vertical="center"/>
    </xf>
    <xf numFmtId="3" fontId="6" fillId="0" borderId="11" xfId="2" applyNumberFormat="1" applyBorder="1" applyAlignment="1">
      <alignment horizontal="center" vertical="center"/>
    </xf>
    <xf numFmtId="0" fontId="6" fillId="0" borderId="6" xfId="2" applyBorder="1" applyAlignment="1">
      <alignment vertical="center" wrapText="1"/>
    </xf>
    <xf numFmtId="0" fontId="6" fillId="0" borderId="12" xfId="2" applyBorder="1"/>
    <xf numFmtId="0" fontId="20" fillId="0" borderId="15" xfId="2" applyFont="1" applyBorder="1" applyAlignment="1">
      <alignment vertical="center" wrapText="1"/>
    </xf>
    <xf numFmtId="0" fontId="6" fillId="0" borderId="14" xfId="2" applyBorder="1" applyAlignment="1">
      <alignment vertical="center" wrapText="1"/>
    </xf>
    <xf numFmtId="0" fontId="26" fillId="0" borderId="15" xfId="2" applyFont="1" applyBorder="1" applyAlignment="1">
      <alignment horizontal="left" vertical="center" wrapText="1"/>
    </xf>
    <xf numFmtId="9" fontId="6" fillId="0" borderId="15" xfId="2" applyNumberFormat="1" applyBorder="1" applyAlignment="1">
      <alignment horizontal="center" vertical="center"/>
    </xf>
    <xf numFmtId="10" fontId="6" fillId="0" borderId="14" xfId="2" applyNumberFormat="1" applyBorder="1" applyAlignment="1">
      <alignment horizontal="center" vertical="center"/>
    </xf>
    <xf numFmtId="0" fontId="6" fillId="0" borderId="16" xfId="2" applyBorder="1" applyAlignment="1">
      <alignment horizontal="center" vertical="center"/>
    </xf>
    <xf numFmtId="0" fontId="6" fillId="0" borderId="14" xfId="2" applyBorder="1" applyAlignment="1">
      <alignment horizontal="center" vertical="center"/>
    </xf>
    <xf numFmtId="165" fontId="6" fillId="0" borderId="15" xfId="2" applyNumberFormat="1" applyBorder="1" applyAlignment="1">
      <alignment horizontal="center" vertical="center"/>
    </xf>
    <xf numFmtId="165" fontId="6" fillId="0" borderId="14" xfId="2" applyNumberFormat="1" applyBorder="1" applyAlignment="1">
      <alignment horizontal="center" vertical="center"/>
    </xf>
    <xf numFmtId="10" fontId="20" fillId="0" borderId="14" xfId="2" applyNumberFormat="1" applyFont="1" applyBorder="1" applyAlignment="1">
      <alignment horizontal="center" vertical="center"/>
    </xf>
    <xf numFmtId="37" fontId="6" fillId="0" borderId="15" xfId="2" applyNumberFormat="1" applyBorder="1" applyAlignment="1">
      <alignment vertical="center"/>
    </xf>
    <xf numFmtId="2" fontId="6" fillId="0" borderId="15" xfId="2" applyNumberFormat="1" applyBorder="1" applyAlignment="1">
      <alignment horizontal="center" vertical="center"/>
    </xf>
    <xf numFmtId="0" fontId="6" fillId="0" borderId="15" xfId="2" applyBorder="1" applyAlignment="1">
      <alignment horizontal="center" vertical="center"/>
    </xf>
    <xf numFmtId="0" fontId="6" fillId="0" borderId="0" xfId="2" applyAlignment="1">
      <alignment vertical="center" wrapText="1"/>
    </xf>
    <xf numFmtId="0" fontId="9" fillId="0" borderId="14" xfId="2" applyFont="1" applyBorder="1"/>
    <xf numFmtId="0" fontId="6" fillId="0" borderId="16" xfId="2" applyBorder="1"/>
    <xf numFmtId="0" fontId="6" fillId="0" borderId="14" xfId="2" applyBorder="1"/>
    <xf numFmtId="0" fontId="25" fillId="0" borderId="15" xfId="2" applyFont="1" applyBorder="1" applyAlignment="1">
      <alignment horizontal="left" vertical="center" wrapText="1"/>
    </xf>
    <xf numFmtId="164" fontId="6" fillId="0" borderId="15" xfId="2" applyNumberFormat="1" applyBorder="1" applyAlignment="1">
      <alignment horizontal="center" vertical="center"/>
    </xf>
    <xf numFmtId="3" fontId="6" fillId="0" borderId="15" xfId="2" applyNumberFormat="1" applyBorder="1" applyAlignment="1">
      <alignment horizontal="center" vertical="center"/>
    </xf>
    <xf numFmtId="0" fontId="6" fillId="0" borderId="0" xfId="2" applyAlignment="1">
      <alignment vertical="center"/>
    </xf>
    <xf numFmtId="10" fontId="6" fillId="0" borderId="15" xfId="2" applyNumberFormat="1" applyBorder="1" applyAlignment="1">
      <alignment horizontal="center" vertical="center"/>
    </xf>
    <xf numFmtId="0" fontId="6" fillId="0" borderId="15" xfId="2" applyBorder="1" applyAlignment="1">
      <alignment horizontal="center"/>
    </xf>
    <xf numFmtId="0" fontId="6" fillId="0" borderId="14" xfId="2" applyBorder="1" applyAlignment="1">
      <alignment horizontal="center"/>
    </xf>
    <xf numFmtId="0" fontId="6" fillId="0" borderId="16" xfId="2" applyBorder="1" applyAlignment="1">
      <alignment horizontal="center"/>
    </xf>
    <xf numFmtId="165" fontId="6" fillId="0" borderId="15" xfId="2" applyNumberFormat="1" applyBorder="1" applyAlignment="1">
      <alignment horizontal="center"/>
    </xf>
    <xf numFmtId="165" fontId="6" fillId="0" borderId="14" xfId="2" applyNumberFormat="1" applyBorder="1" applyAlignment="1">
      <alignment horizontal="center"/>
    </xf>
    <xf numFmtId="10" fontId="20" fillId="0" borderId="14" xfId="2" applyNumberFormat="1" applyFont="1" applyBorder="1" applyAlignment="1">
      <alignment horizontal="center"/>
    </xf>
    <xf numFmtId="37" fontId="6" fillId="3" borderId="14" xfId="2" applyNumberFormat="1" applyFill="1" applyBorder="1"/>
    <xf numFmtId="37" fontId="6" fillId="0" borderId="15" xfId="2" applyNumberFormat="1" applyBorder="1"/>
    <xf numFmtId="2" fontId="6" fillId="0" borderId="15" xfId="2" applyNumberFormat="1" applyBorder="1" applyAlignment="1">
      <alignment horizontal="center"/>
    </xf>
    <xf numFmtId="0" fontId="6" fillId="0" borderId="17" xfId="2" applyBorder="1" applyAlignment="1">
      <alignment vertical="center" wrapText="1"/>
    </xf>
    <xf numFmtId="0" fontId="26" fillId="0" borderId="18" xfId="2" applyFont="1" applyBorder="1" applyAlignment="1">
      <alignment horizontal="left" vertical="center" wrapText="1"/>
    </xf>
    <xf numFmtId="0" fontId="6" fillId="0" borderId="18" xfId="2" applyBorder="1" applyAlignment="1">
      <alignment horizontal="center"/>
    </xf>
    <xf numFmtId="0" fontId="6" fillId="0" borderId="17" xfId="2" applyBorder="1" applyAlignment="1">
      <alignment horizontal="center"/>
    </xf>
    <xf numFmtId="0" fontId="6" fillId="0" borderId="19" xfId="2" applyBorder="1" applyAlignment="1">
      <alignment horizontal="center"/>
    </xf>
    <xf numFmtId="165" fontId="6" fillId="0" borderId="18" xfId="2" applyNumberFormat="1" applyBorder="1" applyAlignment="1">
      <alignment horizontal="center"/>
    </xf>
    <xf numFmtId="165" fontId="6" fillId="0" borderId="17" xfId="2" applyNumberFormat="1" applyBorder="1" applyAlignment="1">
      <alignment horizontal="center"/>
    </xf>
    <xf numFmtId="10" fontId="20" fillId="0" borderId="17" xfId="2" applyNumberFormat="1" applyFont="1" applyBorder="1" applyAlignment="1">
      <alignment horizontal="center"/>
    </xf>
    <xf numFmtId="37" fontId="6" fillId="0" borderId="18" xfId="2" applyNumberFormat="1" applyBorder="1"/>
    <xf numFmtId="2" fontId="6" fillId="0" borderId="18" xfId="2" applyNumberFormat="1" applyBorder="1" applyAlignment="1">
      <alignment horizontal="center"/>
    </xf>
    <xf numFmtId="0" fontId="6" fillId="0" borderId="20" xfId="2" applyBorder="1"/>
    <xf numFmtId="0" fontId="6" fillId="0" borderId="17" xfId="2" applyBorder="1"/>
    <xf numFmtId="0" fontId="9" fillId="0" borderId="12" xfId="2" applyFont="1" applyBorder="1" applyAlignment="1">
      <alignment horizontal="center" vertical="center" wrapText="1"/>
    </xf>
    <xf numFmtId="0" fontId="9" fillId="0" borderId="11" xfId="2" applyFont="1" applyBorder="1" applyAlignment="1">
      <alignment horizontal="center"/>
    </xf>
    <xf numFmtId="0" fontId="9" fillId="0" borderId="13" xfId="2" applyFont="1" applyBorder="1" applyAlignment="1">
      <alignment horizontal="center"/>
    </xf>
    <xf numFmtId="0" fontId="9" fillId="0" borderId="12" xfId="2" applyFont="1" applyBorder="1" applyAlignment="1">
      <alignment horizontal="center"/>
    </xf>
    <xf numFmtId="0" fontId="9" fillId="0" borderId="6" xfId="2" applyFont="1" applyBorder="1" applyAlignment="1">
      <alignment horizontal="center"/>
    </xf>
    <xf numFmtId="0" fontId="17" fillId="0" borderId="11" xfId="2" applyFont="1" applyBorder="1" applyAlignment="1">
      <alignment horizontal="center"/>
    </xf>
    <xf numFmtId="0" fontId="6" fillId="0" borderId="18" xfId="2" applyBorder="1"/>
    <xf numFmtId="0" fontId="17" fillId="0" borderId="18" xfId="2" applyFont="1" applyBorder="1" applyAlignment="1">
      <alignment horizontal="center"/>
    </xf>
    <xf numFmtId="0" fontId="24" fillId="0" borderId="0" xfId="2" applyFont="1"/>
    <xf numFmtId="0" fontId="20" fillId="0" borderId="0" xfId="2" applyFont="1"/>
    <xf numFmtId="0" fontId="24" fillId="0" borderId="0" xfId="2" applyFont="1" applyAlignment="1">
      <alignment horizontal="right"/>
    </xf>
    <xf numFmtId="0" fontId="6" fillId="5" borderId="0" xfId="2" applyFill="1"/>
    <xf numFmtId="164" fontId="19" fillId="5" borderId="0" xfId="2" applyNumberFormat="1" applyFont="1" applyFill="1" applyAlignment="1">
      <alignment horizontal="center"/>
    </xf>
    <xf numFmtId="0" fontId="19" fillId="5" borderId="0" xfId="2" applyFont="1" applyFill="1" applyAlignment="1">
      <alignment horizontal="right"/>
    </xf>
    <xf numFmtId="0" fontId="21" fillId="5" borderId="0" xfId="2" applyFont="1" applyFill="1"/>
    <xf numFmtId="0" fontId="6" fillId="5" borderId="0" xfId="2" applyFill="1" applyAlignment="1">
      <alignment horizontal="right" indent="1"/>
    </xf>
    <xf numFmtId="0" fontId="6" fillId="5" borderId="0" xfId="2" applyFill="1" applyAlignment="1">
      <alignment horizontal="center"/>
    </xf>
    <xf numFmtId="0" fontId="6" fillId="0" borderId="0" xfId="2" applyAlignment="1">
      <alignment horizontal="right" indent="1"/>
    </xf>
    <xf numFmtId="0" fontId="6" fillId="0" borderId="0" xfId="2" applyAlignment="1">
      <alignment horizontal="center"/>
    </xf>
    <xf numFmtId="0" fontId="27" fillId="0" borderId="0" xfId="2" applyFont="1"/>
    <xf numFmtId="0" fontId="27" fillId="0" borderId="0" xfId="2" applyFont="1" applyAlignment="1">
      <alignment horizontal="center"/>
    </xf>
    <xf numFmtId="165" fontId="28" fillId="0" borderId="0" xfId="2" applyNumberFormat="1" applyFont="1"/>
    <xf numFmtId="0" fontId="27" fillId="0" borderId="0" xfId="2" applyFont="1" applyAlignment="1">
      <alignment horizontal="right"/>
    </xf>
    <xf numFmtId="0" fontId="21" fillId="0" borderId="12" xfId="2" applyFont="1" applyBorder="1" applyAlignment="1">
      <alignment vertical="center" wrapText="1"/>
    </xf>
    <xf numFmtId="0" fontId="26" fillId="0" borderId="11" xfId="2" applyFont="1" applyBorder="1" applyAlignment="1">
      <alignment horizontal="left" vertical="center" wrapText="1"/>
    </xf>
    <xf numFmtId="0" fontId="6" fillId="0" borderId="11" xfId="2" applyBorder="1" applyAlignment="1">
      <alignment horizontal="center" vertical="center"/>
    </xf>
    <xf numFmtId="165" fontId="20" fillId="0" borderId="11" xfId="2" applyNumberFormat="1" applyFont="1" applyBorder="1" applyAlignment="1">
      <alignment horizontal="center" vertical="center"/>
    </xf>
    <xf numFmtId="165" fontId="20" fillId="0" borderId="12" xfId="2" applyNumberFormat="1" applyFont="1" applyBorder="1" applyAlignment="1">
      <alignment horizontal="center" vertical="center"/>
    </xf>
    <xf numFmtId="165" fontId="6" fillId="3" borderId="14" xfId="2" applyNumberFormat="1" applyFill="1" applyBorder="1" applyAlignment="1">
      <alignment horizontal="center" vertical="center"/>
    </xf>
    <xf numFmtId="0" fontId="21" fillId="0" borderId="14" xfId="2" applyFont="1" applyBorder="1" applyAlignment="1">
      <alignment vertical="center" wrapText="1"/>
    </xf>
    <xf numFmtId="165" fontId="20" fillId="0" borderId="15" xfId="2" applyNumberFormat="1" applyFont="1" applyBorder="1" applyAlignment="1">
      <alignment horizontal="center" vertical="center"/>
    </xf>
    <xf numFmtId="165" fontId="20" fillId="0" borderId="14" xfId="2" applyNumberFormat="1" applyFont="1" applyBorder="1" applyAlignment="1">
      <alignment horizontal="center" vertical="center"/>
    </xf>
    <xf numFmtId="165" fontId="20" fillId="3" borderId="14" xfId="2" applyNumberFormat="1" applyFont="1" applyFill="1" applyBorder="1" applyAlignment="1">
      <alignment horizontal="center" vertical="center"/>
    </xf>
    <xf numFmtId="0" fontId="26" fillId="0" borderId="14" xfId="2" applyFont="1" applyBorder="1" applyAlignment="1">
      <alignment vertical="center" wrapText="1"/>
    </xf>
    <xf numFmtId="0" fontId="27" fillId="0" borderId="14" xfId="2" applyFont="1" applyBorder="1" applyAlignment="1">
      <alignment horizontal="center" wrapText="1"/>
    </xf>
    <xf numFmtId="4" fontId="6" fillId="0" borderId="15" xfId="2" applyNumberFormat="1" applyBorder="1" applyAlignment="1">
      <alignment horizontal="center" vertical="center"/>
    </xf>
    <xf numFmtId="0" fontId="22" fillId="0" borderId="14" xfId="2" applyFont="1" applyBorder="1" applyAlignment="1">
      <alignment horizontal="center" vertical="center"/>
    </xf>
    <xf numFmtId="9" fontId="21" fillId="0" borderId="15" xfId="2" applyNumberFormat="1" applyFont="1" applyBorder="1" applyAlignment="1">
      <alignment horizontal="center" vertical="center"/>
    </xf>
    <xf numFmtId="10" fontId="21" fillId="0" borderId="14" xfId="2" applyNumberFormat="1" applyFont="1" applyBorder="1" applyAlignment="1">
      <alignment horizontal="center" vertical="center"/>
    </xf>
    <xf numFmtId="0" fontId="18" fillId="0" borderId="15" xfId="2" applyFont="1" applyBorder="1" applyAlignment="1">
      <alignment vertical="center" wrapText="1"/>
    </xf>
    <xf numFmtId="165" fontId="20" fillId="0" borderId="15" xfId="2" applyNumberFormat="1" applyFont="1" applyBorder="1" applyAlignment="1">
      <alignment horizontal="center"/>
    </xf>
    <xf numFmtId="165" fontId="20" fillId="0" borderId="14" xfId="2" applyNumberFormat="1" applyFont="1" applyBorder="1" applyAlignment="1">
      <alignment horizontal="center"/>
    </xf>
    <xf numFmtId="0" fontId="20" fillId="0" borderId="18" xfId="2" applyFont="1" applyBorder="1" applyAlignment="1">
      <alignment vertical="center" wrapText="1"/>
    </xf>
    <xf numFmtId="165" fontId="20" fillId="0" borderId="18" xfId="2" applyNumberFormat="1" applyFont="1" applyBorder="1" applyAlignment="1">
      <alignment horizontal="center"/>
    </xf>
    <xf numFmtId="0" fontId="24" fillId="0" borderId="15" xfId="2" applyFont="1" applyBorder="1" applyAlignment="1">
      <alignment horizontal="center"/>
    </xf>
    <xf numFmtId="0" fontId="17" fillId="0" borderId="13" xfId="2" applyFont="1" applyBorder="1" applyAlignment="1">
      <alignment horizontal="center"/>
    </xf>
    <xf numFmtId="0" fontId="17" fillId="0" borderId="6" xfId="2" applyFont="1" applyBorder="1" applyAlignment="1">
      <alignment horizontal="center"/>
    </xf>
    <xf numFmtId="0" fontId="20" fillId="0" borderId="18" xfId="2" applyFont="1" applyBorder="1"/>
    <xf numFmtId="0" fontId="9" fillId="0" borderId="0" xfId="2" applyFont="1"/>
    <xf numFmtId="0" fontId="29" fillId="0" borderId="0" xfId="2" applyFont="1"/>
    <xf numFmtId="0" fontId="20" fillId="6" borderId="15" xfId="2" applyFont="1" applyFill="1" applyBorder="1" applyAlignment="1">
      <alignment vertical="center" wrapText="1"/>
    </xf>
    <xf numFmtId="1" fontId="6" fillId="0" borderId="15" xfId="2" applyNumberFormat="1" applyBorder="1" applyAlignment="1">
      <alignment horizontal="center" vertical="center"/>
    </xf>
    <xf numFmtId="0" fontId="30" fillId="0" borderId="5" xfId="2" applyFont="1" applyBorder="1" applyAlignment="1">
      <alignment vertical="center" wrapText="1"/>
    </xf>
    <xf numFmtId="0" fontId="13" fillId="0" borderId="1" xfId="2" applyFont="1" applyBorder="1" applyAlignment="1">
      <alignment horizontal="left" vertical="center" wrapText="1" indent="3"/>
    </xf>
    <xf numFmtId="0" fontId="13" fillId="0" borderId="21" xfId="2" applyFont="1" applyBorder="1" applyAlignment="1">
      <alignment vertical="center" wrapText="1"/>
    </xf>
    <xf numFmtId="0" fontId="12" fillId="0" borderId="22" xfId="2" applyFont="1" applyBorder="1" applyAlignment="1">
      <alignment vertical="center" wrapText="1"/>
    </xf>
    <xf numFmtId="0" fontId="4" fillId="3" borderId="0" xfId="0" applyFont="1" applyFill="1"/>
    <xf numFmtId="0" fontId="33" fillId="3" borderId="0" xfId="0" applyFont="1" applyFill="1" applyAlignment="1">
      <alignment horizontal="left" vertical="top" wrapText="1"/>
    </xf>
    <xf numFmtId="0" fontId="33" fillId="3" borderId="0" xfId="0" applyFont="1" applyFill="1" applyAlignment="1">
      <alignment vertical="top"/>
    </xf>
    <xf numFmtId="0" fontId="10" fillId="5" borderId="0" xfId="0" applyFont="1" applyFill="1"/>
    <xf numFmtId="0" fontId="3" fillId="5" borderId="0" xfId="1" applyFill="1"/>
    <xf numFmtId="0" fontId="10" fillId="5" borderId="0" xfId="0" applyFont="1" applyFill="1" applyAlignment="1">
      <alignment horizontal="right"/>
    </xf>
    <xf numFmtId="0" fontId="34" fillId="5" borderId="0" xfId="0" applyFont="1" applyFill="1"/>
    <xf numFmtId="0" fontId="35" fillId="3" borderId="0" xfId="0" applyFont="1" applyFill="1" applyAlignment="1">
      <alignment horizontal="left" vertical="top" wrapText="1"/>
    </xf>
    <xf numFmtId="0" fontId="35" fillId="3" borderId="0" xfId="0" applyFont="1" applyFill="1" applyAlignment="1">
      <alignment vertical="top"/>
    </xf>
    <xf numFmtId="0" fontId="12" fillId="0" borderId="3" xfId="2" applyFont="1" applyBorder="1" applyAlignment="1">
      <alignment vertical="center" wrapText="1"/>
    </xf>
    <xf numFmtId="0" fontId="12" fillId="0" borderId="1" xfId="2" applyFont="1" applyBorder="1" applyAlignment="1">
      <alignment vertical="center" wrapText="1"/>
    </xf>
    <xf numFmtId="0" fontId="13" fillId="0" borderId="3" xfId="2" applyFont="1" applyBorder="1" applyAlignment="1">
      <alignment vertical="center" wrapText="1"/>
    </xf>
    <xf numFmtId="0" fontId="13" fillId="0" borderId="1" xfId="2" applyFont="1" applyBorder="1" applyAlignment="1">
      <alignment vertical="center" wrapText="1"/>
    </xf>
    <xf numFmtId="0" fontId="12" fillId="0" borderId="2" xfId="2" applyFont="1" applyBorder="1" applyAlignment="1">
      <alignment vertical="center" wrapText="1"/>
    </xf>
    <xf numFmtId="0" fontId="9" fillId="0" borderId="17" xfId="2" applyFont="1" applyBorder="1" applyAlignment="1">
      <alignment horizontal="center"/>
    </xf>
    <xf numFmtId="0" fontId="9" fillId="0" borderId="19" xfId="2" applyFont="1" applyBorder="1" applyAlignment="1">
      <alignment horizontal="center"/>
    </xf>
    <xf numFmtId="0" fontId="9" fillId="0" borderId="12" xfId="2" applyFont="1" applyBorder="1" applyAlignment="1">
      <alignment horizontal="center"/>
    </xf>
    <xf numFmtId="0" fontId="6" fillId="0" borderId="6" xfId="2" applyBorder="1" applyAlignment="1">
      <alignment horizontal="center"/>
    </xf>
    <xf numFmtId="0" fontId="24" fillId="0" borderId="17" xfId="2" applyFont="1" applyBorder="1" applyAlignment="1">
      <alignment horizontal="center"/>
    </xf>
    <xf numFmtId="0" fontId="21" fillId="0" borderId="20" xfId="2" applyFont="1" applyBorder="1" applyAlignment="1">
      <alignment horizontal="center"/>
    </xf>
    <xf numFmtId="15" fontId="9" fillId="0" borderId="17" xfId="2" applyNumberFormat="1" applyFont="1" applyBorder="1" applyAlignment="1">
      <alignment horizontal="center"/>
    </xf>
    <xf numFmtId="0" fontId="6" fillId="0" borderId="20" xfId="2" applyBorder="1" applyAlignment="1">
      <alignment horizontal="center"/>
    </xf>
    <xf numFmtId="0" fontId="6" fillId="0" borderId="19" xfId="2" applyBorder="1" applyAlignment="1">
      <alignment horizontal="center"/>
    </xf>
    <xf numFmtId="0" fontId="17" fillId="0" borderId="20" xfId="2" applyFont="1" applyBorder="1" applyAlignment="1">
      <alignment horizontal="center" vertical="center"/>
    </xf>
    <xf numFmtId="0" fontId="17" fillId="0" borderId="19" xfId="2" applyFont="1" applyBorder="1" applyAlignment="1">
      <alignment horizontal="center" vertical="center"/>
    </xf>
    <xf numFmtId="0" fontId="9" fillId="0" borderId="20" xfId="2" applyFont="1" applyBorder="1" applyAlignment="1">
      <alignment horizontal="center"/>
    </xf>
    <xf numFmtId="0" fontId="6" fillId="0" borderId="9" xfId="2" applyBorder="1" applyAlignment="1">
      <alignment wrapText="1"/>
    </xf>
    <xf numFmtId="0" fontId="6" fillId="0" borderId="8" xfId="2" applyBorder="1" applyAlignment="1">
      <alignment wrapText="1"/>
    </xf>
    <xf numFmtId="0" fontId="6" fillId="0" borderId="7" xfId="2" applyBorder="1" applyAlignment="1">
      <alignment wrapText="1"/>
    </xf>
    <xf numFmtId="0" fontId="9" fillId="0" borderId="20" xfId="2" applyFont="1" applyBorder="1" applyAlignment="1">
      <alignment horizontal="center" vertical="center"/>
    </xf>
    <xf numFmtId="0" fontId="9" fillId="0" borderId="19" xfId="2" applyFont="1" applyBorder="1" applyAlignment="1">
      <alignment horizontal="center" vertical="center"/>
    </xf>
  </cellXfs>
  <cellStyles count="8">
    <cellStyle name="Hyperlink" xfId="1" builtinId="8"/>
    <cellStyle name="Hyperlink 2" xfId="7" xr:uid="{00000000-0005-0000-0000-000001000000}"/>
    <cellStyle name="Normal" xfId="0" builtinId="0"/>
    <cellStyle name="Normal 2" xfId="2" xr:uid="{00000000-0005-0000-0000-000003000000}"/>
    <cellStyle name="Normal 2 2" xfId="3" xr:uid="{00000000-0005-0000-0000-000004000000}"/>
    <cellStyle name="Normal 3" xfId="4" xr:uid="{00000000-0005-0000-0000-000005000000}"/>
    <cellStyle name="Normal 4" xfId="5" xr:uid="{00000000-0005-0000-0000-000006000000}"/>
    <cellStyle name="Percent 2" xfId="6" xr:uid="{00000000-0005-0000-0000-000007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hyperlink" Target="https://www.google.com/url?sa=i&amp;rct=j&amp;q=&amp;esrc=s&amp;source=images&amp;cd=&amp;cad=rja&amp;uact=8&amp;ved=0ahUKEwiBqZiS8LDTAhXIdSYKHfPlDWgQjRwIBw&amp;url=https://www.amazon.com/Global-Risk-Agility-Decision-Making/dp/1349948594&amp;psig=AFQjCNFuvLjWsNz4UVMHe6FauCzgwGGvgg&amp;ust=149270353127960" TargetMode="External"/><Relationship Id="rId2" Type="http://schemas.openxmlformats.org/officeDocument/2006/relationships/image" Target="../media/image4.jpeg"/><Relationship Id="rId1" Type="http://schemas.openxmlformats.org/officeDocument/2006/relationships/hyperlink" Target="https://www.amazon.com/Stress-Test-Reflections-Financial-Crises/dp/080413861" TargetMode="External"/><Relationship Id="rId6" Type="http://schemas.openxmlformats.org/officeDocument/2006/relationships/image" Target="../media/image6.jpeg"/><Relationship Id="rId5" Type="http://schemas.openxmlformats.org/officeDocument/2006/relationships/hyperlink" Target="https://en.wikipedia.org/wiki/All_the_Devils_Are_Her" TargetMode="External"/><Relationship Id="rId4"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9</xdr:col>
      <xdr:colOff>660400</xdr:colOff>
      <xdr:row>1</xdr:row>
      <xdr:rowOff>139700</xdr:rowOff>
    </xdr:from>
    <xdr:to>
      <xdr:col>15</xdr:col>
      <xdr:colOff>431800</xdr:colOff>
      <xdr:row>22</xdr:row>
      <xdr:rowOff>63500</xdr:rowOff>
    </xdr:to>
    <xdr:pic>
      <xdr:nvPicPr>
        <xdr:cNvPr id="2" name="Picture 1">
          <a:extLst>
            <a:ext uri="{FF2B5EF4-FFF2-40B4-BE49-F238E27FC236}">
              <a16:creationId xmlns:a16="http://schemas.microsoft.com/office/drawing/2014/main" id="{A0217CB0-23F3-8E4F-BC58-204EA33D1A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88300" y="381000"/>
          <a:ext cx="3810000" cy="4991100"/>
        </a:xfrm>
        <a:prstGeom prst="rect">
          <a:avLst/>
        </a:prstGeom>
      </xdr:spPr>
    </xdr:pic>
    <xdr:clientData/>
  </xdr:twoCellAnchor>
  <xdr:twoCellAnchor editAs="oneCell">
    <xdr:from>
      <xdr:col>16</xdr:col>
      <xdr:colOff>114300</xdr:colOff>
      <xdr:row>1</xdr:row>
      <xdr:rowOff>114300</xdr:rowOff>
    </xdr:from>
    <xdr:to>
      <xdr:col>27</xdr:col>
      <xdr:colOff>254000</xdr:colOff>
      <xdr:row>43</xdr:row>
      <xdr:rowOff>25400</xdr:rowOff>
    </xdr:to>
    <xdr:pic>
      <xdr:nvPicPr>
        <xdr:cNvPr id="3" name="Picture 2">
          <a:extLst>
            <a:ext uri="{FF2B5EF4-FFF2-40B4-BE49-F238E27FC236}">
              <a16:creationId xmlns:a16="http://schemas.microsoft.com/office/drawing/2014/main" id="{2023E642-D6D0-9E43-AA36-D88D2DAC252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153900" y="355600"/>
          <a:ext cx="7543800" cy="10058400"/>
        </a:xfrm>
        <a:prstGeom prst="rect">
          <a:avLst/>
        </a:prstGeom>
      </xdr:spPr>
    </xdr:pic>
    <xdr:clientData/>
  </xdr:twoCellAnchor>
  <xdr:twoCellAnchor editAs="oneCell">
    <xdr:from>
      <xdr:col>27</xdr:col>
      <xdr:colOff>495300</xdr:colOff>
      <xdr:row>1</xdr:row>
      <xdr:rowOff>114300</xdr:rowOff>
    </xdr:from>
    <xdr:to>
      <xdr:col>74</xdr:col>
      <xdr:colOff>609600</xdr:colOff>
      <xdr:row>64</xdr:row>
      <xdr:rowOff>152400</xdr:rowOff>
    </xdr:to>
    <xdr:pic>
      <xdr:nvPicPr>
        <xdr:cNvPr id="4" name="Picture 3" descr="Image result for exxon valdez">
          <a:extLst>
            <a:ext uri="{FF2B5EF4-FFF2-40B4-BE49-F238E27FC236}">
              <a16:creationId xmlns:a16="http://schemas.microsoft.com/office/drawing/2014/main" id="{63BEED63-AFFF-694C-ADAF-2E0ED19B90C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939000" y="355600"/>
          <a:ext cx="31750000" cy="1525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7</xdr:col>
      <xdr:colOff>0</xdr:colOff>
      <xdr:row>22</xdr:row>
      <xdr:rowOff>0</xdr:rowOff>
    </xdr:from>
    <xdr:ext cx="1816100" cy="2794000"/>
    <xdr:pic>
      <xdr:nvPicPr>
        <xdr:cNvPr id="2" name="Picture 1" descr="mage result for stress test geithner">
          <a:hlinkClick xmlns:r="http://schemas.openxmlformats.org/officeDocument/2006/relationships" r:id="rId1" tgtFrame="_blank"/>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78500" y="4470400"/>
          <a:ext cx="1816100" cy="27940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xdr:row>
      <xdr:rowOff>1</xdr:rowOff>
    </xdr:from>
    <xdr:ext cx="1805725" cy="2717800"/>
    <xdr:pic>
      <xdr:nvPicPr>
        <xdr:cNvPr id="3" name="Picture 2" descr="mage result for global risk agility and decision making">
          <a:hlinkClick xmlns:r="http://schemas.openxmlformats.org/officeDocument/2006/relationships" r:id="rId3" tgtFrame="_blank"/>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78500" y="1016001"/>
          <a:ext cx="1805725" cy="2717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5</xdr:row>
      <xdr:rowOff>0</xdr:rowOff>
    </xdr:from>
    <xdr:ext cx="1825647" cy="2743200"/>
    <xdr:pic>
      <xdr:nvPicPr>
        <xdr:cNvPr id="4" name="Picture 3" descr="mage result for all the devils are here">
          <a:hlinkClick xmlns:r="http://schemas.openxmlformats.org/officeDocument/2006/relationships" r:id="rId5" tgtFrame="_blank"/>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255000" y="1016000"/>
          <a:ext cx="1825647" cy="27432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davidromoff/Google%20Drive/FRM/Fall17/FRMClass1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Downloads/OldFRM/FRMClass1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djr2132/Downloads/Class7.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davidromoff/Google%20Drive/FRM/Fall17/FRMClass6.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dromoff/Desktop/FRM_Class3/FRM_1_VaR.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Users/davidromoff/Downloads/FRMClass1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quidity_VaR"/>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11"/>
      <sheetName val="Liquidity_VaR"/>
      <sheetName val="Liquidty"/>
      <sheetName val="LiquidityOtherThougths"/>
      <sheetName val="Homework"/>
      <sheetName val="O_Material"/>
      <sheetName val="O_Discussion"/>
    </sheetNames>
    <sheetDataSet>
      <sheetData sheetId="0"/>
      <sheetData sheetId="1">
        <row r="7">
          <cell r="B7">
            <v>7496</v>
          </cell>
          <cell r="C7">
            <v>118.37012198141548</v>
          </cell>
          <cell r="D7">
            <v>119.53509682578719</v>
          </cell>
          <cell r="E7">
            <v>118.95260940360134</v>
          </cell>
          <cell r="F7">
            <v>1.1649748443717129</v>
          </cell>
          <cell r="G7">
            <v>9.7936047827164585E-3</v>
          </cell>
          <cell r="H7">
            <v>3.8169099909411921</v>
          </cell>
          <cell r="I7">
            <v>63.016692425521988</v>
          </cell>
          <cell r="J7">
            <v>240.52904291504302</v>
          </cell>
        </row>
        <row r="8">
          <cell r="B8">
            <v>2862</v>
          </cell>
          <cell r="C8">
            <v>82.687195324977267</v>
          </cell>
          <cell r="D8">
            <v>83.56007510257713</v>
          </cell>
          <cell r="E8">
            <v>83.123635213777192</v>
          </cell>
          <cell r="F8">
            <v>0.8728797775998629</v>
          </cell>
          <cell r="G8">
            <v>1.0500981764753099E-2</v>
          </cell>
          <cell r="H8">
            <v>2.667242318781883</v>
          </cell>
          <cell r="I8">
            <v>34.430640486782302</v>
          </cell>
          <cell r="J8">
            <v>91.834861369110612</v>
          </cell>
        </row>
        <row r="9">
          <cell r="B9">
            <v>9729</v>
          </cell>
          <cell r="C9">
            <v>10.823358572373195</v>
          </cell>
          <cell r="D9">
            <v>11.413546347445717</v>
          </cell>
          <cell r="E9">
            <v>11.118452459909456</v>
          </cell>
          <cell r="F9">
            <v>0.59018777507252196</v>
          </cell>
          <cell r="G9">
            <v>5.3081827457607193E-2</v>
          </cell>
          <cell r="H9">
            <v>0.35676503853767705</v>
          </cell>
          <cell r="I9">
            <v>875.03184773964745</v>
          </cell>
          <cell r="J9">
            <v>312.18077088053008</v>
          </cell>
        </row>
        <row r="10">
          <cell r="B10">
            <v>3642</v>
          </cell>
          <cell r="C10">
            <v>142.60862846891442</v>
          </cell>
          <cell r="D10">
            <v>143.2524387151652</v>
          </cell>
          <cell r="E10">
            <v>142.93053359203981</v>
          </cell>
          <cell r="F10">
            <v>0.64381024625077998</v>
          </cell>
          <cell r="G10">
            <v>4.5043576769144278E-3</v>
          </cell>
          <cell r="H10">
            <v>4.5863052892515661</v>
          </cell>
          <cell r="I10">
            <v>25.480909561250201</v>
          </cell>
          <cell r="J10">
            <v>116.86323029570259</v>
          </cell>
        </row>
        <row r="11">
          <cell r="B11">
            <v>7568</v>
          </cell>
          <cell r="C11">
            <v>43.354846801191897</v>
          </cell>
          <cell r="D11">
            <v>43.981546257516065</v>
          </cell>
          <cell r="E11">
            <v>43.668196529353978</v>
          </cell>
          <cell r="F11">
            <v>0.62669945632416812</v>
          </cell>
          <cell r="G11">
            <v>1.4351393144960719E-2</v>
          </cell>
          <cell r="H11">
            <v>1.401209914225122</v>
          </cell>
          <cell r="I11">
            <v>173.30690528775909</v>
          </cell>
          <cell r="J11">
            <v>242.83935389288226</v>
          </cell>
        </row>
        <row r="12">
          <cell r="B12">
            <v>7108</v>
          </cell>
          <cell r="C12">
            <v>133.11724994797456</v>
          </cell>
          <cell r="D12">
            <v>134.16325867580534</v>
          </cell>
          <cell r="E12">
            <v>133.64025431188995</v>
          </cell>
          <cell r="F12">
            <v>1.046008727830781</v>
          </cell>
          <cell r="G12">
            <v>7.8270483187618256E-3</v>
          </cell>
          <cell r="H12">
            <v>4.2882020363609712</v>
          </cell>
          <cell r="I12">
            <v>53.18756714882727</v>
          </cell>
          <cell r="J12">
            <v>228.07903375668698</v>
          </cell>
        </row>
        <row r="13">
          <cell r="B13">
            <v>4684</v>
          </cell>
          <cell r="C13">
            <v>45.810122708731427</v>
          </cell>
          <cell r="D13">
            <v>46.333360301400774</v>
          </cell>
          <cell r="E13">
            <v>46.0717415050661</v>
          </cell>
          <cell r="F13">
            <v>0.52323759266934644</v>
          </cell>
          <cell r="G13">
            <v>1.135701789375187E-2</v>
          </cell>
          <cell r="H13">
            <v>1.4783340301017627</v>
          </cell>
          <cell r="I13">
            <v>101.66752649202422</v>
          </cell>
          <cell r="J13">
            <v>150.2985641694319</v>
          </cell>
        </row>
        <row r="14">
          <cell r="B14">
            <v>9024</v>
          </cell>
          <cell r="C14">
            <v>107.99561305590164</v>
          </cell>
          <cell r="D14">
            <v>109.27873410666952</v>
          </cell>
          <cell r="E14">
            <v>108.63717358128558</v>
          </cell>
          <cell r="F14">
            <v>1.2831210507678747</v>
          </cell>
          <cell r="G14">
            <v>1.1811068057728925E-2</v>
          </cell>
          <cell r="H14">
            <v>3.4859118711982413</v>
          </cell>
          <cell r="I14">
            <v>83.065489486874156</v>
          </cell>
          <cell r="J14">
            <v>289.55897588918731</v>
          </cell>
        </row>
        <row r="15">
          <cell r="B15">
            <v>4927</v>
          </cell>
          <cell r="C15">
            <v>175.53990115064636</v>
          </cell>
          <cell r="D15">
            <v>177.31374338418087</v>
          </cell>
          <cell r="E15">
            <v>176.42682226741363</v>
          </cell>
          <cell r="F15">
            <v>1.7738422335345092</v>
          </cell>
          <cell r="G15">
            <v>1.0054266186611134E-2</v>
          </cell>
          <cell r="H15">
            <v>5.6611225593014138</v>
          </cell>
          <cell r="I15">
            <v>27.926592661358761</v>
          </cell>
          <cell r="J15">
            <v>158.0958637196394</v>
          </cell>
        </row>
        <row r="16">
          <cell r="B16">
            <v>9366</v>
          </cell>
          <cell r="C16">
            <v>78.572439609149754</v>
          </cell>
          <cell r="D16">
            <v>79.507633024223878</v>
          </cell>
          <cell r="E16">
            <v>79.040036316686809</v>
          </cell>
          <cell r="F16">
            <v>0.93519341507412435</v>
          </cell>
          <cell r="G16">
            <v>1.1831895057931391E-2</v>
          </cell>
          <cell r="H16">
            <v>2.5362092165452133</v>
          </cell>
          <cell r="I16">
            <v>118.49690911671134</v>
          </cell>
          <cell r="J16">
            <v>300.53295303392377</v>
          </cell>
        </row>
        <row r="17">
          <cell r="B17">
            <v>4594</v>
          </cell>
          <cell r="C17">
            <v>165.53688402594722</v>
          </cell>
          <cell r="D17">
            <v>167.28425534126472</v>
          </cell>
          <cell r="E17">
            <v>166.41056968360596</v>
          </cell>
          <cell r="F17">
            <v>1.7473713153175083</v>
          </cell>
          <cell r="G17">
            <v>1.0500362558939378E-2</v>
          </cell>
          <cell r="H17">
            <v>5.3397245273405565</v>
          </cell>
          <cell r="I17">
            <v>27.606419524520028</v>
          </cell>
          <cell r="J17">
            <v>147.4106754471328</v>
          </cell>
        </row>
        <row r="18">
          <cell r="B18">
            <v>9764</v>
          </cell>
          <cell r="C18">
            <v>49.31396649686608</v>
          </cell>
          <cell r="D18">
            <v>50.079636133786565</v>
          </cell>
          <cell r="E18">
            <v>49.696801315326326</v>
          </cell>
          <cell r="F18">
            <v>0.76566963692048517</v>
          </cell>
          <cell r="G18">
            <v>1.5406819285255594E-2</v>
          </cell>
          <cell r="H18">
            <v>1.5946536894763197</v>
          </cell>
          <cell r="I18">
            <v>196.47139738526423</v>
          </cell>
          <cell r="J18">
            <v>313.30383871697973</v>
          </cell>
        </row>
        <row r="19">
          <cell r="B19">
            <v>4960</v>
          </cell>
          <cell r="C19">
            <v>13.996170418677014</v>
          </cell>
          <cell r="D19">
            <v>14.575730877700273</v>
          </cell>
          <cell r="E19">
            <v>14.285950648188644</v>
          </cell>
          <cell r="F19">
            <v>0.57956045902325926</v>
          </cell>
          <cell r="G19">
            <v>4.0568560909647507E-2</v>
          </cell>
          <cell r="H19">
            <v>0.45840261960250173</v>
          </cell>
          <cell r="I19">
            <v>347.19425554146738</v>
          </cell>
          <cell r="J19">
            <v>159.15475625114905</v>
          </cell>
        </row>
        <row r="20">
          <cell r="B20">
            <v>6616</v>
          </cell>
          <cell r="C20">
            <v>144.73063673268339</v>
          </cell>
          <cell r="D20">
            <v>146.41362561012136</v>
          </cell>
          <cell r="E20">
            <v>145.57213117140236</v>
          </cell>
          <cell r="F20">
            <v>1.682988877437964</v>
          </cell>
          <cell r="G20">
            <v>1.1561202435487783E-2</v>
          </cell>
          <cell r="H20">
            <v>4.6710679543437177</v>
          </cell>
          <cell r="I20">
            <v>45.448259545022808</v>
          </cell>
          <cell r="J20">
            <v>212.29190874145203</v>
          </cell>
        </row>
        <row r="21">
          <cell r="B21">
            <v>4300</v>
          </cell>
          <cell r="C21">
            <v>57.802855691261044</v>
          </cell>
          <cell r="D21">
            <v>58.572162251312029</v>
          </cell>
          <cell r="E21">
            <v>58.187508971286533</v>
          </cell>
          <cell r="F21">
            <v>0.76930656005098541</v>
          </cell>
          <cell r="G21">
            <v>1.322116333302068E-2</v>
          </cell>
          <cell r="H21">
            <v>1.8671005659650519</v>
          </cell>
          <cell r="I21">
            <v>73.89902190385736</v>
          </cell>
          <cell r="J21">
            <v>137.97690562095585</v>
          </cell>
        </row>
        <row r="22">
          <cell r="B22">
            <v>6589</v>
          </cell>
          <cell r="C22">
            <v>149.43529033885986</v>
          </cell>
          <cell r="D22">
            <v>150.91378760732434</v>
          </cell>
          <cell r="E22">
            <v>150.1745389730921</v>
          </cell>
          <cell r="F22">
            <v>1.4784972684644799</v>
          </cell>
          <cell r="G22">
            <v>9.8451926576541282E-3</v>
          </cell>
          <cell r="H22">
            <v>4.8187484164095071</v>
          </cell>
          <cell r="I22">
            <v>43.875613303401586</v>
          </cell>
          <cell r="J22">
            <v>211.4255421247623</v>
          </cell>
        </row>
        <row r="23">
          <cell r="B23">
            <v>2821</v>
          </cell>
          <cell r="C23">
            <v>6.8010263925316305</v>
          </cell>
          <cell r="D23">
            <v>7.3676254373529284</v>
          </cell>
          <cell r="E23">
            <v>7.0843259149422799</v>
          </cell>
          <cell r="F23">
            <v>0.56659904482129786</v>
          </cell>
          <cell r="G23">
            <v>7.99792459613166E-2</v>
          </cell>
          <cell r="H23">
            <v>0.2273193879428099</v>
          </cell>
          <cell r="I23">
            <v>398.20302367088152</v>
          </cell>
          <cell r="J23">
            <v>90.519267617841024</v>
          </cell>
        </row>
        <row r="25">
          <cell r="G25">
            <v>1.918800044017992E-2</v>
          </cell>
        </row>
        <row r="26">
          <cell r="G26">
            <v>1.9338167348831231E-2</v>
          </cell>
        </row>
        <row r="28">
          <cell r="G28">
            <v>0.01</v>
          </cell>
        </row>
        <row r="29">
          <cell r="G29">
            <v>3.2087652469989729E-2</v>
          </cell>
        </row>
      </sheetData>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sheetData sheetId="8"/>
      <sheetData sheetId="9"/>
      <sheetData sheetId="10"/>
      <sheetData sheetId="1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 val="Excel"/>
      <sheetName val="VaR0"/>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 sheetId="16" refreshError="1"/>
      <sheetData sheetId="1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Bond"/>
      <sheetName val="InstallmentLoan"/>
      <sheetName val="Duration"/>
      <sheetName val="Dur2"/>
      <sheetName val="Dur3"/>
      <sheetName val="Curve0"/>
      <sheetName val="Remember"/>
      <sheetName val="Bond2"/>
      <sheetName val="Bond3"/>
      <sheetName val="FX_Intro"/>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 sheetId="8"/>
      <sheetData sheetId="9"/>
      <sheetData sheetId="1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N"/>
      <sheetName val="CreditMatrix"/>
      <sheetName val="CreditMatrix_Weighted"/>
      <sheetName val="CreditMatrix_Loss"/>
      <sheetName val="MertonModel"/>
      <sheetName val="Homework"/>
      <sheetName val="QuizBank"/>
      <sheetName val="O_Material"/>
      <sheetName val="O_Discussion"/>
    </sheetNames>
    <sheetDataSet>
      <sheetData sheetId="0"/>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C</v>
          </cell>
          <cell r="E10" t="str">
            <v>C</v>
          </cell>
        </row>
        <row r="11">
          <cell r="D11" t="str">
            <v>B</v>
          </cell>
          <cell r="E11" t="str">
            <v>C</v>
          </cell>
        </row>
        <row r="12">
          <cell r="D12" t="str">
            <v>A</v>
          </cell>
          <cell r="E12" t="str">
            <v>C</v>
          </cell>
        </row>
        <row r="13">
          <cell r="D13" t="str">
            <v>D</v>
          </cell>
          <cell r="E13" t="str">
            <v>E</v>
          </cell>
        </row>
        <row r="14">
          <cell r="D14" t="str">
            <v>A</v>
          </cell>
          <cell r="E14" t="str">
            <v>A</v>
          </cell>
        </row>
        <row r="15">
          <cell r="D15" t="str">
            <v>B</v>
          </cell>
          <cell r="E15" t="str">
            <v>B</v>
          </cell>
        </row>
        <row r="16">
          <cell r="D16" t="str">
            <v>B</v>
          </cell>
          <cell r="E16" t="str">
            <v>D</v>
          </cell>
        </row>
        <row r="17">
          <cell r="D17" t="str">
            <v>A</v>
          </cell>
          <cell r="E17" t="str">
            <v>A</v>
          </cell>
        </row>
        <row r="18">
          <cell r="D18" t="str">
            <v>C</v>
          </cell>
          <cell r="E18" t="str">
            <v>E</v>
          </cell>
        </row>
        <row r="19">
          <cell r="D19" t="str">
            <v>D</v>
          </cell>
          <cell r="E19" t="str">
            <v>E</v>
          </cell>
        </row>
        <row r="20">
          <cell r="D20" t="str">
            <v>B</v>
          </cell>
          <cell r="E20" t="str">
            <v>A</v>
          </cell>
        </row>
        <row r="21">
          <cell r="D21" t="str">
            <v>B</v>
          </cell>
          <cell r="E21" t="str">
            <v>B</v>
          </cell>
        </row>
        <row r="22">
          <cell r="D22" t="str">
            <v>D</v>
          </cell>
          <cell r="E22" t="str">
            <v>E</v>
          </cell>
        </row>
        <row r="23">
          <cell r="D23" t="str">
            <v>C</v>
          </cell>
          <cell r="E23" t="str">
            <v>D</v>
          </cell>
        </row>
        <row r="24">
          <cell r="D24" t="str">
            <v>D</v>
          </cell>
          <cell r="E24" t="str">
            <v>D</v>
          </cell>
        </row>
        <row r="25">
          <cell r="D25" t="str">
            <v>A</v>
          </cell>
          <cell r="E25" t="str">
            <v>B</v>
          </cell>
        </row>
        <row r="26">
          <cell r="D26" t="str">
            <v>B</v>
          </cell>
          <cell r="E26" t="str">
            <v>A</v>
          </cell>
        </row>
        <row r="27">
          <cell r="D27" t="str">
            <v>E</v>
          </cell>
          <cell r="E27" t="str">
            <v>F</v>
          </cell>
        </row>
        <row r="28">
          <cell r="D28" t="str">
            <v>A</v>
          </cell>
          <cell r="E28" t="str">
            <v>A</v>
          </cell>
        </row>
        <row r="29">
          <cell r="D29" t="str">
            <v>A</v>
          </cell>
          <cell r="E29" t="str">
            <v>A</v>
          </cell>
        </row>
        <row r="30">
          <cell r="D30" t="str">
            <v>E</v>
          </cell>
          <cell r="E30" t="str">
            <v>F</v>
          </cell>
        </row>
        <row r="31">
          <cell r="D31" t="str">
            <v>B</v>
          </cell>
          <cell r="E31" t="str">
            <v>C</v>
          </cell>
        </row>
        <row r="32">
          <cell r="D32" t="str">
            <v>B</v>
          </cell>
          <cell r="E32" t="str">
            <v>D</v>
          </cell>
        </row>
        <row r="33">
          <cell r="D33" t="str">
            <v>C</v>
          </cell>
          <cell r="E33" t="str">
            <v>C</v>
          </cell>
        </row>
        <row r="34">
          <cell r="D34" t="str">
            <v>A</v>
          </cell>
          <cell r="E34" t="str">
            <v>A</v>
          </cell>
        </row>
        <row r="35">
          <cell r="D35" t="str">
            <v>E</v>
          </cell>
          <cell r="E35" t="str">
            <v>D</v>
          </cell>
        </row>
        <row r="36">
          <cell r="D36" t="str">
            <v>C</v>
          </cell>
          <cell r="E36" t="str">
            <v>E</v>
          </cell>
        </row>
        <row r="37">
          <cell r="D37" t="str">
            <v>C</v>
          </cell>
          <cell r="E37" t="str">
            <v>C</v>
          </cell>
        </row>
        <row r="38">
          <cell r="D38" t="str">
            <v>E</v>
          </cell>
          <cell r="E38" t="str">
            <v>E</v>
          </cell>
        </row>
        <row r="39">
          <cell r="D39" t="str">
            <v>A</v>
          </cell>
          <cell r="E39" t="str">
            <v>C</v>
          </cell>
        </row>
        <row r="40">
          <cell r="D40" t="str">
            <v>B</v>
          </cell>
          <cell r="E40" t="str">
            <v>B</v>
          </cell>
        </row>
        <row r="41">
          <cell r="D41" t="str">
            <v>B</v>
          </cell>
          <cell r="E41" t="str">
            <v>C</v>
          </cell>
        </row>
        <row r="42">
          <cell r="D42" t="str">
            <v>D</v>
          </cell>
          <cell r="E42" t="str">
            <v>E</v>
          </cell>
        </row>
        <row r="43">
          <cell r="D43" t="str">
            <v>C</v>
          </cell>
          <cell r="E43" t="str">
            <v>D</v>
          </cell>
        </row>
        <row r="44">
          <cell r="D44" t="str">
            <v>C</v>
          </cell>
          <cell r="E44" t="str">
            <v>B</v>
          </cell>
        </row>
        <row r="45">
          <cell r="D45" t="str">
            <v>A</v>
          </cell>
          <cell r="E45" t="str">
            <v>A</v>
          </cell>
        </row>
        <row r="46">
          <cell r="D46" t="str">
            <v>D</v>
          </cell>
          <cell r="E46" t="str">
            <v>F</v>
          </cell>
        </row>
        <row r="47">
          <cell r="D47" t="str">
            <v>D</v>
          </cell>
          <cell r="E47" t="str">
            <v>E</v>
          </cell>
        </row>
        <row r="48">
          <cell r="D48" t="str">
            <v>D</v>
          </cell>
          <cell r="E48" t="str">
            <v>F</v>
          </cell>
        </row>
        <row r="49">
          <cell r="D49" t="str">
            <v>B</v>
          </cell>
          <cell r="E49" t="str">
            <v>C</v>
          </cell>
        </row>
        <row r="50">
          <cell r="D50" t="str">
            <v>E</v>
          </cell>
          <cell r="E50" t="str">
            <v>F</v>
          </cell>
        </row>
        <row r="51">
          <cell r="D51" t="str">
            <v>E</v>
          </cell>
          <cell r="E51" t="str">
            <v>E</v>
          </cell>
        </row>
        <row r="52">
          <cell r="D52" t="str">
            <v>D</v>
          </cell>
          <cell r="E52" t="str">
            <v>C</v>
          </cell>
        </row>
        <row r="53">
          <cell r="D53" t="str">
            <v>B</v>
          </cell>
          <cell r="E53" t="str">
            <v>A</v>
          </cell>
        </row>
        <row r="54">
          <cell r="D54" t="str">
            <v>B</v>
          </cell>
          <cell r="E54" t="str">
            <v>C</v>
          </cell>
        </row>
        <row r="55">
          <cell r="D55" t="str">
            <v>D</v>
          </cell>
          <cell r="E55" t="str">
            <v>F</v>
          </cell>
        </row>
        <row r="56">
          <cell r="D56" t="str">
            <v>C</v>
          </cell>
          <cell r="E56" t="str">
            <v>D</v>
          </cell>
        </row>
        <row r="57">
          <cell r="D57" t="str">
            <v>B</v>
          </cell>
          <cell r="E57" t="str">
            <v>C</v>
          </cell>
        </row>
        <row r="58">
          <cell r="D58" t="str">
            <v>E</v>
          </cell>
          <cell r="E58" t="str">
            <v>D</v>
          </cell>
        </row>
        <row r="59">
          <cell r="D59" t="str">
            <v>A</v>
          </cell>
          <cell r="E59" t="str">
            <v>B</v>
          </cell>
        </row>
        <row r="60">
          <cell r="D60" t="str">
            <v>D</v>
          </cell>
          <cell r="E60" t="str">
            <v>D</v>
          </cell>
        </row>
        <row r="61">
          <cell r="D61" t="str">
            <v>D</v>
          </cell>
          <cell r="E61" t="str">
            <v>D</v>
          </cell>
        </row>
        <row r="62">
          <cell r="D62" t="str">
            <v>E</v>
          </cell>
          <cell r="E62" t="str">
            <v>F</v>
          </cell>
        </row>
        <row r="63">
          <cell r="D63" t="str">
            <v>A</v>
          </cell>
          <cell r="E63" t="str">
            <v>A</v>
          </cell>
        </row>
        <row r="64">
          <cell r="D64" t="str">
            <v>B</v>
          </cell>
          <cell r="E64" t="str">
            <v>B</v>
          </cell>
        </row>
        <row r="65">
          <cell r="D65" t="str">
            <v>B</v>
          </cell>
          <cell r="E65" t="str">
            <v>B</v>
          </cell>
        </row>
        <row r="66">
          <cell r="D66" t="str">
            <v>B</v>
          </cell>
          <cell r="E66" t="str">
            <v>D</v>
          </cell>
        </row>
        <row r="67">
          <cell r="D67" t="str">
            <v>B</v>
          </cell>
          <cell r="E67" t="str">
            <v>D</v>
          </cell>
        </row>
        <row r="68">
          <cell r="D68" t="str">
            <v>E</v>
          </cell>
          <cell r="E68" t="str">
            <v>F</v>
          </cell>
        </row>
        <row r="69">
          <cell r="D69" t="str">
            <v>E</v>
          </cell>
          <cell r="E69" t="str">
            <v>F</v>
          </cell>
        </row>
        <row r="70">
          <cell r="D70" t="str">
            <v>C</v>
          </cell>
          <cell r="E70" t="str">
            <v>D</v>
          </cell>
        </row>
        <row r="71">
          <cell r="D71" t="str">
            <v>D</v>
          </cell>
          <cell r="E71" t="str">
            <v>C</v>
          </cell>
        </row>
        <row r="72">
          <cell r="D72" t="str">
            <v>E</v>
          </cell>
          <cell r="E72" t="str">
            <v>F</v>
          </cell>
        </row>
        <row r="73">
          <cell r="D73" t="str">
            <v>B</v>
          </cell>
          <cell r="E73" t="str">
            <v>D</v>
          </cell>
        </row>
        <row r="74">
          <cell r="D74" t="str">
            <v>B</v>
          </cell>
          <cell r="E74" t="str">
            <v>C</v>
          </cell>
        </row>
        <row r="75">
          <cell r="D75" t="str">
            <v>B</v>
          </cell>
          <cell r="E75" t="str">
            <v>B</v>
          </cell>
        </row>
        <row r="76">
          <cell r="D76" t="str">
            <v>C</v>
          </cell>
          <cell r="E76" t="str">
            <v>E</v>
          </cell>
        </row>
        <row r="77">
          <cell r="D77" t="str">
            <v>A</v>
          </cell>
          <cell r="E77" t="str">
            <v>C</v>
          </cell>
        </row>
        <row r="78">
          <cell r="D78" t="str">
            <v>C</v>
          </cell>
          <cell r="E78" t="str">
            <v>E</v>
          </cell>
        </row>
        <row r="79">
          <cell r="D79" t="str">
            <v>D</v>
          </cell>
          <cell r="E79" t="str">
            <v>D</v>
          </cell>
        </row>
        <row r="80">
          <cell r="D80" t="str">
            <v>A</v>
          </cell>
          <cell r="E80" t="str">
            <v>B</v>
          </cell>
        </row>
        <row r="81">
          <cell r="D81" t="str">
            <v>B</v>
          </cell>
          <cell r="E81" t="str">
            <v>C</v>
          </cell>
        </row>
        <row r="82">
          <cell r="D82" t="str">
            <v>B</v>
          </cell>
          <cell r="E82" t="str">
            <v>B</v>
          </cell>
        </row>
        <row r="83">
          <cell r="D83" t="str">
            <v>D</v>
          </cell>
          <cell r="E83" t="str">
            <v>E</v>
          </cell>
        </row>
        <row r="84">
          <cell r="D84" t="str">
            <v>E</v>
          </cell>
          <cell r="E84" t="str">
            <v>F</v>
          </cell>
        </row>
        <row r="85">
          <cell r="D85" t="str">
            <v>C</v>
          </cell>
          <cell r="E85" t="str">
            <v>C</v>
          </cell>
        </row>
        <row r="86">
          <cell r="D86" t="str">
            <v>C</v>
          </cell>
          <cell r="E86" t="str">
            <v>D</v>
          </cell>
        </row>
        <row r="87">
          <cell r="D87" t="str">
            <v>D</v>
          </cell>
          <cell r="E87" t="str">
            <v>E</v>
          </cell>
        </row>
        <row r="88">
          <cell r="D88" t="str">
            <v>A</v>
          </cell>
          <cell r="E88" t="str">
            <v>C</v>
          </cell>
        </row>
        <row r="89">
          <cell r="D89" t="str">
            <v>A</v>
          </cell>
          <cell r="E89" t="str">
            <v>A</v>
          </cell>
        </row>
        <row r="90">
          <cell r="D90" t="str">
            <v>A</v>
          </cell>
          <cell r="E90" t="str">
            <v>B</v>
          </cell>
        </row>
        <row r="91">
          <cell r="D91" t="str">
            <v>B</v>
          </cell>
          <cell r="E91" t="str">
            <v>C</v>
          </cell>
        </row>
        <row r="92">
          <cell r="D92" t="str">
            <v>E</v>
          </cell>
          <cell r="E92" t="str">
            <v>F</v>
          </cell>
        </row>
        <row r="93">
          <cell r="D93" t="str">
            <v>A</v>
          </cell>
          <cell r="E93" t="str">
            <v>B</v>
          </cell>
        </row>
        <row r="94">
          <cell r="D94" t="str">
            <v>C</v>
          </cell>
          <cell r="E94" t="str">
            <v>C</v>
          </cell>
        </row>
        <row r="95">
          <cell r="D95" t="str">
            <v>B</v>
          </cell>
          <cell r="E95" t="str">
            <v>C</v>
          </cell>
        </row>
        <row r="96">
          <cell r="D96" t="str">
            <v>A</v>
          </cell>
          <cell r="E96" t="str">
            <v>B</v>
          </cell>
        </row>
        <row r="97">
          <cell r="D97" t="str">
            <v>D</v>
          </cell>
          <cell r="E97" t="str">
            <v>F</v>
          </cell>
        </row>
        <row r="98">
          <cell r="D98" t="str">
            <v>A</v>
          </cell>
          <cell r="E98" t="str">
            <v>B</v>
          </cell>
        </row>
        <row r="99">
          <cell r="D99" t="str">
            <v>A</v>
          </cell>
          <cell r="E99" t="str">
            <v>C</v>
          </cell>
        </row>
        <row r="100">
          <cell r="D100" t="str">
            <v>D</v>
          </cell>
          <cell r="E100" t="str">
            <v>E</v>
          </cell>
        </row>
        <row r="101">
          <cell r="D101" t="str">
            <v>C</v>
          </cell>
          <cell r="E101" t="str">
            <v>D</v>
          </cell>
        </row>
        <row r="102">
          <cell r="D102" t="str">
            <v>E</v>
          </cell>
          <cell r="E102" t="str">
            <v>E</v>
          </cell>
        </row>
        <row r="103">
          <cell r="D103" t="str">
            <v>A</v>
          </cell>
          <cell r="E103" t="str">
            <v>A</v>
          </cell>
        </row>
        <row r="104">
          <cell r="D104" t="str">
            <v>C</v>
          </cell>
          <cell r="E104" t="str">
            <v>B</v>
          </cell>
        </row>
        <row r="105">
          <cell r="D105" t="str">
            <v>B</v>
          </cell>
          <cell r="E105" t="str">
            <v>C</v>
          </cell>
        </row>
        <row r="106">
          <cell r="D106" t="str">
            <v>E</v>
          </cell>
          <cell r="E106" t="str">
            <v>F</v>
          </cell>
        </row>
        <row r="107">
          <cell r="D107" t="str">
            <v>C</v>
          </cell>
          <cell r="E107" t="str">
            <v>D</v>
          </cell>
        </row>
        <row r="108">
          <cell r="D108" t="str">
            <v>B</v>
          </cell>
          <cell r="E108" t="str">
            <v>A</v>
          </cell>
        </row>
        <row r="109">
          <cell r="D109" t="str">
            <v>A</v>
          </cell>
          <cell r="E109" t="str">
            <v>A</v>
          </cell>
        </row>
      </sheetData>
      <sheetData sheetId="2">
        <row r="10">
          <cell r="F10">
            <v>33</v>
          </cell>
        </row>
        <row r="11">
          <cell r="F11">
            <v>72</v>
          </cell>
        </row>
        <row r="12">
          <cell r="F12">
            <v>80</v>
          </cell>
        </row>
        <row r="13">
          <cell r="F13">
            <v>100</v>
          </cell>
        </row>
        <row r="14">
          <cell r="F14">
            <v>85</v>
          </cell>
        </row>
        <row r="15">
          <cell r="F15">
            <v>74</v>
          </cell>
        </row>
        <row r="16">
          <cell r="F16">
            <v>20</v>
          </cell>
        </row>
        <row r="17">
          <cell r="F17">
            <v>66</v>
          </cell>
        </row>
        <row r="18">
          <cell r="F18">
            <v>45</v>
          </cell>
        </row>
        <row r="19">
          <cell r="F19">
            <v>99</v>
          </cell>
        </row>
        <row r="20">
          <cell r="F20">
            <v>54</v>
          </cell>
        </row>
        <row r="21">
          <cell r="F21">
            <v>37</v>
          </cell>
        </row>
        <row r="22">
          <cell r="F22">
            <v>29</v>
          </cell>
        </row>
        <row r="23">
          <cell r="F23">
            <v>71</v>
          </cell>
        </row>
        <row r="24">
          <cell r="F24">
            <v>30</v>
          </cell>
        </row>
        <row r="25">
          <cell r="F25">
            <v>39</v>
          </cell>
        </row>
        <row r="26">
          <cell r="F26">
            <v>44</v>
          </cell>
        </row>
        <row r="27">
          <cell r="F27">
            <v>31</v>
          </cell>
        </row>
        <row r="28">
          <cell r="F28">
            <v>61</v>
          </cell>
        </row>
        <row r="29">
          <cell r="F29">
            <v>44</v>
          </cell>
        </row>
        <row r="30">
          <cell r="F30">
            <v>25</v>
          </cell>
        </row>
        <row r="31">
          <cell r="F31">
            <v>33</v>
          </cell>
        </row>
        <row r="32">
          <cell r="F32">
            <v>87</v>
          </cell>
        </row>
        <row r="33">
          <cell r="F33">
            <v>68</v>
          </cell>
        </row>
        <row r="34">
          <cell r="F34">
            <v>81</v>
          </cell>
        </row>
        <row r="35">
          <cell r="F35">
            <v>69</v>
          </cell>
        </row>
        <row r="36">
          <cell r="F36">
            <v>22</v>
          </cell>
        </row>
        <row r="37">
          <cell r="F37">
            <v>54</v>
          </cell>
        </row>
        <row r="38">
          <cell r="F38">
            <v>71</v>
          </cell>
        </row>
        <row r="39">
          <cell r="F39">
            <v>61</v>
          </cell>
        </row>
        <row r="40">
          <cell r="F40">
            <v>46</v>
          </cell>
        </row>
        <row r="41">
          <cell r="F41">
            <v>98</v>
          </cell>
        </row>
        <row r="42">
          <cell r="F42">
            <v>62</v>
          </cell>
        </row>
        <row r="43">
          <cell r="F43">
            <v>47</v>
          </cell>
        </row>
        <row r="44">
          <cell r="F44">
            <v>49</v>
          </cell>
        </row>
        <row r="45">
          <cell r="F45">
            <v>91</v>
          </cell>
        </row>
        <row r="46">
          <cell r="F46">
            <v>88</v>
          </cell>
        </row>
        <row r="47">
          <cell r="F47">
            <v>23</v>
          </cell>
        </row>
        <row r="48">
          <cell r="F48">
            <v>92</v>
          </cell>
        </row>
        <row r="49">
          <cell r="F49">
            <v>48</v>
          </cell>
        </row>
        <row r="50">
          <cell r="F50">
            <v>47</v>
          </cell>
        </row>
        <row r="51">
          <cell r="F51">
            <v>64</v>
          </cell>
        </row>
        <row r="52">
          <cell r="F52">
            <v>22</v>
          </cell>
        </row>
        <row r="53">
          <cell r="F53">
            <v>81</v>
          </cell>
        </row>
        <row r="54">
          <cell r="F54">
            <v>28</v>
          </cell>
        </row>
        <row r="55">
          <cell r="F55">
            <v>70</v>
          </cell>
        </row>
        <row r="56">
          <cell r="F56">
            <v>58</v>
          </cell>
        </row>
        <row r="57">
          <cell r="F57">
            <v>32</v>
          </cell>
        </row>
        <row r="58">
          <cell r="F58">
            <v>92</v>
          </cell>
        </row>
        <row r="59">
          <cell r="F59">
            <v>67</v>
          </cell>
        </row>
        <row r="60">
          <cell r="F60">
            <v>52</v>
          </cell>
        </row>
        <row r="61">
          <cell r="F61">
            <v>67</v>
          </cell>
        </row>
        <row r="62">
          <cell r="F62">
            <v>98</v>
          </cell>
        </row>
        <row r="63">
          <cell r="F63">
            <v>23</v>
          </cell>
        </row>
        <row r="64">
          <cell r="F64">
            <v>81</v>
          </cell>
        </row>
        <row r="65">
          <cell r="F65">
            <v>58</v>
          </cell>
        </row>
        <row r="66">
          <cell r="F66">
            <v>97</v>
          </cell>
        </row>
        <row r="67">
          <cell r="F67">
            <v>96</v>
          </cell>
        </row>
        <row r="68">
          <cell r="F68">
            <v>30</v>
          </cell>
        </row>
        <row r="69">
          <cell r="F69">
            <v>72</v>
          </cell>
        </row>
        <row r="70">
          <cell r="F70">
            <v>76</v>
          </cell>
        </row>
        <row r="71">
          <cell r="F71">
            <v>27</v>
          </cell>
        </row>
        <row r="72">
          <cell r="F72">
            <v>66</v>
          </cell>
        </row>
        <row r="73">
          <cell r="F73">
            <v>63</v>
          </cell>
        </row>
        <row r="74">
          <cell r="F74">
            <v>95</v>
          </cell>
        </row>
        <row r="75">
          <cell r="F75">
            <v>71</v>
          </cell>
        </row>
        <row r="76">
          <cell r="F76">
            <v>49</v>
          </cell>
        </row>
        <row r="77">
          <cell r="F77">
            <v>54</v>
          </cell>
        </row>
        <row r="78">
          <cell r="F78">
            <v>35</v>
          </cell>
        </row>
        <row r="79">
          <cell r="F79">
            <v>79</v>
          </cell>
        </row>
        <row r="80">
          <cell r="F80">
            <v>29</v>
          </cell>
        </row>
        <row r="81">
          <cell r="F81">
            <v>47</v>
          </cell>
        </row>
        <row r="82">
          <cell r="F82">
            <v>71</v>
          </cell>
        </row>
        <row r="83">
          <cell r="F83">
            <v>44</v>
          </cell>
        </row>
        <row r="84">
          <cell r="F84">
            <v>68</v>
          </cell>
        </row>
        <row r="85">
          <cell r="F85">
            <v>99</v>
          </cell>
        </row>
        <row r="86">
          <cell r="F86">
            <v>85</v>
          </cell>
        </row>
        <row r="87">
          <cell r="F87">
            <v>89</v>
          </cell>
        </row>
        <row r="88">
          <cell r="F88">
            <v>95</v>
          </cell>
        </row>
        <row r="89">
          <cell r="F89">
            <v>93</v>
          </cell>
        </row>
        <row r="90">
          <cell r="F90">
            <v>63</v>
          </cell>
        </row>
        <row r="91">
          <cell r="F91">
            <v>53</v>
          </cell>
        </row>
        <row r="92">
          <cell r="F92">
            <v>50</v>
          </cell>
        </row>
        <row r="93">
          <cell r="F93">
            <v>32</v>
          </cell>
        </row>
        <row r="94">
          <cell r="F94">
            <v>66</v>
          </cell>
        </row>
        <row r="95">
          <cell r="F95">
            <v>68</v>
          </cell>
        </row>
        <row r="96">
          <cell r="F96">
            <v>35</v>
          </cell>
        </row>
        <row r="97">
          <cell r="F97">
            <v>31</v>
          </cell>
        </row>
        <row r="98">
          <cell r="F98">
            <v>64</v>
          </cell>
        </row>
        <row r="99">
          <cell r="F99">
            <v>43</v>
          </cell>
        </row>
        <row r="100">
          <cell r="F100">
            <v>39</v>
          </cell>
        </row>
        <row r="101">
          <cell r="F101">
            <v>44</v>
          </cell>
        </row>
        <row r="102">
          <cell r="F102">
            <v>33</v>
          </cell>
        </row>
        <row r="103">
          <cell r="F103">
            <v>93</v>
          </cell>
        </row>
        <row r="104">
          <cell r="F104">
            <v>62</v>
          </cell>
        </row>
        <row r="105">
          <cell r="F105">
            <v>43</v>
          </cell>
        </row>
        <row r="106">
          <cell r="F106">
            <v>37</v>
          </cell>
        </row>
        <row r="107">
          <cell r="F107">
            <v>47</v>
          </cell>
        </row>
        <row r="108">
          <cell r="F108">
            <v>28</v>
          </cell>
        </row>
        <row r="109">
          <cell r="F109">
            <v>75</v>
          </cell>
        </row>
      </sheetData>
      <sheetData sheetId="3"/>
      <sheetData sheetId="4"/>
      <sheetData sheetId="5"/>
      <sheetData sheetId="6"/>
      <sheetData sheetId="7"/>
      <sheetData sheetId="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1"/>
    </sheetNames>
    <sheetDataSet>
      <sheetData sheetId="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10"/>
      <sheetName val="LearningObjectives"/>
      <sheetName val="Concepts1"/>
      <sheetName val="RiskDrivers"/>
      <sheetName val="SourcesOfLiquidity"/>
      <sheetName val="Concepts2"/>
      <sheetName val="Liquidity"/>
      <sheetName val="Scenario"/>
      <sheetName val="Ratios"/>
      <sheetName val="Matz_Ch2"/>
      <sheetName val="Matz_Ch4"/>
      <sheetName val="Matz_Ch7"/>
      <sheetName val="StressTesting"/>
      <sheetName val="LCR"/>
      <sheetName val="LCR_Calc"/>
      <sheetName val="NSFR"/>
      <sheetName val="ASF"/>
      <sheetName val="RSF"/>
      <sheetName val="IMix1"/>
      <sheetName val="IMix1Calc"/>
      <sheetName val="IMix2"/>
      <sheetName val="IMix2Calc"/>
      <sheetName val="O_Discussion"/>
      <sheetName val="Bonu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31">
          <cell r="C31">
            <v>1</v>
          </cell>
          <cell r="D31" t="str">
            <v>Amount</v>
          </cell>
        </row>
        <row r="32">
          <cell r="C32">
            <v>2</v>
          </cell>
          <cell r="D32" t="str">
            <v>of</v>
          </cell>
        </row>
        <row r="33">
          <cell r="C33">
            <v>3</v>
          </cell>
          <cell r="D33" t="str">
            <v>Stable</v>
          </cell>
        </row>
        <row r="34">
          <cell r="C34">
            <v>4</v>
          </cell>
          <cell r="D34" t="str">
            <v>Funding</v>
          </cell>
        </row>
      </sheetData>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hyperlink" Target="https://youtu.be/A25EUhZGBws" TargetMode="External"/><Relationship Id="rId7" Type="http://schemas.openxmlformats.org/officeDocument/2006/relationships/drawing" Target="../drawings/drawing1.xml"/><Relationship Id="rId2" Type="http://schemas.openxmlformats.org/officeDocument/2006/relationships/hyperlink" Target="https://youtu.be/cUQiA4LtkmQ?t=48" TargetMode="External"/><Relationship Id="rId1" Type="http://schemas.openxmlformats.org/officeDocument/2006/relationships/hyperlink" Target="https://youtu.be/psCF_AHuLM4?t=88" TargetMode="External"/><Relationship Id="rId6" Type="http://schemas.openxmlformats.org/officeDocument/2006/relationships/hyperlink" Target="https://youtu.be/Hhy7JUinlu0" TargetMode="External"/><Relationship Id="rId5" Type="http://schemas.openxmlformats.org/officeDocument/2006/relationships/hyperlink" Target="https://youtu.be/f5Is6d0BfXc" TargetMode="External"/><Relationship Id="rId4" Type="http://schemas.openxmlformats.org/officeDocument/2006/relationships/hyperlink" Target="https://youtu.be/3Ho8y6Xg3SM"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www.c-span.org/video/?293196-3/investment-banks-financial-crisis-goldman-sachs-chair-ceo"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jenner.com/lehman/VOLUME%201.pdf"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2" Type="http://schemas.openxmlformats.org/officeDocument/2006/relationships/hyperlink" Target="https://en.wikipedia.org/wiki/Vampire_squid" TargetMode="External"/><Relationship Id="rId1" Type="http://schemas.openxmlformats.org/officeDocument/2006/relationships/hyperlink" Target="http://www.rollingstone.com/politics/news/the-great-american-bubble-machine-20100405"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papers.ssrn.com/sol3/papers.cfm?abstract_id=2041579" TargetMode="External"/><Relationship Id="rId1" Type="http://schemas.openxmlformats.org/officeDocument/2006/relationships/hyperlink" Target="http://www.bis.org/review/r120905a.pdf"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13"/>
  <sheetViews>
    <sheetView tabSelected="1" workbookViewId="0"/>
  </sheetViews>
  <sheetFormatPr baseColWidth="10" defaultRowHeight="29" x14ac:dyDescent="0.35"/>
  <cols>
    <col min="1" max="16384" width="10.83203125" style="1"/>
  </cols>
  <sheetData>
    <row r="2" spans="2:3" x14ac:dyDescent="0.35">
      <c r="B2" s="1" t="s">
        <v>0</v>
      </c>
    </row>
    <row r="3" spans="2:3" x14ac:dyDescent="0.35">
      <c r="C3" s="1" t="s">
        <v>171</v>
      </c>
    </row>
    <row r="5" spans="2:3" x14ac:dyDescent="0.35">
      <c r="B5" s="1" t="s">
        <v>172</v>
      </c>
    </row>
    <row r="6" spans="2:3" x14ac:dyDescent="0.35">
      <c r="C6" s="1" t="s">
        <v>173</v>
      </c>
    </row>
    <row r="7" spans="2:3" x14ac:dyDescent="0.35">
      <c r="C7" s="1" t="s">
        <v>174</v>
      </c>
    </row>
    <row r="8" spans="2:3" x14ac:dyDescent="0.35">
      <c r="C8" s="1" t="s">
        <v>175</v>
      </c>
    </row>
    <row r="9" spans="2:3" x14ac:dyDescent="0.35">
      <c r="C9" s="1" t="s">
        <v>176</v>
      </c>
    </row>
    <row r="11" spans="2:3" x14ac:dyDescent="0.35">
      <c r="B11" s="1" t="s">
        <v>1</v>
      </c>
    </row>
    <row r="12" spans="2:3" x14ac:dyDescent="0.35">
      <c r="C12" s="3" t="s">
        <v>36</v>
      </c>
    </row>
    <row r="13" spans="2:3" x14ac:dyDescent="0.35">
      <c r="C13" s="3" t="s">
        <v>35</v>
      </c>
    </row>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371A3-CE88-004E-BD39-B770A676B0FB}">
  <dimension ref="B2:C20"/>
  <sheetViews>
    <sheetView workbookViewId="0"/>
  </sheetViews>
  <sheetFormatPr baseColWidth="10" defaultRowHeight="26" x14ac:dyDescent="0.3"/>
  <cols>
    <col min="1" max="16384" width="10.83203125" style="155"/>
  </cols>
  <sheetData>
    <row r="2" spans="2:3" x14ac:dyDescent="0.3">
      <c r="B2" s="155" t="s">
        <v>324</v>
      </c>
    </row>
    <row r="4" spans="2:3" x14ac:dyDescent="0.3">
      <c r="B4" s="155" t="s">
        <v>325</v>
      </c>
    </row>
    <row r="6" spans="2:3" x14ac:dyDescent="0.3">
      <c r="B6" s="155" t="s">
        <v>326</v>
      </c>
    </row>
    <row r="7" spans="2:3" x14ac:dyDescent="0.3">
      <c r="C7" s="155" t="s">
        <v>327</v>
      </c>
    </row>
    <row r="8" spans="2:3" x14ac:dyDescent="0.3">
      <c r="C8" s="155" t="s">
        <v>328</v>
      </c>
    </row>
    <row r="9" spans="2:3" x14ac:dyDescent="0.3">
      <c r="C9" s="155" t="s">
        <v>329</v>
      </c>
    </row>
    <row r="11" spans="2:3" x14ac:dyDescent="0.3">
      <c r="B11" s="155" t="s">
        <v>392</v>
      </c>
    </row>
    <row r="12" spans="2:3" x14ac:dyDescent="0.3">
      <c r="C12" s="155" t="s">
        <v>330</v>
      </c>
    </row>
    <row r="13" spans="2:3" x14ac:dyDescent="0.3">
      <c r="C13" s="155" t="s">
        <v>331</v>
      </c>
    </row>
    <row r="14" spans="2:3" x14ac:dyDescent="0.3">
      <c r="C14" s="155" t="s">
        <v>332</v>
      </c>
    </row>
    <row r="15" spans="2:3" x14ac:dyDescent="0.3">
      <c r="C15" s="155" t="s">
        <v>333</v>
      </c>
    </row>
    <row r="17" spans="2:3" x14ac:dyDescent="0.3">
      <c r="B17" s="155" t="s">
        <v>393</v>
      </c>
    </row>
    <row r="18" spans="2:3" x14ac:dyDescent="0.3">
      <c r="C18" s="155" t="s">
        <v>334</v>
      </c>
    </row>
    <row r="19" spans="2:3" x14ac:dyDescent="0.3">
      <c r="C19" s="155" t="s">
        <v>335</v>
      </c>
    </row>
    <row r="20" spans="2:3" x14ac:dyDescent="0.3">
      <c r="C20" s="155" t="s">
        <v>336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11453-4880-7541-B688-1D9541E51D60}">
  <dimension ref="A2:B30"/>
  <sheetViews>
    <sheetView workbookViewId="0"/>
  </sheetViews>
  <sheetFormatPr baseColWidth="10" defaultRowHeight="21" x14ac:dyDescent="0.2"/>
  <cols>
    <col min="1" max="1" width="3.83203125" style="163" bestFit="1" customWidth="1"/>
    <col min="2" max="2" width="196" style="156" bestFit="1" customWidth="1"/>
    <col min="3" max="16384" width="10.83203125" style="157"/>
  </cols>
  <sheetData>
    <row r="2" spans="1:2" ht="22" x14ac:dyDescent="0.2">
      <c r="A2" s="162">
        <v>1</v>
      </c>
      <c r="B2" s="156" t="s">
        <v>337</v>
      </c>
    </row>
    <row r="4" spans="1:2" ht="22" x14ac:dyDescent="0.2">
      <c r="A4" s="162">
        <v>2</v>
      </c>
      <c r="B4" s="156" t="s">
        <v>338</v>
      </c>
    </row>
    <row r="6" spans="1:2" ht="22" x14ac:dyDescent="0.2">
      <c r="A6" s="162">
        <v>3</v>
      </c>
      <c r="B6" s="156" t="s">
        <v>339</v>
      </c>
    </row>
    <row r="8" spans="1:2" ht="22" x14ac:dyDescent="0.2">
      <c r="A8" s="162">
        <v>4</v>
      </c>
      <c r="B8" s="156" t="s">
        <v>340</v>
      </c>
    </row>
    <row r="10" spans="1:2" ht="22" x14ac:dyDescent="0.2">
      <c r="A10" s="162">
        <v>5</v>
      </c>
      <c r="B10" s="156" t="s">
        <v>341</v>
      </c>
    </row>
    <row r="12" spans="1:2" ht="22" x14ac:dyDescent="0.2">
      <c r="A12" s="162">
        <v>6</v>
      </c>
      <c r="B12" s="156" t="s">
        <v>342</v>
      </c>
    </row>
    <row r="14" spans="1:2" ht="22" x14ac:dyDescent="0.2">
      <c r="A14" s="162">
        <v>7</v>
      </c>
      <c r="B14" s="156" t="s">
        <v>343</v>
      </c>
    </row>
    <row r="16" spans="1:2" ht="44" x14ac:dyDescent="0.2">
      <c r="A16" s="162">
        <v>8</v>
      </c>
      <c r="B16" s="156" t="s">
        <v>344</v>
      </c>
    </row>
    <row r="18" spans="1:2" ht="22" x14ac:dyDescent="0.2">
      <c r="B18" s="156" t="s">
        <v>345</v>
      </c>
    </row>
    <row r="19" spans="1:2" ht="44" x14ac:dyDescent="0.2">
      <c r="B19" s="156" t="s">
        <v>346</v>
      </c>
    </row>
    <row r="21" spans="1:2" ht="22" x14ac:dyDescent="0.2">
      <c r="A21" s="162">
        <v>9</v>
      </c>
      <c r="B21" s="156" t="s">
        <v>347</v>
      </c>
    </row>
    <row r="22" spans="1:2" ht="22" x14ac:dyDescent="0.2">
      <c r="B22" s="156" t="s">
        <v>394</v>
      </c>
    </row>
    <row r="23" spans="1:2" ht="22" x14ac:dyDescent="0.2">
      <c r="B23" s="156" t="s">
        <v>395</v>
      </c>
    </row>
    <row r="24" spans="1:2" ht="22" x14ac:dyDescent="0.2">
      <c r="B24" s="156" t="s">
        <v>348</v>
      </c>
    </row>
    <row r="26" spans="1:2" ht="22" x14ac:dyDescent="0.2">
      <c r="A26" s="162">
        <v>10</v>
      </c>
      <c r="B26" s="156" t="s">
        <v>349</v>
      </c>
    </row>
    <row r="28" spans="1:2" ht="22" x14ac:dyDescent="0.2">
      <c r="A28" s="162">
        <v>11</v>
      </c>
      <c r="B28" s="156" t="s">
        <v>350</v>
      </c>
    </row>
    <row r="30" spans="1:2" ht="22" x14ac:dyDescent="0.2">
      <c r="A30" s="162">
        <v>12</v>
      </c>
      <c r="B30" s="156" t="s">
        <v>351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4D41F-D681-C349-BC0E-839B6A1F915B}">
  <sheetPr>
    <tabColor rgb="FFC00000"/>
  </sheetPr>
  <dimension ref="B2:G38"/>
  <sheetViews>
    <sheetView workbookViewId="0"/>
  </sheetViews>
  <sheetFormatPr baseColWidth="10" defaultColWidth="8.83203125" defaultRowHeight="19" x14ac:dyDescent="0.25"/>
  <cols>
    <col min="1" max="1" width="8.83203125" style="158"/>
    <col min="2" max="2" width="25.5" style="158" bestFit="1" customWidth="1"/>
    <col min="3" max="16384" width="8.83203125" style="158"/>
  </cols>
  <sheetData>
    <row r="2" spans="2:3" x14ac:dyDescent="0.25">
      <c r="B2" s="158" t="s">
        <v>353</v>
      </c>
    </row>
    <row r="3" spans="2:3" x14ac:dyDescent="0.25">
      <c r="B3" s="158" t="s">
        <v>354</v>
      </c>
    </row>
    <row r="4" spans="2:3" x14ac:dyDescent="0.25">
      <c r="B4" s="158" t="s">
        <v>355</v>
      </c>
    </row>
    <row r="5" spans="2:3" x14ac:dyDescent="0.25">
      <c r="C5" s="158" t="s">
        <v>356</v>
      </c>
    </row>
    <row r="6" spans="2:3" x14ac:dyDescent="0.25">
      <c r="B6" s="158" t="s">
        <v>357</v>
      </c>
    </row>
    <row r="7" spans="2:3" x14ac:dyDescent="0.25">
      <c r="B7" s="158" t="s">
        <v>358</v>
      </c>
    </row>
    <row r="8" spans="2:3" x14ac:dyDescent="0.25">
      <c r="C8" s="158" t="s">
        <v>359</v>
      </c>
    </row>
    <row r="9" spans="2:3" x14ac:dyDescent="0.25">
      <c r="B9" s="158" t="s">
        <v>360</v>
      </c>
    </row>
    <row r="10" spans="2:3" x14ac:dyDescent="0.25">
      <c r="B10" s="158" t="s">
        <v>361</v>
      </c>
    </row>
    <row r="11" spans="2:3" x14ac:dyDescent="0.25">
      <c r="B11" s="158" t="s">
        <v>362</v>
      </c>
    </row>
    <row r="12" spans="2:3" x14ac:dyDescent="0.25">
      <c r="B12" s="158" t="s">
        <v>363</v>
      </c>
    </row>
    <row r="13" spans="2:3" x14ac:dyDescent="0.25">
      <c r="B13" s="158" t="s">
        <v>364</v>
      </c>
    </row>
    <row r="14" spans="2:3" x14ac:dyDescent="0.25">
      <c r="C14" s="159" t="s">
        <v>365</v>
      </c>
    </row>
    <row r="15" spans="2:3" x14ac:dyDescent="0.25">
      <c r="C15" s="158" t="s">
        <v>366</v>
      </c>
    </row>
    <row r="16" spans="2:3" x14ac:dyDescent="0.25">
      <c r="C16" s="158" t="s">
        <v>367</v>
      </c>
    </row>
    <row r="17" spans="2:7" x14ac:dyDescent="0.25">
      <c r="B17" s="158" t="s">
        <v>147</v>
      </c>
    </row>
    <row r="18" spans="2:7" x14ac:dyDescent="0.25">
      <c r="C18" s="159" t="s">
        <v>368</v>
      </c>
    </row>
    <row r="19" spans="2:7" x14ac:dyDescent="0.25">
      <c r="C19" s="159" t="s">
        <v>369</v>
      </c>
    </row>
    <row r="20" spans="2:7" x14ac:dyDescent="0.25">
      <c r="B20" s="158" t="s">
        <v>142</v>
      </c>
    </row>
    <row r="21" spans="2:7" x14ac:dyDescent="0.25">
      <c r="C21" s="158" t="s">
        <v>370</v>
      </c>
    </row>
    <row r="22" spans="2:7" x14ac:dyDescent="0.25">
      <c r="B22" s="158" t="s">
        <v>371</v>
      </c>
      <c r="D22" s="159"/>
    </row>
    <row r="24" spans="2:7" x14ac:dyDescent="0.25">
      <c r="B24" s="158" t="s">
        <v>372</v>
      </c>
    </row>
    <row r="25" spans="2:7" x14ac:dyDescent="0.25">
      <c r="C25" s="159" t="s">
        <v>373</v>
      </c>
    </row>
    <row r="26" spans="2:7" x14ac:dyDescent="0.25">
      <c r="B26" s="158" t="s">
        <v>374</v>
      </c>
    </row>
    <row r="27" spans="2:7" x14ac:dyDescent="0.25">
      <c r="C27" s="158" t="s">
        <v>375</v>
      </c>
    </row>
    <row r="28" spans="2:7" x14ac:dyDescent="0.25">
      <c r="C28" s="158" t="s">
        <v>376</v>
      </c>
    </row>
    <row r="29" spans="2:7" x14ac:dyDescent="0.25">
      <c r="C29" s="158" t="s">
        <v>377</v>
      </c>
    </row>
    <row r="30" spans="2:7" x14ac:dyDescent="0.25">
      <c r="B30" s="160" t="s">
        <v>378</v>
      </c>
      <c r="C30" s="159" t="s">
        <v>379</v>
      </c>
    </row>
    <row r="31" spans="2:7" ht="20" customHeight="1" x14ac:dyDescent="0.25">
      <c r="B31" s="160" t="s">
        <v>380</v>
      </c>
      <c r="C31" s="159" t="s">
        <v>381</v>
      </c>
    </row>
    <row r="32" spans="2:7" x14ac:dyDescent="0.25">
      <c r="B32" s="160" t="s">
        <v>382</v>
      </c>
      <c r="C32" s="159" t="s">
        <v>383</v>
      </c>
      <c r="G32" s="161" t="s">
        <v>390</v>
      </c>
    </row>
    <row r="33" spans="2:3" x14ac:dyDescent="0.25">
      <c r="B33" s="158" t="s">
        <v>384</v>
      </c>
    </row>
    <row r="34" spans="2:3" x14ac:dyDescent="0.25">
      <c r="C34" s="158" t="s">
        <v>385</v>
      </c>
    </row>
    <row r="35" spans="2:3" x14ac:dyDescent="0.25">
      <c r="B35" s="158" t="s">
        <v>386</v>
      </c>
    </row>
    <row r="36" spans="2:3" x14ac:dyDescent="0.25">
      <c r="C36" s="158" t="s">
        <v>387</v>
      </c>
    </row>
    <row r="37" spans="2:3" x14ac:dyDescent="0.25">
      <c r="C37" s="158" t="s">
        <v>388</v>
      </c>
    </row>
    <row r="38" spans="2:3" x14ac:dyDescent="0.25">
      <c r="B38" s="158" t="s">
        <v>389</v>
      </c>
    </row>
  </sheetData>
  <hyperlinks>
    <hyperlink ref="C14" r:id="rId1" xr:uid="{17D8AFF7-9BCA-EB49-9FDF-7A539637647B}"/>
    <hyperlink ref="C32" r:id="rId2" xr:uid="{309BC868-E9FE-2348-A9FF-E538C15790C6}"/>
    <hyperlink ref="C19" r:id="rId3" xr:uid="{B9CD4AAE-C398-EC48-ADAE-BFE0A68D132E}"/>
    <hyperlink ref="C18" r:id="rId4" xr:uid="{EE5B6975-5A4D-C741-8962-0718777B8426}"/>
    <hyperlink ref="C25" r:id="rId5" xr:uid="{6E60DD68-FCB2-0643-8BC3-D549C9C578C9}"/>
    <hyperlink ref="C30" r:id="rId6" xr:uid="{CAFE0EA1-FB0F-1A4A-B571-5F848D2A3637}"/>
  </hyperlinks>
  <pageMargins left="0.7" right="0.7" top="0.75" bottom="0.75" header="0.3" footer="0.3"/>
  <drawing r:id="rId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E632A-720E-9945-9A0F-58554AE33EB4}">
  <sheetPr>
    <tabColor rgb="FFFF0000"/>
  </sheetPr>
  <dimension ref="B2"/>
  <sheetViews>
    <sheetView workbookViewId="0"/>
  </sheetViews>
  <sheetFormatPr baseColWidth="10" defaultRowHeight="26" x14ac:dyDescent="0.3"/>
  <cols>
    <col min="1" max="16384" width="10.83203125" style="155"/>
  </cols>
  <sheetData>
    <row r="2" spans="2:2" x14ac:dyDescent="0.3">
      <c r="B2" s="155" t="s">
        <v>352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sheetPr>
  <dimension ref="A2:B20"/>
  <sheetViews>
    <sheetView workbookViewId="0"/>
  </sheetViews>
  <sheetFormatPr baseColWidth="10" defaultRowHeight="26" x14ac:dyDescent="0.3"/>
  <cols>
    <col min="1" max="16384" width="10.83203125" style="3"/>
  </cols>
  <sheetData>
    <row r="2" spans="1:2" x14ac:dyDescent="0.3">
      <c r="A2" s="3" t="s">
        <v>34</v>
      </c>
    </row>
    <row r="3" spans="1:2" x14ac:dyDescent="0.3">
      <c r="B3" s="4" t="s">
        <v>33</v>
      </c>
    </row>
    <row r="5" spans="1:2" x14ac:dyDescent="0.3">
      <c r="B5" s="3" t="s">
        <v>32</v>
      </c>
    </row>
    <row r="6" spans="1:2" x14ac:dyDescent="0.3">
      <c r="B6" s="3" t="s">
        <v>31</v>
      </c>
    </row>
    <row r="7" spans="1:2" x14ac:dyDescent="0.3">
      <c r="B7" s="3" t="s">
        <v>30</v>
      </c>
    </row>
    <row r="8" spans="1:2" x14ac:dyDescent="0.3">
      <c r="B8" s="3" t="s">
        <v>29</v>
      </c>
    </row>
    <row r="9" spans="1:2" x14ac:dyDescent="0.3">
      <c r="B9" s="3" t="s">
        <v>28</v>
      </c>
    </row>
    <row r="10" spans="1:2" x14ac:dyDescent="0.3">
      <c r="B10" s="3" t="s">
        <v>27</v>
      </c>
    </row>
    <row r="11" spans="1:2" x14ac:dyDescent="0.3">
      <c r="B11" s="3" t="s">
        <v>26</v>
      </c>
    </row>
    <row r="12" spans="1:2" x14ac:dyDescent="0.3">
      <c r="B12" s="3" t="s">
        <v>25</v>
      </c>
    </row>
    <row r="13" spans="1:2" x14ac:dyDescent="0.3">
      <c r="B13" s="3" t="s">
        <v>24</v>
      </c>
    </row>
    <row r="14" spans="1:2" x14ac:dyDescent="0.3">
      <c r="B14" s="3" t="s">
        <v>23</v>
      </c>
    </row>
    <row r="15" spans="1:2" x14ac:dyDescent="0.3">
      <c r="B15" s="3" t="s">
        <v>22</v>
      </c>
    </row>
    <row r="16" spans="1:2" x14ac:dyDescent="0.3">
      <c r="B16" s="3" t="s">
        <v>21</v>
      </c>
    </row>
    <row r="17" spans="2:2" x14ac:dyDescent="0.3">
      <c r="B17" s="3" t="s">
        <v>20</v>
      </c>
    </row>
    <row r="18" spans="2:2" x14ac:dyDescent="0.3">
      <c r="B18" s="3" t="s">
        <v>19</v>
      </c>
    </row>
    <row r="19" spans="2:2" x14ac:dyDescent="0.3">
      <c r="B19" s="3" t="s">
        <v>18</v>
      </c>
    </row>
    <row r="20" spans="2:2" x14ac:dyDescent="0.3">
      <c r="B20" s="3" t="s">
        <v>17</v>
      </c>
    </row>
  </sheetData>
  <hyperlinks>
    <hyperlink ref="B3" r:id="rId1" xr:uid="{00000000-0004-0000-0100-000000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B2:B93"/>
  <sheetViews>
    <sheetView workbookViewId="0"/>
  </sheetViews>
  <sheetFormatPr baseColWidth="10" defaultColWidth="8.83203125" defaultRowHeight="15" x14ac:dyDescent="0.2"/>
  <cols>
    <col min="1" max="16384" width="8.83203125" style="8"/>
  </cols>
  <sheetData>
    <row r="2" spans="2:2" ht="47" x14ac:dyDescent="0.55000000000000004">
      <c r="B2" s="7" t="s">
        <v>37</v>
      </c>
    </row>
    <row r="3" spans="2:2" x14ac:dyDescent="0.2">
      <c r="B3" s="9" t="s">
        <v>38</v>
      </c>
    </row>
    <row r="6" spans="2:2" s="10" customFormat="1" x14ac:dyDescent="0.2">
      <c r="B6" s="10" t="s">
        <v>39</v>
      </c>
    </row>
    <row r="7" spans="2:2" x14ac:dyDescent="0.2">
      <c r="B7" s="8" t="s">
        <v>40</v>
      </c>
    </row>
    <row r="8" spans="2:2" x14ac:dyDescent="0.2">
      <c r="B8" s="8" t="s">
        <v>41</v>
      </c>
    </row>
    <row r="10" spans="2:2" s="10" customFormat="1" x14ac:dyDescent="0.2">
      <c r="B10" s="10" t="s">
        <v>42</v>
      </c>
    </row>
    <row r="11" spans="2:2" x14ac:dyDescent="0.2">
      <c r="B11" s="8" t="s">
        <v>43</v>
      </c>
    </row>
    <row r="12" spans="2:2" x14ac:dyDescent="0.2">
      <c r="B12" s="8" t="s">
        <v>44</v>
      </c>
    </row>
    <row r="13" spans="2:2" x14ac:dyDescent="0.2">
      <c r="B13" s="8" t="s">
        <v>45</v>
      </c>
    </row>
    <row r="14" spans="2:2" x14ac:dyDescent="0.2">
      <c r="B14" s="8" t="s">
        <v>46</v>
      </c>
    </row>
    <row r="16" spans="2:2" s="10" customFormat="1" x14ac:dyDescent="0.2">
      <c r="B16" s="10" t="s">
        <v>47</v>
      </c>
    </row>
    <row r="17" spans="2:2" x14ac:dyDescent="0.2">
      <c r="B17" s="8" t="s">
        <v>48</v>
      </c>
    </row>
    <row r="18" spans="2:2" x14ac:dyDescent="0.2">
      <c r="B18" s="8" t="s">
        <v>49</v>
      </c>
    </row>
    <row r="19" spans="2:2" x14ac:dyDescent="0.2">
      <c r="B19" s="8" t="s">
        <v>50</v>
      </c>
    </row>
    <row r="20" spans="2:2" x14ac:dyDescent="0.2">
      <c r="B20" s="8" t="s">
        <v>51</v>
      </c>
    </row>
    <row r="21" spans="2:2" x14ac:dyDescent="0.2">
      <c r="B21" s="8" t="s">
        <v>52</v>
      </c>
    </row>
    <row r="22" spans="2:2" x14ac:dyDescent="0.2">
      <c r="B22" s="8" t="s">
        <v>53</v>
      </c>
    </row>
    <row r="24" spans="2:2" s="10" customFormat="1" x14ac:dyDescent="0.2">
      <c r="B24" s="10" t="s">
        <v>54</v>
      </c>
    </row>
    <row r="25" spans="2:2" x14ac:dyDescent="0.2">
      <c r="B25" s="8" t="s">
        <v>55</v>
      </c>
    </row>
    <row r="26" spans="2:2" x14ac:dyDescent="0.2">
      <c r="B26" s="8" t="s">
        <v>56</v>
      </c>
    </row>
    <row r="27" spans="2:2" x14ac:dyDescent="0.2">
      <c r="B27" s="8" t="s">
        <v>57</v>
      </c>
    </row>
    <row r="28" spans="2:2" x14ac:dyDescent="0.2">
      <c r="B28" s="8" t="s">
        <v>58</v>
      </c>
    </row>
    <row r="29" spans="2:2" x14ac:dyDescent="0.2">
      <c r="B29" s="8" t="s">
        <v>59</v>
      </c>
    </row>
    <row r="30" spans="2:2" x14ac:dyDescent="0.2">
      <c r="B30" s="8" t="s">
        <v>60</v>
      </c>
    </row>
    <row r="32" spans="2:2" s="10" customFormat="1" x14ac:dyDescent="0.2">
      <c r="B32" s="10" t="s">
        <v>61</v>
      </c>
    </row>
    <row r="33" spans="2:2" x14ac:dyDescent="0.2">
      <c r="B33" s="8" t="s">
        <v>62</v>
      </c>
    </row>
    <row r="34" spans="2:2" x14ac:dyDescent="0.2">
      <c r="B34" s="8" t="s">
        <v>63</v>
      </c>
    </row>
    <row r="35" spans="2:2" x14ac:dyDescent="0.2">
      <c r="B35" s="8" t="s">
        <v>64</v>
      </c>
    </row>
    <row r="36" spans="2:2" x14ac:dyDescent="0.2">
      <c r="B36" s="8" t="s">
        <v>65</v>
      </c>
    </row>
    <row r="37" spans="2:2" x14ac:dyDescent="0.2">
      <c r="B37" s="8" t="s">
        <v>66</v>
      </c>
    </row>
    <row r="38" spans="2:2" x14ac:dyDescent="0.2">
      <c r="B38" s="8" t="s">
        <v>67</v>
      </c>
    </row>
    <row r="39" spans="2:2" x14ac:dyDescent="0.2">
      <c r="B39" s="8" t="s">
        <v>68</v>
      </c>
    </row>
    <row r="40" spans="2:2" x14ac:dyDescent="0.2">
      <c r="B40" s="8" t="s">
        <v>69</v>
      </c>
    </row>
    <row r="41" spans="2:2" x14ac:dyDescent="0.2">
      <c r="B41" s="8" t="s">
        <v>70</v>
      </c>
    </row>
    <row r="43" spans="2:2" s="10" customFormat="1" x14ac:dyDescent="0.2">
      <c r="B43" s="10" t="s">
        <v>71</v>
      </c>
    </row>
    <row r="44" spans="2:2" x14ac:dyDescent="0.2">
      <c r="B44" s="8" t="s">
        <v>72</v>
      </c>
    </row>
    <row r="45" spans="2:2" x14ac:dyDescent="0.2">
      <c r="B45" s="8" t="s">
        <v>73</v>
      </c>
    </row>
    <row r="46" spans="2:2" x14ac:dyDescent="0.2">
      <c r="B46" s="8" t="s">
        <v>74</v>
      </c>
    </row>
    <row r="47" spans="2:2" x14ac:dyDescent="0.2">
      <c r="B47" s="8" t="s">
        <v>75</v>
      </c>
    </row>
    <row r="48" spans="2:2" x14ac:dyDescent="0.2">
      <c r="B48" s="8" t="s">
        <v>76</v>
      </c>
    </row>
    <row r="50" spans="2:2" s="10" customFormat="1" x14ac:dyDescent="0.2">
      <c r="B50" s="10" t="s">
        <v>77</v>
      </c>
    </row>
    <row r="51" spans="2:2" x14ac:dyDescent="0.2">
      <c r="B51" s="8" t="s">
        <v>78</v>
      </c>
    </row>
    <row r="52" spans="2:2" x14ac:dyDescent="0.2">
      <c r="B52" s="8" t="s">
        <v>79</v>
      </c>
    </row>
    <row r="53" spans="2:2" x14ac:dyDescent="0.2">
      <c r="B53" s="8" t="s">
        <v>80</v>
      </c>
    </row>
    <row r="54" spans="2:2" x14ac:dyDescent="0.2">
      <c r="B54" s="8" t="s">
        <v>81</v>
      </c>
    </row>
    <row r="55" spans="2:2" x14ac:dyDescent="0.2">
      <c r="B55" s="8" t="s">
        <v>82</v>
      </c>
    </row>
    <row r="56" spans="2:2" x14ac:dyDescent="0.2">
      <c r="B56" s="8" t="s">
        <v>83</v>
      </c>
    </row>
    <row r="58" spans="2:2" s="10" customFormat="1" x14ac:dyDescent="0.2">
      <c r="B58" s="10" t="s">
        <v>84</v>
      </c>
    </row>
    <row r="59" spans="2:2" x14ac:dyDescent="0.2">
      <c r="B59" s="8" t="s">
        <v>85</v>
      </c>
    </row>
    <row r="60" spans="2:2" x14ac:dyDescent="0.2">
      <c r="B60" s="8" t="s">
        <v>86</v>
      </c>
    </row>
    <row r="61" spans="2:2" x14ac:dyDescent="0.2">
      <c r="B61" s="8" t="s">
        <v>87</v>
      </c>
    </row>
    <row r="62" spans="2:2" x14ac:dyDescent="0.2">
      <c r="B62" s="8" t="s">
        <v>88</v>
      </c>
    </row>
    <row r="64" spans="2:2" s="10" customFormat="1" x14ac:dyDescent="0.2">
      <c r="B64" s="10" t="s">
        <v>89</v>
      </c>
    </row>
    <row r="65" spans="2:2" x14ac:dyDescent="0.2">
      <c r="B65" s="8" t="s">
        <v>90</v>
      </c>
    </row>
    <row r="66" spans="2:2" x14ac:dyDescent="0.2">
      <c r="B66" s="8" t="s">
        <v>91</v>
      </c>
    </row>
    <row r="67" spans="2:2" x14ac:dyDescent="0.2">
      <c r="B67" s="8" t="s">
        <v>92</v>
      </c>
    </row>
    <row r="69" spans="2:2" s="10" customFormat="1" x14ac:dyDescent="0.2">
      <c r="B69" s="10" t="s">
        <v>93</v>
      </c>
    </row>
    <row r="70" spans="2:2" x14ac:dyDescent="0.2">
      <c r="B70" s="8" t="s">
        <v>94</v>
      </c>
    </row>
    <row r="72" spans="2:2" s="10" customFormat="1" x14ac:dyDescent="0.2">
      <c r="B72" s="10" t="s">
        <v>95</v>
      </c>
    </row>
    <row r="73" spans="2:2" x14ac:dyDescent="0.2">
      <c r="B73" s="8" t="s">
        <v>96</v>
      </c>
    </row>
    <row r="74" spans="2:2" x14ac:dyDescent="0.2">
      <c r="B74" s="8" t="s">
        <v>97</v>
      </c>
    </row>
    <row r="75" spans="2:2" x14ac:dyDescent="0.2">
      <c r="B75" s="8" t="s">
        <v>98</v>
      </c>
    </row>
    <row r="76" spans="2:2" x14ac:dyDescent="0.2">
      <c r="B76" s="8" t="s">
        <v>99</v>
      </c>
    </row>
    <row r="77" spans="2:2" x14ac:dyDescent="0.2">
      <c r="B77" s="8" t="s">
        <v>100</v>
      </c>
    </row>
    <row r="78" spans="2:2" x14ac:dyDescent="0.2">
      <c r="B78" s="8" t="s">
        <v>101</v>
      </c>
    </row>
    <row r="79" spans="2:2" x14ac:dyDescent="0.2">
      <c r="B79" s="8" t="s">
        <v>102</v>
      </c>
    </row>
    <row r="80" spans="2:2" x14ac:dyDescent="0.2">
      <c r="B80" s="8" t="s">
        <v>103</v>
      </c>
    </row>
    <row r="82" spans="2:2" s="10" customFormat="1" x14ac:dyDescent="0.2">
      <c r="B82" s="10" t="s">
        <v>104</v>
      </c>
    </row>
    <row r="83" spans="2:2" x14ac:dyDescent="0.2">
      <c r="B83" s="8" t="s">
        <v>105</v>
      </c>
    </row>
    <row r="84" spans="2:2" x14ac:dyDescent="0.2">
      <c r="B84" s="8" t="s">
        <v>106</v>
      </c>
    </row>
    <row r="85" spans="2:2" x14ac:dyDescent="0.2">
      <c r="B85" s="8" t="s">
        <v>107</v>
      </c>
    </row>
    <row r="86" spans="2:2" x14ac:dyDescent="0.2">
      <c r="B86" s="8" t="s">
        <v>108</v>
      </c>
    </row>
    <row r="87" spans="2:2" x14ac:dyDescent="0.2">
      <c r="B87" s="8" t="s">
        <v>109</v>
      </c>
    </row>
    <row r="88" spans="2:2" x14ac:dyDescent="0.2">
      <c r="B88" s="8" t="s">
        <v>110</v>
      </c>
    </row>
    <row r="89" spans="2:2" x14ac:dyDescent="0.2">
      <c r="B89" s="8" t="s">
        <v>111</v>
      </c>
    </row>
    <row r="91" spans="2:2" s="10" customFormat="1" x14ac:dyDescent="0.2">
      <c r="B91" s="10" t="s">
        <v>112</v>
      </c>
    </row>
    <row r="92" spans="2:2" x14ac:dyDescent="0.2">
      <c r="B92" s="8" t="s">
        <v>113</v>
      </c>
    </row>
    <row r="93" spans="2:2" x14ac:dyDescent="0.2">
      <c r="B93" s="8" t="s">
        <v>114</v>
      </c>
    </row>
  </sheetData>
  <hyperlinks>
    <hyperlink ref="B3" r:id="rId1" xr:uid="{00000000-0004-0000-0200-00000000000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B2:E33"/>
  <sheetViews>
    <sheetView workbookViewId="0"/>
  </sheetViews>
  <sheetFormatPr baseColWidth="10" defaultColWidth="8.83203125" defaultRowHeight="19" x14ac:dyDescent="0.25"/>
  <cols>
    <col min="1" max="16384" width="8.83203125" style="11"/>
  </cols>
  <sheetData>
    <row r="2" spans="2:4" x14ac:dyDescent="0.25">
      <c r="B2" s="11" t="s">
        <v>115</v>
      </c>
    </row>
    <row r="3" spans="2:4" x14ac:dyDescent="0.25">
      <c r="C3" s="11" t="s">
        <v>116</v>
      </c>
    </row>
    <row r="4" spans="2:4" x14ac:dyDescent="0.25">
      <c r="D4" s="11" t="s">
        <v>117</v>
      </c>
    </row>
    <row r="5" spans="2:4" x14ac:dyDescent="0.25">
      <c r="D5" s="11" t="s">
        <v>118</v>
      </c>
    </row>
    <row r="6" spans="2:4" x14ac:dyDescent="0.25">
      <c r="D6" s="11" t="s">
        <v>119</v>
      </c>
    </row>
    <row r="7" spans="2:4" x14ac:dyDescent="0.25">
      <c r="D7" s="11" t="s">
        <v>120</v>
      </c>
    </row>
    <row r="8" spans="2:4" x14ac:dyDescent="0.25">
      <c r="D8" s="11" t="s">
        <v>121</v>
      </c>
    </row>
    <row r="9" spans="2:4" x14ac:dyDescent="0.25">
      <c r="C9" s="11" t="s">
        <v>122</v>
      </c>
    </row>
    <row r="10" spans="2:4" x14ac:dyDescent="0.25">
      <c r="D10" s="11" t="s">
        <v>123</v>
      </c>
    </row>
    <row r="11" spans="2:4" x14ac:dyDescent="0.25">
      <c r="D11" s="11" t="s">
        <v>124</v>
      </c>
    </row>
    <row r="12" spans="2:4" x14ac:dyDescent="0.25">
      <c r="D12" s="11" t="s">
        <v>125</v>
      </c>
    </row>
    <row r="13" spans="2:4" x14ac:dyDescent="0.25">
      <c r="D13" s="11" t="s">
        <v>126</v>
      </c>
    </row>
    <row r="14" spans="2:4" x14ac:dyDescent="0.25">
      <c r="C14" s="11" t="s">
        <v>127</v>
      </c>
    </row>
    <row r="15" spans="2:4" x14ac:dyDescent="0.25">
      <c r="D15" s="11" t="s">
        <v>128</v>
      </c>
    </row>
    <row r="16" spans="2:4" x14ac:dyDescent="0.25">
      <c r="D16" s="11" t="s">
        <v>129</v>
      </c>
    </row>
    <row r="17" spans="2:5" x14ac:dyDescent="0.25">
      <c r="D17" s="11" t="s">
        <v>130</v>
      </c>
    </row>
    <row r="18" spans="2:5" x14ac:dyDescent="0.25">
      <c r="D18" s="11" t="s">
        <v>131</v>
      </c>
    </row>
    <row r="20" spans="2:5" x14ac:dyDescent="0.25">
      <c r="B20" s="11" t="s">
        <v>132</v>
      </c>
    </row>
    <row r="21" spans="2:5" x14ac:dyDescent="0.25">
      <c r="C21" s="11" t="s">
        <v>133</v>
      </c>
    </row>
    <row r="22" spans="2:5" x14ac:dyDescent="0.25">
      <c r="D22" s="11" t="s">
        <v>134</v>
      </c>
    </row>
    <row r="23" spans="2:5" x14ac:dyDescent="0.25">
      <c r="C23" s="11" t="s">
        <v>127</v>
      </c>
    </row>
    <row r="24" spans="2:5" x14ac:dyDescent="0.25">
      <c r="D24" s="11" t="s">
        <v>135</v>
      </c>
    </row>
    <row r="25" spans="2:5" x14ac:dyDescent="0.25">
      <c r="D25" s="11" t="s">
        <v>136</v>
      </c>
    </row>
    <row r="26" spans="2:5" x14ac:dyDescent="0.25">
      <c r="C26" s="11" t="s">
        <v>137</v>
      </c>
    </row>
    <row r="27" spans="2:5" x14ac:dyDescent="0.25">
      <c r="D27" s="11" t="s">
        <v>138</v>
      </c>
    </row>
    <row r="28" spans="2:5" x14ac:dyDescent="0.25">
      <c r="D28" s="11" t="s">
        <v>139</v>
      </c>
    </row>
    <row r="29" spans="2:5" x14ac:dyDescent="0.25">
      <c r="E29" s="11" t="s">
        <v>140</v>
      </c>
    </row>
    <row r="30" spans="2:5" x14ac:dyDescent="0.25">
      <c r="D30" s="11" t="s">
        <v>141</v>
      </c>
    </row>
    <row r="31" spans="2:5" x14ac:dyDescent="0.25">
      <c r="E31" s="11" t="s">
        <v>142</v>
      </c>
    </row>
    <row r="32" spans="2:5" x14ac:dyDescent="0.25">
      <c r="E32" s="11" t="s">
        <v>143</v>
      </c>
    </row>
    <row r="33" spans="4:4" x14ac:dyDescent="0.25">
      <c r="D33" s="11" t="s">
        <v>144</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E17"/>
  <sheetViews>
    <sheetView workbookViewId="0"/>
  </sheetViews>
  <sheetFormatPr baseColWidth="10" defaultColWidth="8.83203125" defaultRowHeight="19" x14ac:dyDescent="0.25"/>
  <cols>
    <col min="1" max="16384" width="8.83203125" style="11"/>
  </cols>
  <sheetData>
    <row r="2" spans="2:5" x14ac:dyDescent="0.25">
      <c r="B2" s="11" t="s">
        <v>145</v>
      </c>
    </row>
    <row r="3" spans="2:5" x14ac:dyDescent="0.25">
      <c r="C3" s="11" t="s">
        <v>146</v>
      </c>
    </row>
    <row r="4" spans="2:5" x14ac:dyDescent="0.25">
      <c r="D4" s="11" t="s">
        <v>141</v>
      </c>
    </row>
    <row r="5" spans="2:5" x14ac:dyDescent="0.25">
      <c r="D5" s="11" t="s">
        <v>140</v>
      </c>
    </row>
    <row r="6" spans="2:5" x14ac:dyDescent="0.25">
      <c r="D6" s="11" t="s">
        <v>147</v>
      </c>
    </row>
    <row r="7" spans="2:5" x14ac:dyDescent="0.25">
      <c r="E7" s="11" t="s">
        <v>148</v>
      </c>
    </row>
    <row r="8" spans="2:5" x14ac:dyDescent="0.25">
      <c r="E8" s="11" t="s">
        <v>149</v>
      </c>
    </row>
    <row r="9" spans="2:5" x14ac:dyDescent="0.25">
      <c r="C9" s="11" t="s">
        <v>150</v>
      </c>
    </row>
    <row r="10" spans="2:5" x14ac:dyDescent="0.25">
      <c r="C10" s="11" t="s">
        <v>151</v>
      </c>
    </row>
    <row r="11" spans="2:5" x14ac:dyDescent="0.25">
      <c r="C11" s="11" t="s">
        <v>152</v>
      </c>
    </row>
    <row r="12" spans="2:5" x14ac:dyDescent="0.25">
      <c r="C12" s="11" t="s">
        <v>391</v>
      </c>
    </row>
    <row r="13" spans="2:5" x14ac:dyDescent="0.25">
      <c r="C13" s="11" t="s">
        <v>153</v>
      </c>
    </row>
    <row r="15" spans="2:5" x14ac:dyDescent="0.25">
      <c r="B15" s="11" t="s">
        <v>154</v>
      </c>
    </row>
    <row r="16" spans="2:5" x14ac:dyDescent="0.25">
      <c r="C16" s="11" t="s">
        <v>155</v>
      </c>
    </row>
    <row r="17" spans="4:4" x14ac:dyDescent="0.25">
      <c r="D17" s="11" t="s">
        <v>156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B2:D16"/>
  <sheetViews>
    <sheetView workbookViewId="0"/>
  </sheetViews>
  <sheetFormatPr baseColWidth="10" defaultColWidth="8.83203125" defaultRowHeight="19" x14ac:dyDescent="0.25"/>
  <cols>
    <col min="1" max="16384" width="8.83203125" style="11"/>
  </cols>
  <sheetData>
    <row r="2" spans="2:4" x14ac:dyDescent="0.25">
      <c r="B2" s="11" t="s">
        <v>157</v>
      </c>
    </row>
    <row r="3" spans="2:4" x14ac:dyDescent="0.25">
      <c r="C3" s="11" t="s">
        <v>158</v>
      </c>
    </row>
    <row r="4" spans="2:4" x14ac:dyDescent="0.25">
      <c r="C4" s="11" t="s">
        <v>159</v>
      </c>
    </row>
    <row r="5" spans="2:4" x14ac:dyDescent="0.25">
      <c r="C5" s="11" t="s">
        <v>160</v>
      </c>
    </row>
    <row r="6" spans="2:4" x14ac:dyDescent="0.25">
      <c r="C6" s="11" t="s">
        <v>161</v>
      </c>
    </row>
    <row r="7" spans="2:4" x14ac:dyDescent="0.25">
      <c r="C7" s="11" t="s">
        <v>162</v>
      </c>
    </row>
    <row r="9" spans="2:4" x14ac:dyDescent="0.25">
      <c r="B9" s="11" t="s">
        <v>163</v>
      </c>
    </row>
    <row r="10" spans="2:4" x14ac:dyDescent="0.25">
      <c r="C10" s="11" t="s">
        <v>164</v>
      </c>
    </row>
    <row r="11" spans="2:4" x14ac:dyDescent="0.25">
      <c r="C11" s="11" t="s">
        <v>165</v>
      </c>
    </row>
    <row r="12" spans="2:4" x14ac:dyDescent="0.25">
      <c r="D12" s="11" t="s">
        <v>166</v>
      </c>
    </row>
    <row r="13" spans="2:4" x14ac:dyDescent="0.25">
      <c r="D13" s="11" t="s">
        <v>167</v>
      </c>
    </row>
    <row r="14" spans="2:4" x14ac:dyDescent="0.25">
      <c r="D14" s="12" t="s">
        <v>168</v>
      </c>
    </row>
    <row r="15" spans="2:4" x14ac:dyDescent="0.25">
      <c r="D15" s="12" t="s">
        <v>169</v>
      </c>
    </row>
    <row r="16" spans="2:4" x14ac:dyDescent="0.25">
      <c r="C16" s="11" t="s">
        <v>170</v>
      </c>
    </row>
  </sheetData>
  <hyperlinks>
    <hyperlink ref="D14" r:id="rId1" xr:uid="{00000000-0004-0000-0500-000000000000}"/>
    <hyperlink ref="D15" r:id="rId2" xr:uid="{00000000-0004-0000-0500-000001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B2:K29"/>
  <sheetViews>
    <sheetView workbookViewId="0"/>
  </sheetViews>
  <sheetFormatPr baseColWidth="10" defaultColWidth="10.83203125" defaultRowHeight="16" x14ac:dyDescent="0.2"/>
  <cols>
    <col min="1" max="16384" width="10.83203125" style="2"/>
  </cols>
  <sheetData>
    <row r="2" spans="2:11" x14ac:dyDescent="0.2">
      <c r="B2" s="2" t="s">
        <v>16</v>
      </c>
    </row>
    <row r="3" spans="2:11" x14ac:dyDescent="0.2">
      <c r="B3" s="6" t="s">
        <v>323</v>
      </c>
    </row>
    <row r="4" spans="2:11" x14ac:dyDescent="0.2">
      <c r="C4" s="2" t="s">
        <v>15</v>
      </c>
    </row>
    <row r="5" spans="2:11" x14ac:dyDescent="0.2">
      <c r="C5" s="2" t="s">
        <v>14</v>
      </c>
    </row>
    <row r="6" spans="2:11" x14ac:dyDescent="0.2">
      <c r="H6"/>
      <c r="K6"/>
    </row>
    <row r="7" spans="2:11" x14ac:dyDescent="0.2">
      <c r="B7" s="2" t="s">
        <v>13</v>
      </c>
    </row>
    <row r="8" spans="2:11" x14ac:dyDescent="0.2">
      <c r="B8" s="6" t="s">
        <v>322</v>
      </c>
    </row>
    <row r="9" spans="2:11" x14ac:dyDescent="0.2">
      <c r="C9" s="2" t="s">
        <v>12</v>
      </c>
    </row>
    <row r="10" spans="2:11" x14ac:dyDescent="0.2">
      <c r="D10" s="2" t="s">
        <v>11</v>
      </c>
    </row>
    <row r="11" spans="2:11" x14ac:dyDescent="0.2">
      <c r="E11" s="2" t="s">
        <v>6</v>
      </c>
    </row>
    <row r="12" spans="2:11" x14ac:dyDescent="0.2">
      <c r="D12" s="2" t="s">
        <v>10</v>
      </c>
    </row>
    <row r="13" spans="2:11" x14ac:dyDescent="0.2">
      <c r="C13" s="2" t="s">
        <v>9</v>
      </c>
    </row>
    <row r="14" spans="2:11" x14ac:dyDescent="0.2">
      <c r="D14" s="2" t="s">
        <v>8</v>
      </c>
    </row>
    <row r="15" spans="2:11" x14ac:dyDescent="0.2">
      <c r="C15" s="2" t="s">
        <v>7</v>
      </c>
    </row>
    <row r="16" spans="2:11" x14ac:dyDescent="0.2">
      <c r="D16" s="2" t="s">
        <v>6</v>
      </c>
    </row>
    <row r="17" spans="3:8" x14ac:dyDescent="0.2">
      <c r="D17" s="2" t="s">
        <v>5</v>
      </c>
    </row>
    <row r="18" spans="3:8" x14ac:dyDescent="0.2">
      <c r="C18" s="2" t="s">
        <v>4</v>
      </c>
    </row>
    <row r="19" spans="3:8" x14ac:dyDescent="0.2">
      <c r="D19" s="2" t="s">
        <v>3</v>
      </c>
    </row>
    <row r="20" spans="3:8" x14ac:dyDescent="0.2">
      <c r="D20" s="2" t="s">
        <v>2</v>
      </c>
    </row>
    <row r="29" spans="3:8" x14ac:dyDescent="0.2">
      <c r="H29"/>
    </row>
  </sheetData>
  <hyperlinks>
    <hyperlink ref="B8" r:id="rId1" xr:uid="{CB12F73A-7C48-5B41-AFDF-B94F201F9506}"/>
    <hyperlink ref="B3" r:id="rId2" xr:uid="{3B502ED1-6840-794F-8180-D1D697F06FEB}"/>
  </hyperlinks>
  <pageMargins left="0.7" right="0.7" top="0.75" bottom="0.75" header="0.3" footer="0.3"/>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C3:C4"/>
  <sheetViews>
    <sheetView workbookViewId="0"/>
  </sheetViews>
  <sheetFormatPr baseColWidth="10" defaultRowHeight="29" x14ac:dyDescent="0.35"/>
  <cols>
    <col min="1" max="16384" width="10.83203125" style="5"/>
  </cols>
  <sheetData>
    <row r="3" spans="3:3" x14ac:dyDescent="0.35">
      <c r="C3" s="3"/>
    </row>
    <row r="4" spans="3:3" x14ac:dyDescent="0.35">
      <c r="C4"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1073F-0074-D44C-BA83-BA1B7AB5DFF9}">
  <sheetPr>
    <tabColor rgb="FFFFFF00"/>
  </sheetPr>
  <dimension ref="B1:C28"/>
  <sheetViews>
    <sheetView workbookViewId="0"/>
  </sheetViews>
  <sheetFormatPr baseColWidth="10" defaultRowHeight="26" x14ac:dyDescent="0.3"/>
  <cols>
    <col min="1" max="1" width="10.83203125" style="13"/>
    <col min="2" max="2" width="19.1640625" style="13" customWidth="1"/>
    <col min="3" max="3" width="131.33203125" style="13" customWidth="1"/>
    <col min="4" max="16384" width="10.83203125" style="13"/>
  </cols>
  <sheetData>
    <row r="1" spans="2:3" x14ac:dyDescent="0.3">
      <c r="B1" s="19"/>
      <c r="C1" s="19"/>
    </row>
    <row r="2" spans="2:3" ht="27" thickBot="1" x14ac:dyDescent="0.35">
      <c r="B2" s="18" t="s">
        <v>190</v>
      </c>
      <c r="C2" s="14" t="s">
        <v>189</v>
      </c>
    </row>
    <row r="3" spans="2:3" ht="46" customHeight="1" x14ac:dyDescent="0.3">
      <c r="B3" s="164" t="s">
        <v>188</v>
      </c>
      <c r="C3" s="166" t="s">
        <v>187</v>
      </c>
    </row>
    <row r="4" spans="2:3" ht="54" customHeight="1" thickBot="1" x14ac:dyDescent="0.35">
      <c r="B4" s="165"/>
      <c r="C4" s="167"/>
    </row>
    <row r="5" spans="2:3" ht="68" x14ac:dyDescent="0.3">
      <c r="B5" s="164" t="s">
        <v>186</v>
      </c>
      <c r="C5" s="17" t="s">
        <v>185</v>
      </c>
    </row>
    <row r="6" spans="2:3" x14ac:dyDescent="0.3">
      <c r="B6" s="168"/>
      <c r="C6" s="16" t="s">
        <v>184</v>
      </c>
    </row>
    <row r="7" spans="2:3" x14ac:dyDescent="0.3">
      <c r="B7" s="168"/>
      <c r="C7" s="16" t="s">
        <v>183</v>
      </c>
    </row>
    <row r="8" spans="2:3" x14ac:dyDescent="0.3">
      <c r="B8" s="168"/>
      <c r="C8" s="16" t="s">
        <v>182</v>
      </c>
    </row>
    <row r="9" spans="2:3" x14ac:dyDescent="0.3">
      <c r="B9" s="168"/>
      <c r="C9" s="15" t="s">
        <v>181</v>
      </c>
    </row>
    <row r="10" spans="2:3" ht="27" thickBot="1" x14ac:dyDescent="0.35">
      <c r="B10" s="165"/>
      <c r="C10" s="14"/>
    </row>
    <row r="11" spans="2:3" x14ac:dyDescent="0.3">
      <c r="B11" s="164" t="s">
        <v>180</v>
      </c>
      <c r="C11" s="164" t="s">
        <v>179</v>
      </c>
    </row>
    <row r="12" spans="2:3" x14ac:dyDescent="0.3">
      <c r="B12" s="168"/>
      <c r="C12" s="168"/>
    </row>
    <row r="13" spans="2:3" x14ac:dyDescent="0.3">
      <c r="B13" s="168"/>
      <c r="C13" s="168"/>
    </row>
    <row r="14" spans="2:3" x14ac:dyDescent="0.3">
      <c r="B14" s="168"/>
      <c r="C14" s="168"/>
    </row>
    <row r="15" spans="2:3" x14ac:dyDescent="0.3">
      <c r="B15" s="168"/>
      <c r="C15" s="168"/>
    </row>
    <row r="16" spans="2:3" ht="27" thickBot="1" x14ac:dyDescent="0.35">
      <c r="B16" s="168"/>
      <c r="C16" s="165"/>
    </row>
    <row r="17" spans="2:3" x14ac:dyDescent="0.3">
      <c r="B17" s="168"/>
      <c r="C17" s="164" t="s">
        <v>178</v>
      </c>
    </row>
    <row r="18" spans="2:3" x14ac:dyDescent="0.3">
      <c r="B18" s="168"/>
      <c r="C18" s="168"/>
    </row>
    <row r="19" spans="2:3" x14ac:dyDescent="0.3">
      <c r="B19" s="168"/>
      <c r="C19" s="168"/>
    </row>
    <row r="20" spans="2:3" x14ac:dyDescent="0.3">
      <c r="B20" s="168"/>
      <c r="C20" s="168"/>
    </row>
    <row r="21" spans="2:3" x14ac:dyDescent="0.3">
      <c r="B21" s="168"/>
      <c r="C21" s="168"/>
    </row>
    <row r="22" spans="2:3" x14ac:dyDescent="0.3">
      <c r="B22" s="168"/>
      <c r="C22" s="168"/>
    </row>
    <row r="23" spans="2:3" ht="27" thickBot="1" x14ac:dyDescent="0.35">
      <c r="B23" s="168"/>
      <c r="C23" s="165"/>
    </row>
    <row r="24" spans="2:3" x14ac:dyDescent="0.3">
      <c r="B24" s="168"/>
      <c r="C24" s="164" t="s">
        <v>177</v>
      </c>
    </row>
    <row r="25" spans="2:3" x14ac:dyDescent="0.3">
      <c r="B25" s="168"/>
      <c r="C25" s="168"/>
    </row>
    <row r="26" spans="2:3" x14ac:dyDescent="0.3">
      <c r="B26" s="168"/>
      <c r="C26" s="168"/>
    </row>
    <row r="27" spans="2:3" x14ac:dyDescent="0.3">
      <c r="B27" s="168"/>
      <c r="C27" s="168"/>
    </row>
    <row r="28" spans="2:3" ht="27" thickBot="1" x14ac:dyDescent="0.35">
      <c r="B28" s="165"/>
      <c r="C28" s="165"/>
    </row>
  </sheetData>
  <mergeCells count="7">
    <mergeCell ref="B3:B4"/>
    <mergeCell ref="C3:C4"/>
    <mergeCell ref="B5:B10"/>
    <mergeCell ref="B11:B28"/>
    <mergeCell ref="C11:C16"/>
    <mergeCell ref="C17:C23"/>
    <mergeCell ref="C24:C28"/>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903D1-66EC-574A-9F0C-E7A18AE9BC54}">
  <sheetPr>
    <tabColor rgb="FFFFFF00"/>
    <pageSetUpPr fitToPage="1"/>
  </sheetPr>
  <dimension ref="A1:X67"/>
  <sheetViews>
    <sheetView zoomScale="80" zoomScaleNormal="80" workbookViewId="0">
      <pane ySplit="5" topLeftCell="A14" activePane="bottomLeft" state="frozen"/>
      <selection pane="bottomLeft"/>
    </sheetView>
  </sheetViews>
  <sheetFormatPr baseColWidth="10" defaultColWidth="8.83203125" defaultRowHeight="15" x14ac:dyDescent="0.2"/>
  <cols>
    <col min="1" max="1" width="5" style="20" customWidth="1"/>
    <col min="2" max="2" width="37.5" style="20" customWidth="1"/>
    <col min="3" max="4" width="10.5" style="20" customWidth="1"/>
    <col min="5" max="5" width="7.5" style="20" customWidth="1"/>
    <col min="6" max="6" width="14" style="20" customWidth="1"/>
    <col min="7" max="7" width="2" style="20" customWidth="1"/>
    <col min="8" max="8" width="10" style="20" customWidth="1"/>
    <col min="9" max="9" width="6.33203125" style="20" customWidth="1"/>
    <col min="10" max="12" width="6.1640625" style="20" customWidth="1"/>
    <col min="13" max="13" width="6.33203125" style="20" customWidth="1"/>
    <col min="14" max="14" width="6.5" style="20" customWidth="1"/>
    <col min="15" max="15" width="7.33203125" style="20" customWidth="1"/>
    <col min="16" max="16" width="7.5" style="20" customWidth="1"/>
    <col min="17" max="17" width="9.1640625" style="20" hidden="1" customWidth="1"/>
    <col min="18" max="18" width="9.83203125" style="20" hidden="1" customWidth="1"/>
    <col min="19" max="20" width="9.1640625" style="20" hidden="1" customWidth="1"/>
    <col min="21" max="21" width="9.83203125" style="20" hidden="1" customWidth="1"/>
    <col min="22" max="22" width="19.6640625" style="20" customWidth="1"/>
    <col min="23" max="23" width="17.5" style="20" customWidth="1"/>
    <col min="24" max="24" width="70.5" style="20" hidden="1" customWidth="1"/>
    <col min="25" max="16384" width="8.83203125" style="20"/>
  </cols>
  <sheetData>
    <row r="1" spans="1:24" x14ac:dyDescent="0.2">
      <c r="A1" s="148" t="s">
        <v>297</v>
      </c>
    </row>
    <row r="2" spans="1:24" x14ac:dyDescent="0.2">
      <c r="A2" s="147" t="s">
        <v>296</v>
      </c>
      <c r="F2" s="36"/>
      <c r="I2" s="107"/>
    </row>
    <row r="3" spans="1:24" x14ac:dyDescent="0.2">
      <c r="B3" s="109"/>
      <c r="J3" s="107"/>
    </row>
    <row r="4" spans="1:24" x14ac:dyDescent="0.2">
      <c r="A4" s="173"/>
      <c r="B4" s="174"/>
      <c r="C4" s="174"/>
      <c r="D4" s="175">
        <v>43555</v>
      </c>
      <c r="E4" s="176"/>
      <c r="F4" s="177"/>
      <c r="G4" s="8"/>
      <c r="H4" s="106" t="s">
        <v>218</v>
      </c>
      <c r="I4" s="178" t="s">
        <v>219</v>
      </c>
      <c r="J4" s="178"/>
      <c r="K4" s="178"/>
      <c r="L4" s="178"/>
      <c r="M4" s="178"/>
      <c r="N4" s="178"/>
      <c r="O4" s="178"/>
      <c r="P4" s="179"/>
      <c r="Q4" s="169" t="s">
        <v>218</v>
      </c>
      <c r="R4" s="180"/>
      <c r="S4" s="170"/>
      <c r="T4" s="169" t="s">
        <v>217</v>
      </c>
      <c r="U4" s="170"/>
      <c r="V4" s="105"/>
      <c r="W4" s="105"/>
      <c r="X4" s="146"/>
    </row>
    <row r="5" spans="1:24" x14ac:dyDescent="0.2">
      <c r="A5" s="171" t="s">
        <v>188</v>
      </c>
      <c r="B5" s="172"/>
      <c r="C5" s="103" t="s">
        <v>216</v>
      </c>
      <c r="D5" s="102" t="s">
        <v>215</v>
      </c>
      <c r="E5" s="103" t="s">
        <v>214</v>
      </c>
      <c r="F5" s="101" t="s">
        <v>213</v>
      </c>
      <c r="G5" s="8"/>
      <c r="H5" s="104" t="s">
        <v>212</v>
      </c>
      <c r="I5" s="145">
        <v>1</v>
      </c>
      <c r="J5" s="145">
        <v>2</v>
      </c>
      <c r="K5" s="145">
        <v>5</v>
      </c>
      <c r="L5" s="145">
        <v>10</v>
      </c>
      <c r="M5" s="145">
        <v>30</v>
      </c>
      <c r="N5" s="145">
        <v>60</v>
      </c>
      <c r="O5" s="145">
        <v>180</v>
      </c>
      <c r="P5" s="144">
        <v>360</v>
      </c>
      <c r="Q5" s="102" t="s">
        <v>212</v>
      </c>
      <c r="R5" s="103" t="s">
        <v>211</v>
      </c>
      <c r="S5" s="101" t="s">
        <v>210</v>
      </c>
      <c r="T5" s="102" t="s">
        <v>209</v>
      </c>
      <c r="U5" s="101" t="s">
        <v>208</v>
      </c>
      <c r="V5" s="100" t="s">
        <v>207</v>
      </c>
      <c r="W5" s="100" t="s">
        <v>206</v>
      </c>
      <c r="X5" s="143" t="s">
        <v>295</v>
      </c>
    </row>
    <row r="6" spans="1:24" x14ac:dyDescent="0.2">
      <c r="A6" s="98"/>
      <c r="B6" s="97"/>
      <c r="C6" s="89"/>
      <c r="D6" s="86"/>
      <c r="E6" s="86"/>
      <c r="F6" s="85"/>
      <c r="G6" s="8"/>
      <c r="H6" s="83"/>
      <c r="I6" s="140"/>
      <c r="J6" s="140"/>
      <c r="K6" s="140"/>
      <c r="L6" s="140"/>
      <c r="M6" s="140"/>
      <c r="N6" s="140"/>
      <c r="O6" s="140"/>
      <c r="P6" s="142"/>
      <c r="Q6" s="79"/>
      <c r="R6" s="78"/>
      <c r="S6" s="80"/>
      <c r="T6" s="79"/>
      <c r="U6" s="89"/>
      <c r="V6" s="58"/>
      <c r="W6" s="128"/>
      <c r="X6" s="141"/>
    </row>
    <row r="7" spans="1:24" x14ac:dyDescent="0.2">
      <c r="A7" s="70" t="s">
        <v>205</v>
      </c>
      <c r="C7" s="78"/>
      <c r="D7" s="86"/>
      <c r="E7" s="86"/>
      <c r="F7" s="85"/>
      <c r="G7" s="84"/>
      <c r="H7" s="83"/>
      <c r="I7" s="140"/>
      <c r="J7" s="140"/>
      <c r="K7" s="140"/>
      <c r="L7" s="140"/>
      <c r="M7" s="140"/>
      <c r="N7" s="140"/>
      <c r="O7" s="140"/>
      <c r="P7" s="139"/>
      <c r="Q7" s="79"/>
      <c r="R7" s="78"/>
      <c r="S7" s="80"/>
      <c r="T7" s="79"/>
      <c r="U7" s="78"/>
      <c r="V7" s="58"/>
      <c r="W7" s="128"/>
      <c r="X7" s="56"/>
    </row>
    <row r="8" spans="1:24" ht="32" x14ac:dyDescent="0.2">
      <c r="A8" s="72"/>
      <c r="B8" s="69" t="s">
        <v>294</v>
      </c>
      <c r="C8" s="68">
        <v>3</v>
      </c>
      <c r="D8" s="67">
        <v>102.122</v>
      </c>
      <c r="E8" s="67">
        <v>1.0906</v>
      </c>
      <c r="F8" s="66">
        <f>10000*D8*E8*C8</f>
        <v>3341227.5960000004</v>
      </c>
      <c r="G8" s="50"/>
      <c r="H8" s="65">
        <v>1.2500000000000001E-2</v>
      </c>
      <c r="I8" s="130">
        <f>F8/1000000</f>
        <v>3.3412275960000004</v>
      </c>
      <c r="J8" s="130"/>
      <c r="K8" s="130"/>
      <c r="L8" s="130"/>
      <c r="M8" s="130"/>
      <c r="N8" s="130"/>
      <c r="O8" s="130"/>
      <c r="P8" s="129"/>
      <c r="Q8" s="60">
        <v>1.2500000000000001E-2</v>
      </c>
      <c r="R8" s="77">
        <v>7.4999999999999997E-3</v>
      </c>
      <c r="S8" s="61">
        <v>1</v>
      </c>
      <c r="T8" s="60">
        <v>3.0000000000000001E-3</v>
      </c>
      <c r="U8" s="59">
        <v>0.03</v>
      </c>
      <c r="V8" s="73" t="s">
        <v>293</v>
      </c>
      <c r="W8" s="132" t="s">
        <v>292</v>
      </c>
      <c r="X8" s="138" t="s">
        <v>291</v>
      </c>
    </row>
    <row r="9" spans="1:24" ht="56.25" customHeight="1" x14ac:dyDescent="0.2">
      <c r="A9" s="72"/>
      <c r="B9" s="69" t="s">
        <v>290</v>
      </c>
      <c r="C9" s="68">
        <v>3</v>
      </c>
      <c r="D9" s="67">
        <v>101.19199999999999</v>
      </c>
      <c r="E9" s="67">
        <v>1</v>
      </c>
      <c r="F9" s="66">
        <f>20000*D9*E9*C9</f>
        <v>6071519.9999999991</v>
      </c>
      <c r="G9" s="50"/>
      <c r="H9" s="65">
        <v>1.7500000000000002E-2</v>
      </c>
      <c r="I9" s="130">
        <v>1</v>
      </c>
      <c r="J9" s="130">
        <v>4</v>
      </c>
      <c r="K9" s="130">
        <f>F9/1000000-I9-J9</f>
        <v>1.0715199999999987</v>
      </c>
      <c r="L9" s="130"/>
      <c r="M9" s="130"/>
      <c r="N9" s="130"/>
      <c r="O9" s="130"/>
      <c r="P9" s="129"/>
      <c r="Q9" s="60">
        <v>1.7500000000000002E-2</v>
      </c>
      <c r="R9" s="77">
        <v>3.5000000000000001E-3</v>
      </c>
      <c r="S9" s="61">
        <v>2</v>
      </c>
      <c r="T9" s="60">
        <v>2.5000000000000001E-3</v>
      </c>
      <c r="U9" s="59">
        <v>0.05</v>
      </c>
      <c r="V9" s="73" t="s">
        <v>289</v>
      </c>
      <c r="W9" s="132" t="s">
        <v>288</v>
      </c>
      <c r="X9" s="56" t="s">
        <v>287</v>
      </c>
    </row>
    <row r="10" spans="1:24" ht="32" x14ac:dyDescent="0.2">
      <c r="A10" s="72"/>
      <c r="B10" s="69" t="s">
        <v>286</v>
      </c>
      <c r="C10" s="68">
        <v>1</v>
      </c>
      <c r="D10" s="67">
        <v>0.97</v>
      </c>
      <c r="E10" s="67">
        <v>1</v>
      </c>
      <c r="F10" s="66">
        <f>5000000*D10*E10*C10</f>
        <v>4850000</v>
      </c>
      <c r="G10" s="50"/>
      <c r="H10" s="65">
        <v>6.25E-2</v>
      </c>
      <c r="I10" s="127"/>
      <c r="J10" s="127"/>
      <c r="K10" s="127"/>
      <c r="L10" s="64">
        <v>2</v>
      </c>
      <c r="M10" s="64">
        <f>F10/1000000-L10</f>
        <v>2.8499999999999996</v>
      </c>
      <c r="N10" s="64"/>
      <c r="O10" s="64"/>
      <c r="P10" s="63"/>
      <c r="Q10" s="60"/>
      <c r="R10" s="77"/>
      <c r="S10" s="61"/>
      <c r="T10" s="60"/>
      <c r="U10" s="59"/>
      <c r="V10" s="73" t="s">
        <v>285</v>
      </c>
      <c r="W10" s="132" t="s">
        <v>284</v>
      </c>
      <c r="X10" s="56" t="s">
        <v>283</v>
      </c>
    </row>
    <row r="11" spans="1:24" ht="32" x14ac:dyDescent="0.2">
      <c r="A11" s="72"/>
      <c r="B11" s="69" t="s">
        <v>282</v>
      </c>
      <c r="C11" s="68">
        <v>5</v>
      </c>
      <c r="D11" s="67">
        <v>0.95750000000000002</v>
      </c>
      <c r="E11" s="67">
        <v>1.39</v>
      </c>
      <c r="F11" s="66">
        <f>1500000*D11/E11*C11</f>
        <v>5166366.9064748203</v>
      </c>
      <c r="G11" s="50"/>
      <c r="H11" s="65">
        <v>3.5000000000000003E-2</v>
      </c>
      <c r="I11" s="127"/>
      <c r="J11" s="127"/>
      <c r="K11" s="64">
        <f>F11/1000000</f>
        <v>5.1663669064748206</v>
      </c>
      <c r="L11" s="64"/>
      <c r="M11" s="64"/>
      <c r="N11" s="64"/>
      <c r="O11" s="64"/>
      <c r="P11" s="63"/>
      <c r="Q11" s="60">
        <v>3.5000000000000003E-2</v>
      </c>
      <c r="R11" s="77">
        <v>2.6499999999999999E-2</v>
      </c>
      <c r="S11" s="61">
        <v>5</v>
      </c>
      <c r="T11" s="137">
        <v>6.4999999999999997E-3</v>
      </c>
      <c r="U11" s="136">
        <v>-0.1</v>
      </c>
      <c r="V11" s="73" t="s">
        <v>281</v>
      </c>
      <c r="W11" s="132" t="s">
        <v>280</v>
      </c>
      <c r="X11" s="56" t="s">
        <v>279</v>
      </c>
    </row>
    <row r="12" spans="1:24" ht="28.5" customHeight="1" x14ac:dyDescent="0.2">
      <c r="A12" s="72"/>
      <c r="B12" s="69" t="s">
        <v>278</v>
      </c>
      <c r="C12" s="68">
        <v>5</v>
      </c>
      <c r="D12" s="67">
        <v>0.59267999999999998</v>
      </c>
      <c r="E12" s="67">
        <v>1</v>
      </c>
      <c r="F12" s="66">
        <f>3000000*D12*C12</f>
        <v>8890200</v>
      </c>
      <c r="G12" s="50"/>
      <c r="H12" s="65">
        <v>2.6499999999999999E-2</v>
      </c>
      <c r="I12" s="64">
        <v>5</v>
      </c>
      <c r="J12" s="64">
        <f>F12/1000000-I12</f>
        <v>3.8902000000000001</v>
      </c>
      <c r="K12" s="64"/>
      <c r="L12" s="64"/>
      <c r="M12" s="64"/>
      <c r="N12" s="64"/>
      <c r="O12" s="64"/>
      <c r="P12" s="63"/>
      <c r="Q12" s="60">
        <v>2.6499999999999999E-2</v>
      </c>
      <c r="R12" s="77">
        <v>5.4999999999999997E-3</v>
      </c>
      <c r="S12" s="61">
        <v>1</v>
      </c>
      <c r="T12" s="60">
        <v>1.5E-3</v>
      </c>
      <c r="U12" s="74">
        <v>2.5000000000000001E-2</v>
      </c>
      <c r="V12" s="73" t="s">
        <v>277</v>
      </c>
      <c r="W12" s="132" t="s">
        <v>276</v>
      </c>
      <c r="X12" s="56" t="s">
        <v>275</v>
      </c>
    </row>
    <row r="13" spans="1:24" ht="52.5" customHeight="1" x14ac:dyDescent="0.2">
      <c r="A13" s="72"/>
      <c r="B13" s="69" t="s">
        <v>274</v>
      </c>
      <c r="C13" s="68">
        <v>4</v>
      </c>
      <c r="D13" s="67">
        <v>100.471</v>
      </c>
      <c r="E13" s="67">
        <v>1</v>
      </c>
      <c r="F13" s="66">
        <f>10000*D13*E13*C13</f>
        <v>4018840</v>
      </c>
      <c r="G13" s="50"/>
      <c r="H13" s="65">
        <v>2.75E-2</v>
      </c>
      <c r="I13" s="131"/>
      <c r="J13" s="130">
        <v>1</v>
      </c>
      <c r="K13" s="130">
        <f>F13/1000000-J13</f>
        <v>3.01884</v>
      </c>
      <c r="L13" s="130"/>
      <c r="M13" s="130"/>
      <c r="N13" s="130"/>
      <c r="O13" s="130"/>
      <c r="P13" s="129"/>
      <c r="Q13" s="60"/>
      <c r="R13" s="77"/>
      <c r="S13" s="61"/>
      <c r="T13" s="60"/>
      <c r="U13" s="59"/>
      <c r="V13" s="73" t="s">
        <v>268</v>
      </c>
      <c r="W13" s="132" t="s">
        <v>273</v>
      </c>
      <c r="X13" s="56" t="s">
        <v>272</v>
      </c>
    </row>
    <row r="14" spans="1:24" ht="58.5" customHeight="1" x14ac:dyDescent="0.2">
      <c r="A14" s="72"/>
      <c r="B14" s="69" t="s">
        <v>271</v>
      </c>
      <c r="C14" s="68">
        <v>4</v>
      </c>
      <c r="D14" s="67">
        <v>1.0995999999999999</v>
      </c>
      <c r="E14" s="67">
        <v>1</v>
      </c>
      <c r="F14" s="66">
        <f>1000000*D14/E14*C14</f>
        <v>4398400</v>
      </c>
      <c r="G14" s="50"/>
      <c r="H14" s="65">
        <v>4.4999999999999998E-2</v>
      </c>
      <c r="I14" s="127"/>
      <c r="J14" s="64">
        <v>1</v>
      </c>
      <c r="K14" s="64">
        <f>F14/1000000-J14</f>
        <v>3.3983999999999996</v>
      </c>
      <c r="L14" s="64"/>
      <c r="M14" s="64"/>
      <c r="N14" s="64"/>
      <c r="O14" s="64"/>
      <c r="P14" s="63"/>
      <c r="Q14" s="60"/>
      <c r="R14" s="77"/>
      <c r="S14" s="61"/>
      <c r="T14" s="60"/>
      <c r="U14" s="74"/>
      <c r="V14" s="73" t="s">
        <v>268</v>
      </c>
      <c r="W14" s="132" t="s">
        <v>270</v>
      </c>
      <c r="X14" s="56" t="s">
        <v>266</v>
      </c>
    </row>
    <row r="15" spans="1:24" ht="51" customHeight="1" x14ac:dyDescent="0.2">
      <c r="A15" s="72"/>
      <c r="B15" s="69" t="s">
        <v>269</v>
      </c>
      <c r="C15" s="68">
        <v>4</v>
      </c>
      <c r="D15" s="67">
        <v>1.0761000000000001</v>
      </c>
      <c r="E15" s="67">
        <v>1</v>
      </c>
      <c r="F15" s="66">
        <f>1000000*D15/E15*C15</f>
        <v>4304400</v>
      </c>
      <c r="G15" s="50"/>
      <c r="H15" s="65">
        <v>4.4999999999999998E-2</v>
      </c>
      <c r="I15" s="127"/>
      <c r="J15" s="64">
        <v>1</v>
      </c>
      <c r="K15" s="64">
        <f>F15/1000000-J15</f>
        <v>3.3044000000000002</v>
      </c>
      <c r="L15" s="64"/>
      <c r="M15" s="64"/>
      <c r="N15" s="64"/>
      <c r="O15" s="64"/>
      <c r="P15" s="63"/>
      <c r="Q15" s="60"/>
      <c r="R15" s="77"/>
      <c r="S15" s="61"/>
      <c r="T15" s="60"/>
      <c r="U15" s="74"/>
      <c r="V15" s="73" t="s">
        <v>268</v>
      </c>
      <c r="W15" s="132" t="s">
        <v>267</v>
      </c>
      <c r="X15" s="56" t="s">
        <v>266</v>
      </c>
    </row>
    <row r="16" spans="1:24" x14ac:dyDescent="0.2">
      <c r="A16" s="72"/>
      <c r="B16" s="76"/>
      <c r="C16" s="68"/>
      <c r="D16" s="67"/>
      <c r="E16" s="67"/>
      <c r="F16" s="66"/>
      <c r="G16" s="50"/>
      <c r="H16" s="65"/>
      <c r="I16" s="130"/>
      <c r="J16" s="130"/>
      <c r="K16" s="130"/>
      <c r="L16" s="130"/>
      <c r="M16" s="130"/>
      <c r="N16" s="130"/>
      <c r="O16" s="130"/>
      <c r="P16" s="129"/>
      <c r="Q16" s="62"/>
      <c r="R16" s="68"/>
      <c r="S16" s="61"/>
      <c r="T16" s="62"/>
      <c r="U16" s="68"/>
      <c r="V16" s="73"/>
      <c r="W16" s="128"/>
      <c r="X16" s="56"/>
    </row>
    <row r="17" spans="1:24" x14ac:dyDescent="0.2">
      <c r="A17" s="70" t="s">
        <v>204</v>
      </c>
      <c r="B17" s="76"/>
      <c r="C17" s="68"/>
      <c r="D17" s="67"/>
      <c r="E17" s="67"/>
      <c r="F17" s="66"/>
      <c r="G17" s="50"/>
      <c r="H17" s="65"/>
      <c r="I17" s="130"/>
      <c r="J17" s="130"/>
      <c r="K17" s="130"/>
      <c r="L17" s="130"/>
      <c r="M17" s="130"/>
      <c r="N17" s="130"/>
      <c r="O17" s="130"/>
      <c r="P17" s="129"/>
      <c r="Q17" s="62"/>
      <c r="R17" s="68"/>
      <c r="S17" s="61"/>
      <c r="T17" s="62"/>
      <c r="U17" s="68"/>
      <c r="V17" s="73"/>
      <c r="W17" s="128"/>
      <c r="X17" s="56"/>
    </row>
    <row r="18" spans="1:24" ht="45" x14ac:dyDescent="0.2">
      <c r="A18" s="72"/>
      <c r="B18" s="76" t="s">
        <v>265</v>
      </c>
      <c r="C18" s="75">
        <v>175000</v>
      </c>
      <c r="D18" s="67">
        <v>39.42</v>
      </c>
      <c r="E18" s="67">
        <v>1</v>
      </c>
      <c r="F18" s="66">
        <f>C18*D18/E18</f>
        <v>6898500</v>
      </c>
      <c r="G18" s="50"/>
      <c r="H18" s="65">
        <v>0</v>
      </c>
      <c r="I18" s="130">
        <v>5</v>
      </c>
      <c r="J18" s="130">
        <f>F18/1000000-I18</f>
        <v>1.8985000000000003</v>
      </c>
      <c r="K18" s="130"/>
      <c r="L18" s="130"/>
      <c r="M18" s="130"/>
      <c r="N18" s="130"/>
      <c r="O18" s="130"/>
      <c r="P18" s="129"/>
      <c r="Q18" s="60">
        <v>0</v>
      </c>
      <c r="R18" s="59">
        <v>0.22</v>
      </c>
      <c r="S18" s="61">
        <v>1</v>
      </c>
      <c r="T18" s="60">
        <v>4.2500000000000003E-2</v>
      </c>
      <c r="U18" s="59">
        <v>-0.15</v>
      </c>
      <c r="V18" s="73" t="s">
        <v>264</v>
      </c>
      <c r="W18" s="128"/>
      <c r="X18" s="56" t="s">
        <v>263</v>
      </c>
    </row>
    <row r="19" spans="1:24" ht="60" x14ac:dyDescent="0.2">
      <c r="A19" s="72"/>
      <c r="B19" s="76" t="s">
        <v>262</v>
      </c>
      <c r="C19" s="75">
        <v>470000</v>
      </c>
      <c r="D19" s="67">
        <v>24.94</v>
      </c>
      <c r="E19" s="67">
        <v>1.39</v>
      </c>
      <c r="F19" s="66">
        <f>C19*D19/E19</f>
        <v>8432949.64028777</v>
      </c>
      <c r="G19" s="50"/>
      <c r="H19" s="65">
        <v>1.4999999999999999E-2</v>
      </c>
      <c r="I19" s="130">
        <v>1</v>
      </c>
      <c r="J19" s="130">
        <f>2-I19</f>
        <v>1</v>
      </c>
      <c r="K19" s="130">
        <f>F19/1000000-I19-J19</f>
        <v>6.4329496402877702</v>
      </c>
      <c r="L19" s="130"/>
      <c r="M19" s="130"/>
      <c r="N19" s="130"/>
      <c r="O19" s="130"/>
      <c r="P19" s="129"/>
      <c r="Q19" s="60">
        <v>1.4999999999999999E-2</v>
      </c>
      <c r="R19" s="59">
        <v>0.12</v>
      </c>
      <c r="S19" s="61">
        <v>2</v>
      </c>
      <c r="T19" s="60">
        <v>2.5000000000000001E-2</v>
      </c>
      <c r="U19" s="74">
        <v>-7.4999999999999997E-2</v>
      </c>
      <c r="V19" s="73" t="s">
        <v>261</v>
      </c>
      <c r="W19" s="128"/>
      <c r="X19" s="56" t="s">
        <v>260</v>
      </c>
    </row>
    <row r="20" spans="1:24" ht="30" x14ac:dyDescent="0.2">
      <c r="A20" s="72"/>
      <c r="B20" s="76" t="s">
        <v>259</v>
      </c>
      <c r="C20" s="75">
        <v>175000</v>
      </c>
      <c r="D20" s="75">
        <v>6233</v>
      </c>
      <c r="E20" s="67">
        <v>120.36</v>
      </c>
      <c r="F20" s="66">
        <f>C20*D20/E20</f>
        <v>9062603.8551013619</v>
      </c>
      <c r="G20" s="50"/>
      <c r="H20" s="65">
        <v>2.5000000000000001E-2</v>
      </c>
      <c r="I20" s="127"/>
      <c r="J20" s="127"/>
      <c r="K20" s="64">
        <v>5</v>
      </c>
      <c r="L20" s="64">
        <f>F20/1000000-K20</f>
        <v>4.0626038551013615</v>
      </c>
      <c r="M20" s="64"/>
      <c r="N20" s="64"/>
      <c r="O20" s="64"/>
      <c r="P20" s="63"/>
      <c r="Q20" s="60">
        <v>2.5000000000000001E-2</v>
      </c>
      <c r="R20" s="59">
        <v>0.34</v>
      </c>
      <c r="S20" s="61">
        <v>4</v>
      </c>
      <c r="T20" s="137">
        <v>6.7500000000000004E-2</v>
      </c>
      <c r="U20" s="136">
        <v>-0.15</v>
      </c>
      <c r="V20" s="73" t="s">
        <v>258</v>
      </c>
      <c r="W20" s="57"/>
      <c r="X20" s="56" t="s">
        <v>257</v>
      </c>
    </row>
    <row r="21" spans="1:24" ht="45" x14ac:dyDescent="0.2">
      <c r="A21" s="72"/>
      <c r="B21" s="76" t="s">
        <v>256</v>
      </c>
      <c r="C21" s="75">
        <v>125000</v>
      </c>
      <c r="D21" s="67">
        <v>46.3</v>
      </c>
      <c r="E21" s="67">
        <v>1.0906</v>
      </c>
      <c r="F21" s="66">
        <f>C21*D21*E21</f>
        <v>6311847.5</v>
      </c>
      <c r="G21" s="50"/>
      <c r="H21" s="65">
        <v>2.5000000000000001E-3</v>
      </c>
      <c r="I21" s="127"/>
      <c r="J21" s="64">
        <v>5</v>
      </c>
      <c r="K21" s="64">
        <f>F21/1000000-J21</f>
        <v>1.3118474999999998</v>
      </c>
      <c r="L21" s="64"/>
      <c r="M21" s="64"/>
      <c r="N21" s="64"/>
      <c r="O21" s="64"/>
      <c r="P21" s="63"/>
      <c r="Q21" s="60">
        <v>2.5000000000000001E-3</v>
      </c>
      <c r="R21" s="59">
        <v>0.15</v>
      </c>
      <c r="S21" s="61">
        <v>2</v>
      </c>
      <c r="T21" s="60">
        <v>3.5000000000000003E-2</v>
      </c>
      <c r="U21" s="74">
        <v>-7.4999999999999997E-2</v>
      </c>
      <c r="V21" s="73" t="s">
        <v>255</v>
      </c>
      <c r="W21" s="57"/>
      <c r="X21" s="56" t="s">
        <v>254</v>
      </c>
    </row>
    <row r="22" spans="1:24" x14ac:dyDescent="0.2">
      <c r="A22" s="72"/>
      <c r="B22" s="76"/>
      <c r="C22" s="75"/>
      <c r="D22" s="67"/>
      <c r="E22" s="67"/>
      <c r="F22" s="66"/>
      <c r="G22" s="50"/>
      <c r="H22" s="65"/>
      <c r="I22" s="64"/>
      <c r="J22" s="64"/>
      <c r="K22" s="64"/>
      <c r="L22" s="64"/>
      <c r="M22" s="64"/>
      <c r="N22" s="64"/>
      <c r="O22" s="64"/>
      <c r="P22" s="63"/>
      <c r="Q22" s="60"/>
      <c r="R22" s="59"/>
      <c r="S22" s="61"/>
      <c r="T22" s="60"/>
      <c r="U22" s="74"/>
      <c r="V22" s="73"/>
      <c r="W22" s="57"/>
      <c r="X22" s="56"/>
    </row>
    <row r="23" spans="1:24" x14ac:dyDescent="0.2">
      <c r="A23" s="70" t="s">
        <v>253</v>
      </c>
      <c r="B23" s="76"/>
      <c r="C23" s="68"/>
      <c r="D23" s="67"/>
      <c r="E23" s="67"/>
      <c r="F23" s="66"/>
      <c r="G23" s="50"/>
      <c r="H23" s="65"/>
      <c r="I23" s="64"/>
      <c r="J23" s="64"/>
      <c r="K23" s="64"/>
      <c r="L23" s="64"/>
      <c r="M23" s="64"/>
      <c r="N23" s="64"/>
      <c r="O23" s="64"/>
      <c r="P23" s="63"/>
      <c r="Q23" s="62"/>
      <c r="R23" s="68"/>
      <c r="S23" s="61"/>
      <c r="T23" s="135" t="s">
        <v>248</v>
      </c>
      <c r="U23" s="68"/>
      <c r="V23" s="58"/>
      <c r="W23" s="57"/>
      <c r="X23" s="56"/>
    </row>
    <row r="24" spans="1:24" x14ac:dyDescent="0.2">
      <c r="A24" s="72"/>
      <c r="B24" s="76" t="s">
        <v>252</v>
      </c>
      <c r="C24" s="75">
        <v>3000000</v>
      </c>
      <c r="D24" s="67">
        <v>1.079</v>
      </c>
      <c r="E24" s="67">
        <v>1</v>
      </c>
      <c r="F24" s="66">
        <f>(D24-1.05)*-C24</f>
        <v>-86999.999999999738</v>
      </c>
      <c r="G24" s="50"/>
      <c r="H24" s="65" t="s">
        <v>194</v>
      </c>
      <c r="I24" s="64"/>
      <c r="J24" s="64"/>
      <c r="K24" s="64"/>
      <c r="L24" s="64"/>
      <c r="M24" s="64"/>
      <c r="N24" s="64"/>
      <c r="O24" s="64"/>
      <c r="P24" s="63"/>
      <c r="Q24" s="60">
        <v>5.0000000000000001E-3</v>
      </c>
      <c r="R24" s="77">
        <v>2.75E-2</v>
      </c>
      <c r="S24" s="61">
        <v>1</v>
      </c>
      <c r="T24" s="60">
        <v>1.2500000000000001E-2</v>
      </c>
      <c r="U24" s="59">
        <v>-0.05</v>
      </c>
      <c r="V24" s="73" t="s">
        <v>250</v>
      </c>
      <c r="W24" s="57"/>
      <c r="X24" s="56"/>
    </row>
    <row r="25" spans="1:24" x14ac:dyDescent="0.2">
      <c r="A25" s="72"/>
      <c r="B25" s="76" t="s">
        <v>251</v>
      </c>
      <c r="C25" s="75">
        <v>5000000</v>
      </c>
      <c r="D25" s="67">
        <v>1.3759999999999999</v>
      </c>
      <c r="E25" s="67">
        <v>1</v>
      </c>
      <c r="F25" s="66">
        <f>(D25-1.35)*-C25</f>
        <v>-129999.99999999901</v>
      </c>
      <c r="G25" s="50"/>
      <c r="H25" s="65" t="s">
        <v>194</v>
      </c>
      <c r="I25" s="64"/>
      <c r="J25" s="64"/>
      <c r="K25" s="64"/>
      <c r="L25" s="64"/>
      <c r="M25" s="64"/>
      <c r="N25" s="64"/>
      <c r="O25" s="64"/>
      <c r="P25" s="63"/>
      <c r="Q25" s="60">
        <v>2E-3</v>
      </c>
      <c r="R25" s="77">
        <v>1.7500000000000002E-2</v>
      </c>
      <c r="S25" s="61">
        <v>1</v>
      </c>
      <c r="T25" s="60">
        <v>1.2999999999999999E-2</v>
      </c>
      <c r="U25" s="59">
        <v>-0.05</v>
      </c>
      <c r="V25" s="73" t="s">
        <v>250</v>
      </c>
      <c r="W25" s="57"/>
      <c r="X25" s="56"/>
    </row>
    <row r="26" spans="1:24" ht="13.5" customHeight="1" x14ac:dyDescent="0.2">
      <c r="A26" s="72"/>
      <c r="B26" s="76"/>
      <c r="C26" s="68"/>
      <c r="D26" s="67"/>
      <c r="E26" s="67"/>
      <c r="F26" s="66"/>
      <c r="G26" s="50"/>
      <c r="H26" s="65"/>
      <c r="I26" s="64"/>
      <c r="J26" s="64"/>
      <c r="K26" s="64"/>
      <c r="L26" s="64"/>
      <c r="M26" s="64"/>
      <c r="N26" s="64"/>
      <c r="O26" s="64"/>
      <c r="P26" s="63"/>
      <c r="Q26" s="62"/>
      <c r="R26" s="68"/>
      <c r="S26" s="61"/>
      <c r="T26" s="62"/>
      <c r="U26" s="68"/>
      <c r="V26" s="58"/>
      <c r="W26" s="57"/>
      <c r="X26" s="56"/>
    </row>
    <row r="27" spans="1:24" x14ac:dyDescent="0.2">
      <c r="A27" s="70" t="s">
        <v>249</v>
      </c>
      <c r="B27" s="76"/>
      <c r="C27" s="68"/>
      <c r="D27" s="67"/>
      <c r="E27" s="67"/>
      <c r="F27" s="66"/>
      <c r="G27" s="50"/>
      <c r="H27" s="65"/>
      <c r="I27" s="64"/>
      <c r="J27" s="64"/>
      <c r="K27" s="64"/>
      <c r="L27" s="64"/>
      <c r="M27" s="64"/>
      <c r="N27" s="64"/>
      <c r="O27" s="64"/>
      <c r="P27" s="63"/>
      <c r="Q27" s="62"/>
      <c r="R27" s="68"/>
      <c r="S27" s="61"/>
      <c r="T27" s="135" t="s">
        <v>248</v>
      </c>
      <c r="U27" s="68"/>
      <c r="V27" s="58"/>
      <c r="W27" s="57"/>
      <c r="X27" s="56"/>
    </row>
    <row r="28" spans="1:24" ht="15.75" customHeight="1" x14ac:dyDescent="0.2">
      <c r="A28" s="72"/>
      <c r="B28" s="76" t="s">
        <v>247</v>
      </c>
      <c r="C28" s="68">
        <v>60</v>
      </c>
      <c r="D28" s="134">
        <f>1021.97</f>
        <v>1021.97</v>
      </c>
      <c r="E28" s="67">
        <v>1</v>
      </c>
      <c r="F28" s="66">
        <f>C28*D28*-E28</f>
        <v>-61318.200000000004</v>
      </c>
      <c r="G28" s="50"/>
      <c r="H28" s="65" t="s">
        <v>194</v>
      </c>
      <c r="I28" s="64"/>
      <c r="J28" s="64"/>
      <c r="K28" s="64"/>
      <c r="L28" s="64"/>
      <c r="M28" s="64"/>
      <c r="N28" s="64"/>
      <c r="O28" s="64"/>
      <c r="P28" s="63"/>
      <c r="Q28" s="62" t="s">
        <v>194</v>
      </c>
      <c r="R28" s="59">
        <v>0.66</v>
      </c>
      <c r="S28" s="61">
        <v>1</v>
      </c>
      <c r="T28" s="60">
        <v>8.3000000000000004E-2</v>
      </c>
      <c r="U28" s="59">
        <v>0.3</v>
      </c>
      <c r="V28" s="73" t="s">
        <v>243</v>
      </c>
      <c r="W28" s="57"/>
      <c r="X28" s="56"/>
    </row>
    <row r="29" spans="1:24" ht="18" customHeight="1" x14ac:dyDescent="0.2">
      <c r="A29" s="72"/>
      <c r="B29" s="76" t="s">
        <v>246</v>
      </c>
      <c r="C29" s="68">
        <v>150</v>
      </c>
      <c r="D29" s="67">
        <f>441.82</f>
        <v>441.82</v>
      </c>
      <c r="E29" s="67">
        <v>1.0906</v>
      </c>
      <c r="F29" s="66">
        <f>C29*D29*-E29</f>
        <v>-72277.333800000008</v>
      </c>
      <c r="G29" s="50"/>
      <c r="H29" s="65" t="s">
        <v>194</v>
      </c>
      <c r="I29" s="64"/>
      <c r="J29" s="64"/>
      <c r="K29" s="64"/>
      <c r="L29" s="64"/>
      <c r="M29" s="64"/>
      <c r="N29" s="64"/>
      <c r="O29" s="64"/>
      <c r="P29" s="63"/>
      <c r="Q29" s="62" t="s">
        <v>194</v>
      </c>
      <c r="R29" s="59">
        <v>0.28000000000000003</v>
      </c>
      <c r="S29" s="61">
        <v>1</v>
      </c>
      <c r="T29" s="60">
        <v>6.9500000000000006E-2</v>
      </c>
      <c r="U29" s="59">
        <v>0.25</v>
      </c>
      <c r="V29" s="73" t="s">
        <v>243</v>
      </c>
      <c r="W29" s="57"/>
      <c r="X29" s="56"/>
    </row>
    <row r="30" spans="1:24" ht="16.5" customHeight="1" x14ac:dyDescent="0.2">
      <c r="A30" s="72"/>
      <c r="B30" s="76" t="s">
        <v>245</v>
      </c>
      <c r="C30" s="68">
        <v>90</v>
      </c>
      <c r="D30" s="134">
        <v>72500</v>
      </c>
      <c r="E30" s="67">
        <v>120.36</v>
      </c>
      <c r="F30" s="66">
        <f>C30*-D30/E30</f>
        <v>-54212.362911266202</v>
      </c>
      <c r="G30" s="50"/>
      <c r="H30" s="65" t="s">
        <v>194</v>
      </c>
      <c r="I30" s="64"/>
      <c r="J30" s="64"/>
      <c r="K30" s="64"/>
      <c r="L30" s="64"/>
      <c r="M30" s="64"/>
      <c r="N30" s="64"/>
      <c r="O30" s="64"/>
      <c r="P30" s="63"/>
      <c r="Q30" s="62" t="s">
        <v>194</v>
      </c>
      <c r="R30" s="59">
        <v>0.32</v>
      </c>
      <c r="S30" s="61">
        <v>1</v>
      </c>
      <c r="T30" s="60">
        <v>5.7500000000000002E-2</v>
      </c>
      <c r="U30" s="59">
        <v>0.25</v>
      </c>
      <c r="V30" s="73" t="s">
        <v>243</v>
      </c>
      <c r="W30" s="57"/>
      <c r="X30" s="56"/>
    </row>
    <row r="31" spans="1:24" ht="16.5" customHeight="1" x14ac:dyDescent="0.2">
      <c r="A31" s="72"/>
      <c r="B31" s="76" t="s">
        <v>244</v>
      </c>
      <c r="C31" s="68">
        <v>125</v>
      </c>
      <c r="D31" s="67">
        <v>764.54</v>
      </c>
      <c r="E31" s="67">
        <v>1.39</v>
      </c>
      <c r="F31" s="66">
        <f>C31*-D31/E31</f>
        <v>-68753.597122302162</v>
      </c>
      <c r="G31" s="50"/>
      <c r="H31" s="65" t="s">
        <v>194</v>
      </c>
      <c r="I31" s="64"/>
      <c r="J31" s="64"/>
      <c r="K31" s="64"/>
      <c r="L31" s="64"/>
      <c r="M31" s="64"/>
      <c r="N31" s="64"/>
      <c r="O31" s="64"/>
      <c r="P31" s="63"/>
      <c r="Q31" s="62"/>
      <c r="R31" s="59"/>
      <c r="S31" s="61"/>
      <c r="T31" s="60"/>
      <c r="U31" s="59"/>
      <c r="V31" s="73" t="s">
        <v>243</v>
      </c>
      <c r="W31" s="57"/>
      <c r="X31" s="56"/>
    </row>
    <row r="32" spans="1:24" x14ac:dyDescent="0.2">
      <c r="A32" s="72"/>
      <c r="B32" s="76"/>
      <c r="C32" s="68"/>
      <c r="D32" s="67"/>
      <c r="E32" s="67"/>
      <c r="F32" s="66"/>
      <c r="G32" s="50"/>
      <c r="H32" s="65"/>
      <c r="I32" s="64"/>
      <c r="J32" s="64"/>
      <c r="K32" s="64"/>
      <c r="L32" s="64"/>
      <c r="M32" s="64"/>
      <c r="N32" s="64"/>
      <c r="O32" s="64"/>
      <c r="P32" s="63"/>
      <c r="Q32" s="62"/>
      <c r="R32" s="68"/>
      <c r="S32" s="61"/>
      <c r="T32" s="62"/>
      <c r="U32" s="68"/>
      <c r="V32" s="58"/>
      <c r="W32" s="57"/>
      <c r="X32" s="56"/>
    </row>
    <row r="33" spans="1:24" ht="15.75" customHeight="1" x14ac:dyDescent="0.2">
      <c r="A33" s="70" t="s">
        <v>203</v>
      </c>
      <c r="B33" s="76"/>
      <c r="C33" s="68"/>
      <c r="D33" s="67"/>
      <c r="E33" s="67"/>
      <c r="F33" s="66"/>
      <c r="G33" s="50"/>
      <c r="H33" s="65"/>
      <c r="I33" s="130"/>
      <c r="J33" s="130"/>
      <c r="K33" s="130"/>
      <c r="L33" s="130"/>
      <c r="M33" s="130"/>
      <c r="N33" s="130"/>
      <c r="O33" s="130"/>
      <c r="P33" s="129"/>
      <c r="Q33" s="62"/>
      <c r="R33" s="59"/>
      <c r="S33" s="61"/>
      <c r="T33" s="60"/>
      <c r="U33" s="59"/>
      <c r="V33" s="58"/>
      <c r="W33" s="128"/>
      <c r="X33" s="56"/>
    </row>
    <row r="34" spans="1:24" ht="33" customHeight="1" x14ac:dyDescent="0.2">
      <c r="A34" s="133"/>
      <c r="B34" s="69" t="s">
        <v>242</v>
      </c>
      <c r="C34" s="67">
        <v>0.3</v>
      </c>
      <c r="D34" s="75">
        <v>30000000</v>
      </c>
      <c r="E34" s="67">
        <v>1</v>
      </c>
      <c r="F34" s="66">
        <f>D34*C34</f>
        <v>9000000</v>
      </c>
      <c r="G34" s="50"/>
      <c r="H34" s="65">
        <v>4.7500000000000001E-2</v>
      </c>
      <c r="I34" s="131"/>
      <c r="J34" s="131"/>
      <c r="K34" s="131"/>
      <c r="L34" s="131"/>
      <c r="M34" s="131"/>
      <c r="N34" s="131"/>
      <c r="O34" s="130">
        <f>F34/1000000</f>
        <v>9</v>
      </c>
      <c r="P34" s="129"/>
      <c r="Q34" s="62"/>
      <c r="R34" s="59"/>
      <c r="S34" s="61"/>
      <c r="T34" s="60"/>
      <c r="U34" s="59"/>
      <c r="V34" s="73" t="s">
        <v>241</v>
      </c>
      <c r="W34" s="132" t="s">
        <v>240</v>
      </c>
      <c r="X34" s="56" t="s">
        <v>239</v>
      </c>
    </row>
    <row r="35" spans="1:24" ht="33" customHeight="1" x14ac:dyDescent="0.2">
      <c r="A35" s="133"/>
      <c r="B35" s="69" t="s">
        <v>238</v>
      </c>
      <c r="C35" s="67">
        <f>F35/D35</f>
        <v>0.1111111111111111</v>
      </c>
      <c r="D35" s="75">
        <v>45000000</v>
      </c>
      <c r="E35" s="67">
        <v>1</v>
      </c>
      <c r="F35" s="66">
        <v>5000000</v>
      </c>
      <c r="G35" s="50"/>
      <c r="H35" s="65">
        <v>5.2499999999999998E-2</v>
      </c>
      <c r="I35" s="127"/>
      <c r="J35" s="127"/>
      <c r="K35" s="127"/>
      <c r="L35" s="127"/>
      <c r="M35" s="127"/>
      <c r="N35" s="127"/>
      <c r="O35" s="64">
        <f>F35/1000000</f>
        <v>5</v>
      </c>
      <c r="P35" s="63"/>
      <c r="Q35" s="62"/>
      <c r="R35" s="59"/>
      <c r="S35" s="61"/>
      <c r="T35" s="60"/>
      <c r="U35" s="59"/>
      <c r="V35" s="73" t="s">
        <v>235</v>
      </c>
      <c r="W35" s="132" t="s">
        <v>234</v>
      </c>
      <c r="X35" s="56" t="s">
        <v>237</v>
      </c>
    </row>
    <row r="36" spans="1:24" ht="33" customHeight="1" x14ac:dyDescent="0.2">
      <c r="A36" s="133"/>
      <c r="B36" s="69" t="s">
        <v>236</v>
      </c>
      <c r="C36" s="67">
        <f>F36/D36</f>
        <v>6.6666666666666666E-2</v>
      </c>
      <c r="D36" s="75">
        <v>75000000</v>
      </c>
      <c r="E36" s="67">
        <v>1</v>
      </c>
      <c r="F36" s="66">
        <v>5000000</v>
      </c>
      <c r="G36" s="50"/>
      <c r="H36" s="65">
        <v>5.8500000000000003E-2</v>
      </c>
      <c r="I36" s="127"/>
      <c r="J36" s="127"/>
      <c r="K36" s="127"/>
      <c r="L36" s="127"/>
      <c r="M36" s="127"/>
      <c r="N36" s="127"/>
      <c r="O36" s="64">
        <f>F36/1000000</f>
        <v>5</v>
      </c>
      <c r="P36" s="63"/>
      <c r="Q36" s="62"/>
      <c r="R36" s="59"/>
      <c r="S36" s="61"/>
      <c r="T36" s="60"/>
      <c r="U36" s="59"/>
      <c r="V36" s="73" t="s">
        <v>235</v>
      </c>
      <c r="W36" s="132" t="s">
        <v>234</v>
      </c>
      <c r="X36" s="56" t="s">
        <v>233</v>
      </c>
    </row>
    <row r="37" spans="1:24" ht="14.25" customHeight="1" x14ac:dyDescent="0.2">
      <c r="A37" s="72"/>
      <c r="B37" s="69"/>
      <c r="C37" s="68"/>
      <c r="D37" s="67"/>
      <c r="E37" s="67"/>
      <c r="F37" s="66"/>
      <c r="G37" s="50"/>
      <c r="H37" s="65"/>
      <c r="I37" s="130"/>
      <c r="J37" s="130"/>
      <c r="K37" s="130"/>
      <c r="L37" s="130"/>
      <c r="M37" s="130"/>
      <c r="N37" s="130"/>
      <c r="O37" s="130"/>
      <c r="P37" s="129"/>
      <c r="Q37" s="62"/>
      <c r="R37" s="59"/>
      <c r="S37" s="61"/>
      <c r="T37" s="60"/>
      <c r="U37" s="59"/>
      <c r="V37" s="58"/>
      <c r="W37" s="128"/>
      <c r="X37" s="56"/>
    </row>
    <row r="38" spans="1:24" ht="17.25" customHeight="1" x14ac:dyDescent="0.2">
      <c r="A38" s="70" t="s">
        <v>202</v>
      </c>
      <c r="B38" s="69"/>
      <c r="C38" s="68"/>
      <c r="D38" s="67"/>
      <c r="E38" s="67"/>
      <c r="F38" s="66"/>
      <c r="G38" s="50"/>
      <c r="H38" s="65"/>
      <c r="I38" s="130"/>
      <c r="J38" s="130"/>
      <c r="K38" s="130"/>
      <c r="L38" s="130"/>
      <c r="M38" s="130"/>
      <c r="N38" s="130"/>
      <c r="O38" s="130"/>
      <c r="P38" s="129"/>
      <c r="Q38" s="62"/>
      <c r="R38" s="59"/>
      <c r="S38" s="61"/>
      <c r="T38" s="60"/>
      <c r="U38" s="59"/>
      <c r="V38" s="58"/>
      <c r="W38" s="128"/>
      <c r="X38" s="56"/>
    </row>
    <row r="39" spans="1:24" ht="20.25" customHeight="1" x14ac:dyDescent="0.2">
      <c r="A39" s="72"/>
      <c r="B39" s="69" t="s">
        <v>232</v>
      </c>
      <c r="C39" s="75">
        <v>5000000</v>
      </c>
      <c r="D39" s="67">
        <v>0.95</v>
      </c>
      <c r="E39" s="67">
        <v>1</v>
      </c>
      <c r="F39" s="66">
        <f>D39*C39</f>
        <v>4750000</v>
      </c>
      <c r="G39" s="50"/>
      <c r="H39" s="65">
        <v>3.7499999999999999E-2</v>
      </c>
      <c r="I39" s="131"/>
      <c r="J39" s="131"/>
      <c r="K39" s="131"/>
      <c r="L39" s="131"/>
      <c r="M39" s="131"/>
      <c r="N39" s="130">
        <f>F39/1000000</f>
        <v>4.75</v>
      </c>
      <c r="O39" s="130"/>
      <c r="P39" s="129"/>
      <c r="Q39" s="62"/>
      <c r="R39" s="59"/>
      <c r="S39" s="61"/>
      <c r="T39" s="60"/>
      <c r="U39" s="59"/>
      <c r="V39" s="73" t="s">
        <v>231</v>
      </c>
      <c r="W39" s="128"/>
      <c r="X39" s="56" t="s">
        <v>230</v>
      </c>
    </row>
    <row r="40" spans="1:24" ht="23.25" customHeight="1" x14ac:dyDescent="0.2">
      <c r="A40" s="72"/>
      <c r="B40" s="69" t="s">
        <v>229</v>
      </c>
      <c r="C40" s="75">
        <v>3000000</v>
      </c>
      <c r="D40" s="67">
        <v>1.02</v>
      </c>
      <c r="E40" s="67">
        <v>1</v>
      </c>
      <c r="F40" s="66">
        <f>D40*C40</f>
        <v>3060000</v>
      </c>
      <c r="G40" s="50"/>
      <c r="H40" s="65">
        <v>5.8000000000000003E-2</v>
      </c>
      <c r="I40" s="127"/>
      <c r="J40" s="127"/>
      <c r="K40" s="127"/>
      <c r="L40" s="127"/>
      <c r="M40" s="127"/>
      <c r="N40" s="127"/>
      <c r="O40" s="64">
        <f>F40/1000000</f>
        <v>3.06</v>
      </c>
      <c r="P40" s="63"/>
      <c r="Q40" s="62"/>
      <c r="R40" s="59"/>
      <c r="S40" s="61"/>
      <c r="T40" s="60"/>
      <c r="U40" s="59"/>
      <c r="V40" s="73" t="s">
        <v>228</v>
      </c>
      <c r="W40" s="57"/>
      <c r="X40" s="56" t="s">
        <v>227</v>
      </c>
    </row>
    <row r="41" spans="1:24" ht="26.25" customHeight="1" x14ac:dyDescent="0.2">
      <c r="A41" s="72"/>
      <c r="B41" s="69" t="s">
        <v>226</v>
      </c>
      <c r="C41" s="75">
        <v>2000000</v>
      </c>
      <c r="D41" s="67">
        <v>1</v>
      </c>
      <c r="E41" s="67">
        <v>1</v>
      </c>
      <c r="F41" s="66">
        <f>D41*C41</f>
        <v>2000000</v>
      </c>
      <c r="G41" s="50"/>
      <c r="H41" s="65">
        <v>4.9500000000000002E-2</v>
      </c>
      <c r="I41" s="127"/>
      <c r="J41" s="127"/>
      <c r="K41" s="127"/>
      <c r="L41" s="127"/>
      <c r="M41" s="127"/>
      <c r="N41" s="127"/>
      <c r="O41" s="64">
        <f>F41/1000000</f>
        <v>2</v>
      </c>
      <c r="P41" s="63"/>
      <c r="Q41" s="62"/>
      <c r="R41" s="59"/>
      <c r="S41" s="61"/>
      <c r="T41" s="60"/>
      <c r="U41" s="59"/>
      <c r="V41" s="73" t="s">
        <v>225</v>
      </c>
      <c r="W41" s="57"/>
      <c r="X41" s="56" t="s">
        <v>224</v>
      </c>
    </row>
    <row r="42" spans="1:24" x14ac:dyDescent="0.2">
      <c r="A42" s="55"/>
      <c r="B42" s="54"/>
      <c r="C42" s="124"/>
      <c r="D42" s="52"/>
      <c r="E42" s="52"/>
      <c r="F42" s="51"/>
      <c r="G42" s="8"/>
      <c r="H42" s="49"/>
      <c r="I42" s="126"/>
      <c r="J42" s="126"/>
      <c r="K42" s="126"/>
      <c r="L42" s="126"/>
      <c r="M42" s="126"/>
      <c r="N42" s="126"/>
      <c r="O42" s="126"/>
      <c r="P42" s="125"/>
      <c r="Q42" s="46"/>
      <c r="R42" s="124"/>
      <c r="S42" s="45"/>
      <c r="T42" s="46"/>
      <c r="U42" s="124"/>
      <c r="V42" s="123"/>
      <c r="W42" s="122"/>
      <c r="X42" s="56"/>
    </row>
    <row r="43" spans="1:24" x14ac:dyDescent="0.2">
      <c r="H43" s="108"/>
      <c r="I43" s="108"/>
      <c r="J43" s="108"/>
      <c r="K43" s="108"/>
      <c r="L43" s="108"/>
      <c r="M43" s="108"/>
      <c r="N43" s="108"/>
      <c r="O43" s="108"/>
      <c r="P43" s="108"/>
      <c r="X43" s="56"/>
    </row>
    <row r="44" spans="1:24" x14ac:dyDescent="0.2">
      <c r="A44" s="119"/>
      <c r="B44" s="121"/>
      <c r="C44" s="36" t="s">
        <v>201</v>
      </c>
      <c r="D44" s="36"/>
      <c r="E44" s="36"/>
      <c r="F44" s="39">
        <f>SUM(F7:F42)</f>
        <v>100083294.00403038</v>
      </c>
      <c r="H44" s="38">
        <f>SUM(F8*H8+F9*H9+F13*H13+F10*H10+F11*H11+F12*H12+F14*H14+F15*H15+F18*H18+F19*H19+F20*H20+F21*H21+F34*H34+F35*H35+F36*H36+F39*H39+F40*H40+F41*H41)/F44</f>
        <v>3.1730002274711157E-2</v>
      </c>
      <c r="I44" s="37">
        <f t="shared" ref="I44:P44" si="0">SUM(I6:I42)</f>
        <v>15.341227596</v>
      </c>
      <c r="J44" s="37">
        <f t="shared" si="0"/>
        <v>18.788699999999999</v>
      </c>
      <c r="K44" s="37">
        <f t="shared" si="0"/>
        <v>28.70432404676259</v>
      </c>
      <c r="L44" s="37">
        <f t="shared" si="0"/>
        <v>6.0626038551013615</v>
      </c>
      <c r="M44" s="37">
        <f t="shared" si="0"/>
        <v>2.8499999999999996</v>
      </c>
      <c r="N44" s="37">
        <f t="shared" si="0"/>
        <v>4.75</v>
      </c>
      <c r="O44" s="37">
        <f t="shared" si="0"/>
        <v>24.06</v>
      </c>
      <c r="P44" s="37">
        <f t="shared" si="0"/>
        <v>0</v>
      </c>
      <c r="S44" s="36" t="s">
        <v>201</v>
      </c>
      <c r="T44" s="35" t="e">
        <f>SUM(F8*T8,F9*T9,F12*T12,F18*T18,F19*T19,#REF!*#REF!,-C24*R24,-F28*T28,-F29*T29,-F30*T30)*85%</f>
        <v>#REF!</v>
      </c>
      <c r="U44" s="35" t="e">
        <f>SUM(F8*U8,F9*U9,F12*U12,F18*U18,F19*U19,#REF!*#REF!,C24*U24,F28*U28,F29*U29,F30*U30)</f>
        <v>#REF!</v>
      </c>
      <c r="V44" s="120">
        <f>SUM(I44:P44)</f>
        <v>100.55685549786395</v>
      </c>
      <c r="X44" s="56"/>
    </row>
    <row r="45" spans="1:24" x14ac:dyDescent="0.2">
      <c r="A45" s="119"/>
      <c r="B45" s="118"/>
      <c r="H45" s="32" t="s">
        <v>223</v>
      </c>
      <c r="R45" s="31"/>
      <c r="T45" s="30" t="s">
        <v>199</v>
      </c>
      <c r="X45" s="56"/>
    </row>
    <row r="46" spans="1:24" x14ac:dyDescent="0.2">
      <c r="A46" s="117"/>
      <c r="B46" s="116"/>
      <c r="E46" s="29"/>
      <c r="F46" s="28" t="s">
        <v>222</v>
      </c>
      <c r="G46" s="28"/>
      <c r="H46" s="28"/>
      <c r="I46" s="26">
        <f>I44*1000000/$F$44</f>
        <v>0.15328459907986447</v>
      </c>
      <c r="J46" s="26">
        <f>SUM(I44:J44)*1000000/$F$44</f>
        <v>0.34101523071997991</v>
      </c>
      <c r="K46" s="26">
        <f>SUM(I44:K44)*1000000/$F$44</f>
        <v>0.62781958036105656</v>
      </c>
      <c r="L46" s="26">
        <f>SUM(I44:L44)*1000000/$F$44</f>
        <v>0.68839516308375559</v>
      </c>
      <c r="M46" s="26">
        <f>SUM(I44:M44)*1000000/$F$44</f>
        <v>0.7168714440491406</v>
      </c>
      <c r="N46" s="26">
        <f>SUM(I44:N44)*1000000/$F$44</f>
        <v>0.76433191232478226</v>
      </c>
      <c r="O46" s="26">
        <f>SUM(I44:O44)*1000000/$F$44</f>
        <v>1.0047316737378218</v>
      </c>
      <c r="P46" s="26">
        <f>SUM(I44:P44)*1000000/$F$44</f>
        <v>1.0047316737378218</v>
      </c>
      <c r="X46" s="56"/>
    </row>
    <row r="47" spans="1:24" hidden="1" x14ac:dyDescent="0.2">
      <c r="A47" s="115"/>
      <c r="B47" s="114"/>
      <c r="C47" s="110"/>
      <c r="D47" s="110"/>
      <c r="E47" s="113"/>
      <c r="F47" s="112"/>
      <c r="G47" s="112"/>
      <c r="H47" s="112"/>
      <c r="I47" s="111"/>
      <c r="J47" s="111"/>
      <c r="K47" s="111"/>
      <c r="L47" s="111"/>
      <c r="M47" s="111"/>
      <c r="N47" s="111"/>
      <c r="O47" s="111"/>
      <c r="P47" s="111"/>
      <c r="Q47" s="110"/>
      <c r="R47" s="110"/>
      <c r="S47" s="110"/>
      <c r="T47" s="110"/>
      <c r="U47" s="110"/>
      <c r="V47" s="110"/>
      <c r="W47" s="110"/>
      <c r="X47" s="56"/>
    </row>
    <row r="48" spans="1:24" hidden="1" x14ac:dyDescent="0.2">
      <c r="B48" s="36"/>
      <c r="H48" s="108"/>
      <c r="X48" s="56"/>
    </row>
    <row r="49" spans="1:24" hidden="1" x14ac:dyDescent="0.2">
      <c r="B49" s="109" t="s">
        <v>221</v>
      </c>
      <c r="H49" s="108"/>
      <c r="J49" s="107" t="s">
        <v>220</v>
      </c>
      <c r="X49" s="56"/>
    </row>
    <row r="50" spans="1:24" hidden="1" x14ac:dyDescent="0.2">
      <c r="A50" s="173"/>
      <c r="B50" s="174"/>
      <c r="C50" s="174"/>
      <c r="D50" s="175">
        <v>42460</v>
      </c>
      <c r="E50" s="176"/>
      <c r="F50" s="177"/>
      <c r="G50" s="8"/>
      <c r="H50" s="106" t="s">
        <v>218</v>
      </c>
      <c r="I50" s="184" t="s">
        <v>219</v>
      </c>
      <c r="J50" s="184"/>
      <c r="K50" s="184"/>
      <c r="L50" s="184"/>
      <c r="M50" s="184"/>
      <c r="N50" s="184"/>
      <c r="O50" s="184"/>
      <c r="P50" s="185"/>
      <c r="Q50" s="169" t="s">
        <v>218</v>
      </c>
      <c r="R50" s="180"/>
      <c r="S50" s="170"/>
      <c r="T50" s="169" t="s">
        <v>217</v>
      </c>
      <c r="U50" s="170"/>
      <c r="V50" s="105"/>
      <c r="W50" s="87"/>
      <c r="X50" s="56"/>
    </row>
    <row r="51" spans="1:24" ht="16" hidden="1" x14ac:dyDescent="0.2">
      <c r="A51" s="171" t="s">
        <v>188</v>
      </c>
      <c r="B51" s="172"/>
      <c r="C51" s="103" t="s">
        <v>216</v>
      </c>
      <c r="D51" s="102" t="s">
        <v>215</v>
      </c>
      <c r="E51" s="103" t="s">
        <v>214</v>
      </c>
      <c r="F51" s="101" t="s">
        <v>213</v>
      </c>
      <c r="G51" s="8"/>
      <c r="H51" s="104" t="s">
        <v>212</v>
      </c>
      <c r="I51" s="103">
        <v>1</v>
      </c>
      <c r="J51" s="103">
        <v>2</v>
      </c>
      <c r="K51" s="103">
        <v>5</v>
      </c>
      <c r="L51" s="103">
        <v>10</v>
      </c>
      <c r="M51" s="103">
        <v>30</v>
      </c>
      <c r="N51" s="103">
        <v>60</v>
      </c>
      <c r="O51" s="103">
        <v>180</v>
      </c>
      <c r="P51" s="101">
        <v>360</v>
      </c>
      <c r="Q51" s="102" t="s">
        <v>212</v>
      </c>
      <c r="R51" s="103" t="s">
        <v>211</v>
      </c>
      <c r="S51" s="101" t="s">
        <v>210</v>
      </c>
      <c r="T51" s="102" t="s">
        <v>209</v>
      </c>
      <c r="U51" s="101" t="s">
        <v>208</v>
      </c>
      <c r="V51" s="100" t="s">
        <v>207</v>
      </c>
      <c r="W51" s="99" t="s">
        <v>206</v>
      </c>
      <c r="X51" s="56"/>
    </row>
    <row r="52" spans="1:24" hidden="1" x14ac:dyDescent="0.2">
      <c r="A52" s="98"/>
      <c r="B52" s="97"/>
      <c r="C52" s="89"/>
      <c r="D52" s="96"/>
      <c r="E52" s="96"/>
      <c r="F52" s="95"/>
      <c r="G52" s="8"/>
      <c r="H52" s="94"/>
      <c r="I52" s="93"/>
      <c r="J52" s="93"/>
      <c r="K52" s="93"/>
      <c r="L52" s="93"/>
      <c r="M52" s="93"/>
      <c r="N52" s="93"/>
      <c r="O52" s="93"/>
      <c r="P52" s="92"/>
      <c r="Q52" s="90"/>
      <c r="R52" s="89"/>
      <c r="S52" s="91"/>
      <c r="T52" s="90"/>
      <c r="U52" s="89"/>
      <c r="V52" s="88"/>
      <c r="W52" s="87"/>
      <c r="X52" s="56"/>
    </row>
    <row r="53" spans="1:24" hidden="1" x14ac:dyDescent="0.2">
      <c r="A53" s="70" t="s">
        <v>205</v>
      </c>
      <c r="C53" s="78"/>
      <c r="D53" s="86"/>
      <c r="E53" s="86"/>
      <c r="F53" s="85"/>
      <c r="G53" s="84"/>
      <c r="H53" s="83"/>
      <c r="I53" s="82"/>
      <c r="J53" s="82"/>
      <c r="K53" s="82"/>
      <c r="L53" s="82"/>
      <c r="M53" s="82"/>
      <c r="N53" s="82"/>
      <c r="O53" s="82"/>
      <c r="P53" s="81"/>
      <c r="Q53" s="79"/>
      <c r="R53" s="78"/>
      <c r="S53" s="80"/>
      <c r="T53" s="79"/>
      <c r="U53" s="78"/>
      <c r="V53" s="58"/>
      <c r="W53" s="57"/>
      <c r="X53" s="56"/>
    </row>
    <row r="54" spans="1:24" hidden="1" x14ac:dyDescent="0.2">
      <c r="A54" s="72"/>
      <c r="B54" s="69"/>
      <c r="C54" s="68"/>
      <c r="D54" s="67"/>
      <c r="E54" s="67"/>
      <c r="F54" s="66"/>
      <c r="G54" s="50"/>
      <c r="H54" s="65"/>
      <c r="I54" s="64"/>
      <c r="J54" s="64"/>
      <c r="K54" s="64"/>
      <c r="L54" s="64"/>
      <c r="M54" s="64"/>
      <c r="N54" s="64"/>
      <c r="O54" s="64"/>
      <c r="P54" s="63"/>
      <c r="Q54" s="60"/>
      <c r="R54" s="77"/>
      <c r="S54" s="61"/>
      <c r="T54" s="60"/>
      <c r="U54" s="59"/>
      <c r="V54" s="73"/>
      <c r="W54" s="57"/>
      <c r="X54" s="56"/>
    </row>
    <row r="55" spans="1:24" hidden="1" x14ac:dyDescent="0.2">
      <c r="A55" s="70" t="s">
        <v>204</v>
      </c>
      <c r="B55" s="76"/>
      <c r="C55" s="68"/>
      <c r="D55" s="67"/>
      <c r="E55" s="67"/>
      <c r="F55" s="66"/>
      <c r="G55" s="50"/>
      <c r="H55" s="65"/>
      <c r="I55" s="64"/>
      <c r="J55" s="64"/>
      <c r="K55" s="64"/>
      <c r="L55" s="64"/>
      <c r="M55" s="64"/>
      <c r="N55" s="64"/>
      <c r="O55" s="64"/>
      <c r="P55" s="63"/>
      <c r="Q55" s="62"/>
      <c r="R55" s="68"/>
      <c r="S55" s="61"/>
      <c r="T55" s="62"/>
      <c r="U55" s="68"/>
      <c r="V55" s="73"/>
      <c r="W55" s="57"/>
      <c r="X55" s="56"/>
    </row>
    <row r="56" spans="1:24" hidden="1" x14ac:dyDescent="0.2">
      <c r="A56" s="70" t="s">
        <v>203</v>
      </c>
      <c r="B56" s="76"/>
      <c r="C56" s="75"/>
      <c r="D56" s="67"/>
      <c r="E56" s="67"/>
      <c r="F56" s="66"/>
      <c r="G56" s="50"/>
      <c r="H56" s="65"/>
      <c r="I56" s="64"/>
      <c r="J56" s="64"/>
      <c r="K56" s="64"/>
      <c r="L56" s="64"/>
      <c r="M56" s="64"/>
      <c r="N56" s="64"/>
      <c r="O56" s="64"/>
      <c r="P56" s="63"/>
      <c r="Q56" s="60"/>
      <c r="R56" s="59"/>
      <c r="S56" s="61"/>
      <c r="T56" s="60"/>
      <c r="U56" s="74"/>
      <c r="V56" s="73"/>
      <c r="W56" s="57"/>
      <c r="X56" s="56"/>
    </row>
    <row r="57" spans="1:24" hidden="1" x14ac:dyDescent="0.2">
      <c r="A57" s="72"/>
      <c r="C57" s="68"/>
      <c r="D57" s="67"/>
      <c r="E57" s="67"/>
      <c r="F57" s="71"/>
      <c r="G57" s="50"/>
      <c r="H57" s="65"/>
      <c r="I57" s="64"/>
      <c r="J57" s="64"/>
      <c r="K57" s="64"/>
      <c r="L57" s="64"/>
      <c r="M57" s="64"/>
      <c r="N57" s="64"/>
      <c r="O57" s="64"/>
      <c r="P57" s="63"/>
      <c r="Q57" s="62"/>
      <c r="R57" s="59"/>
      <c r="S57" s="61"/>
      <c r="T57" s="60"/>
      <c r="U57" s="59"/>
      <c r="V57" s="58"/>
      <c r="W57" s="57"/>
      <c r="X57" s="56"/>
    </row>
    <row r="58" spans="1:24" hidden="1" x14ac:dyDescent="0.2">
      <c r="A58" s="70" t="s">
        <v>202</v>
      </c>
      <c r="B58" s="69"/>
      <c r="C58" s="68"/>
      <c r="D58" s="67"/>
      <c r="E58" s="67"/>
      <c r="F58" s="66"/>
      <c r="G58" s="50"/>
      <c r="H58" s="65"/>
      <c r="I58" s="64"/>
      <c r="J58" s="64"/>
      <c r="K58" s="64"/>
      <c r="L58" s="64"/>
      <c r="M58" s="64"/>
      <c r="N58" s="64"/>
      <c r="O58" s="64"/>
      <c r="P58" s="63"/>
      <c r="Q58" s="62"/>
      <c r="R58" s="59"/>
      <c r="S58" s="61"/>
      <c r="T58" s="60"/>
      <c r="U58" s="59"/>
      <c r="V58" s="58"/>
      <c r="W58" s="57"/>
      <c r="X58" s="56"/>
    </row>
    <row r="59" spans="1:24" hidden="1" x14ac:dyDescent="0.2">
      <c r="A59" s="55"/>
      <c r="B59" s="54"/>
      <c r="C59" s="53"/>
      <c r="D59" s="52"/>
      <c r="E59" s="52"/>
      <c r="F59" s="51"/>
      <c r="G59" s="50"/>
      <c r="H59" s="49"/>
      <c r="I59" s="48"/>
      <c r="J59" s="48"/>
      <c r="K59" s="48"/>
      <c r="L59" s="48"/>
      <c r="M59" s="48"/>
      <c r="N59" s="48"/>
      <c r="O59" s="48"/>
      <c r="P59" s="47"/>
      <c r="Q59" s="46"/>
      <c r="R59" s="43"/>
      <c r="S59" s="45"/>
      <c r="T59" s="44"/>
      <c r="U59" s="43"/>
      <c r="V59" s="42"/>
      <c r="W59" s="41"/>
      <c r="X59" s="40"/>
    </row>
    <row r="60" spans="1:24" hidden="1" x14ac:dyDescent="0.2"/>
    <row r="61" spans="1:24" hidden="1" x14ac:dyDescent="0.2">
      <c r="C61" s="36" t="s">
        <v>201</v>
      </c>
      <c r="D61" s="36"/>
      <c r="E61" s="36"/>
      <c r="F61" s="39">
        <f>SUM(F44,F10:F60)</f>
        <v>290837134.41609108</v>
      </c>
      <c r="H61" s="38">
        <f>SUM(F8*H8+F9*H9+F13*H13+F18*H18+F19*H19+F34*H34+F39*H39+F10*H10+F11*H11+F12*H12+F14*H14+F15*H15+F20*H20+F21*H21+F35*H35+F36*H36+F40*H40+F41*H41)/F61</f>
        <v>1.0918974128885416E-2</v>
      </c>
      <c r="I61" s="37">
        <f t="shared" ref="I61:P61" si="1">SUM(I10:I58,I44)</f>
        <v>42.83573979107986</v>
      </c>
      <c r="J61" s="37">
        <f t="shared" si="1"/>
        <v>54.707115230719978</v>
      </c>
      <c r="K61" s="37">
        <f t="shared" si="1"/>
        <v>90.669271720648823</v>
      </c>
      <c r="L61" s="37">
        <f t="shared" si="1"/>
        <v>28.876206728387839</v>
      </c>
      <c r="M61" s="37">
        <f t="shared" si="1"/>
        <v>39.266871444049144</v>
      </c>
      <c r="N61" s="37">
        <f t="shared" si="1"/>
        <v>75.014331912324778</v>
      </c>
      <c r="O61" s="37">
        <f t="shared" si="1"/>
        <v>253.18473167373782</v>
      </c>
      <c r="P61" s="37">
        <f t="shared" si="1"/>
        <v>361.00473167373781</v>
      </c>
      <c r="S61" s="36" t="s">
        <v>201</v>
      </c>
      <c r="T61" s="35" t="e">
        <f>SUM(F26*T26,F27*T27,F76*T76,F31*T31,F32*T32,#REF!*#REF!,-C85*R85,-F89*T89,-F90*T90,-F91*T91)*85%</f>
        <v>#VALUE!</v>
      </c>
      <c r="U61" s="35" t="e">
        <f>SUM(F26*U26,F27*U27,F76*U76,F31*U31,F32*U32,#REF!*#REF!,C85*U85,F89*U89,F90*U90,F91*U91)</f>
        <v>#REF!</v>
      </c>
      <c r="V61" s="34"/>
      <c r="W61" s="33">
        <f>F61-SUM(F24:F31)</f>
        <v>291310695.90992463</v>
      </c>
    </row>
    <row r="62" spans="1:24" hidden="1" x14ac:dyDescent="0.2">
      <c r="H62" s="32" t="s">
        <v>200</v>
      </c>
      <c r="R62" s="31"/>
      <c r="T62" s="30" t="s">
        <v>199</v>
      </c>
    </row>
    <row r="63" spans="1:24" hidden="1" x14ac:dyDescent="0.2">
      <c r="E63" s="29"/>
      <c r="F63" s="28" t="s">
        <v>198</v>
      </c>
      <c r="G63" s="28"/>
      <c r="H63" s="27" t="s">
        <v>197</v>
      </c>
      <c r="I63" s="26">
        <f>I61*1000000/$W$61</f>
        <v>0.14704485757819541</v>
      </c>
      <c r="J63" s="26">
        <f>SUM(I61:J61)*1000000/$W$61</f>
        <v>0.33484130995300215</v>
      </c>
      <c r="K63" s="26">
        <f>SUM(I61:K61)*1000000/$W$61</f>
        <v>0.64608725112051923</v>
      </c>
      <c r="L63" s="26">
        <f>SUM(I61:L61)*1000000/$W$61</f>
        <v>0.74521236782174938</v>
      </c>
      <c r="M63" s="26">
        <f>SUM(I61:M61)*1000000/$W$61</f>
        <v>0.88000615327269882</v>
      </c>
      <c r="N63" s="26">
        <f>SUM(I61:N61)*1000000/$W$61</f>
        <v>1.1375124273832786</v>
      </c>
      <c r="O63" s="26">
        <f>SUM(I61:O61)*1000000/$W$61</f>
        <v>2.0066351037165373</v>
      </c>
      <c r="P63" s="26">
        <f>SUM(I61:P61)*1000000/$W$61</f>
        <v>3.2458780726233956</v>
      </c>
    </row>
    <row r="64" spans="1:24" hidden="1" x14ac:dyDescent="0.2">
      <c r="D64" s="23"/>
      <c r="E64" s="23"/>
      <c r="F64" s="25" t="s">
        <v>196</v>
      </c>
      <c r="G64" s="23"/>
      <c r="H64" s="24">
        <v>1.8871091869209333E-2</v>
      </c>
      <c r="I64" s="23">
        <v>0.16999652836372298</v>
      </c>
      <c r="J64" s="23">
        <v>0.36932868808084701</v>
      </c>
      <c r="K64" s="23">
        <v>0.59700403853880257</v>
      </c>
      <c r="L64" s="23">
        <v>0.78165665896554992</v>
      </c>
      <c r="M64" s="23">
        <v>0.86250280794110623</v>
      </c>
      <c r="N64" s="23">
        <v>0.91000183792508771</v>
      </c>
      <c r="O64" s="23">
        <v>0.99999999999999989</v>
      </c>
      <c r="P64" s="23">
        <v>0.99999999999999989</v>
      </c>
    </row>
    <row r="65" spans="4:16" hidden="1" x14ac:dyDescent="0.2">
      <c r="I65" s="22" t="s">
        <v>194</v>
      </c>
      <c r="J65" s="22" t="s">
        <v>194</v>
      </c>
      <c r="K65" s="22" t="s">
        <v>195</v>
      </c>
      <c r="L65" s="22" t="s">
        <v>194</v>
      </c>
      <c r="M65" s="22" t="s">
        <v>194</v>
      </c>
      <c r="N65" s="22" t="s">
        <v>194</v>
      </c>
      <c r="O65" s="22" t="s">
        <v>193</v>
      </c>
      <c r="P65" s="22" t="s">
        <v>193</v>
      </c>
    </row>
    <row r="66" spans="4:16" hidden="1" x14ac:dyDescent="0.2">
      <c r="D66" s="21" t="s">
        <v>192</v>
      </c>
      <c r="E66" s="21"/>
      <c r="F66" s="21"/>
      <c r="G66" s="21"/>
      <c r="H66" s="21"/>
      <c r="I66" s="21"/>
    </row>
    <row r="67" spans="4:16" ht="30" hidden="1" customHeight="1" x14ac:dyDescent="0.2">
      <c r="D67" s="181" t="s">
        <v>191</v>
      </c>
      <c r="E67" s="182"/>
      <c r="F67" s="182"/>
      <c r="G67" s="182"/>
      <c r="H67" s="182"/>
      <c r="I67" s="182"/>
      <c r="J67" s="182"/>
      <c r="K67" s="182"/>
      <c r="L67" s="182"/>
      <c r="M67" s="182"/>
      <c r="N67" s="182"/>
      <c r="O67" s="182"/>
      <c r="P67" s="183"/>
    </row>
  </sheetData>
  <mergeCells count="13">
    <mergeCell ref="D67:P67"/>
    <mergeCell ref="A50:C50"/>
    <mergeCell ref="D50:F50"/>
    <mergeCell ref="I50:P50"/>
    <mergeCell ref="Q50:S50"/>
    <mergeCell ref="T50:U50"/>
    <mergeCell ref="A51:B51"/>
    <mergeCell ref="A4:C4"/>
    <mergeCell ref="D4:F4"/>
    <mergeCell ref="I4:P4"/>
    <mergeCell ref="Q4:S4"/>
    <mergeCell ref="T4:U4"/>
    <mergeCell ref="A5:B5"/>
  </mergeCells>
  <pageMargins left="0.45" right="0.45" top="0.5" bottom="0.5" header="0.3" footer="0.3"/>
  <pageSetup scale="57" orientation="landscape" horizontalDpi="4294967294"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972E7-0DF4-2949-8C8E-412943C14603}">
  <sheetPr>
    <tabColor rgb="FFFFFF00"/>
    <pageSetUpPr fitToPage="1"/>
  </sheetPr>
  <dimension ref="A1:X67"/>
  <sheetViews>
    <sheetView zoomScale="80" zoomScaleNormal="80" workbookViewId="0">
      <pane ySplit="5" topLeftCell="A6" activePane="bottomLeft" state="frozen"/>
      <selection pane="bottomLeft"/>
    </sheetView>
  </sheetViews>
  <sheetFormatPr baseColWidth="10" defaultColWidth="8.83203125" defaultRowHeight="15" x14ac:dyDescent="0.2"/>
  <cols>
    <col min="1" max="1" width="5" style="20" customWidth="1"/>
    <col min="2" max="2" width="37.5" style="20" customWidth="1"/>
    <col min="3" max="4" width="10.5" style="20" customWidth="1"/>
    <col min="5" max="5" width="7.5" style="20" customWidth="1"/>
    <col min="6" max="6" width="11.5" style="20" customWidth="1"/>
    <col min="7" max="7" width="2" style="20" customWidth="1"/>
    <col min="8" max="8" width="10" style="20" customWidth="1"/>
    <col min="9" max="9" width="6.33203125" style="20" customWidth="1"/>
    <col min="10" max="12" width="6.1640625" style="20" customWidth="1"/>
    <col min="13" max="13" width="6.33203125" style="20" customWidth="1"/>
    <col min="14" max="14" width="6.5" style="20" customWidth="1"/>
    <col min="15" max="15" width="7.33203125" style="20" customWidth="1"/>
    <col min="16" max="16" width="7.5" style="20" customWidth="1"/>
    <col min="17" max="17" width="9.1640625" style="20" hidden="1" customWidth="1"/>
    <col min="18" max="18" width="9.83203125" style="20" hidden="1" customWidth="1"/>
    <col min="19" max="20" width="9.1640625" style="20" hidden="1" customWidth="1"/>
    <col min="21" max="21" width="9.83203125" style="20" hidden="1" customWidth="1"/>
    <col min="22" max="22" width="18.83203125" style="20" customWidth="1"/>
    <col min="23" max="23" width="15.83203125" style="20" customWidth="1"/>
    <col min="24" max="24" width="70.5" style="20" customWidth="1"/>
    <col min="25" max="16384" width="8.83203125" style="20"/>
  </cols>
  <sheetData>
    <row r="1" spans="1:24" x14ac:dyDescent="0.2">
      <c r="A1" s="148" t="s">
        <v>297</v>
      </c>
    </row>
    <row r="2" spans="1:24" x14ac:dyDescent="0.2">
      <c r="A2" s="147" t="s">
        <v>300</v>
      </c>
      <c r="H2" s="36" t="s">
        <v>299</v>
      </c>
      <c r="I2" s="107" t="s">
        <v>298</v>
      </c>
    </row>
    <row r="3" spans="1:24" x14ac:dyDescent="0.2">
      <c r="B3" s="109"/>
      <c r="J3" s="107"/>
    </row>
    <row r="4" spans="1:24" x14ac:dyDescent="0.2">
      <c r="A4" s="173"/>
      <c r="B4" s="174"/>
      <c r="C4" s="174"/>
      <c r="D4" s="175">
        <v>43646</v>
      </c>
      <c r="E4" s="176"/>
      <c r="F4" s="177"/>
      <c r="G4" s="8"/>
      <c r="H4" s="106" t="s">
        <v>218</v>
      </c>
      <c r="I4" s="178" t="s">
        <v>219</v>
      </c>
      <c r="J4" s="178"/>
      <c r="K4" s="178"/>
      <c r="L4" s="178"/>
      <c r="M4" s="178"/>
      <c r="N4" s="178"/>
      <c r="O4" s="178"/>
      <c r="P4" s="179"/>
      <c r="Q4" s="169" t="s">
        <v>218</v>
      </c>
      <c r="R4" s="180"/>
      <c r="S4" s="170"/>
      <c r="T4" s="169" t="s">
        <v>217</v>
      </c>
      <c r="U4" s="170"/>
      <c r="V4" s="105"/>
      <c r="W4" s="105"/>
      <c r="X4" s="146"/>
    </row>
    <row r="5" spans="1:24" x14ac:dyDescent="0.2">
      <c r="A5" s="171" t="s">
        <v>188</v>
      </c>
      <c r="B5" s="172"/>
      <c r="C5" s="103" t="s">
        <v>216</v>
      </c>
      <c r="D5" s="102" t="s">
        <v>215</v>
      </c>
      <c r="E5" s="103" t="s">
        <v>214</v>
      </c>
      <c r="F5" s="101" t="s">
        <v>213</v>
      </c>
      <c r="G5" s="8"/>
      <c r="H5" s="104" t="s">
        <v>212</v>
      </c>
      <c r="I5" s="145">
        <v>1</v>
      </c>
      <c r="J5" s="145">
        <v>2</v>
      </c>
      <c r="K5" s="145">
        <v>5</v>
      </c>
      <c r="L5" s="145">
        <v>10</v>
      </c>
      <c r="M5" s="145">
        <v>30</v>
      </c>
      <c r="N5" s="145">
        <v>60</v>
      </c>
      <c r="O5" s="145">
        <v>180</v>
      </c>
      <c r="P5" s="144">
        <v>360</v>
      </c>
      <c r="Q5" s="102" t="s">
        <v>212</v>
      </c>
      <c r="R5" s="103" t="s">
        <v>211</v>
      </c>
      <c r="S5" s="101" t="s">
        <v>210</v>
      </c>
      <c r="T5" s="102" t="s">
        <v>209</v>
      </c>
      <c r="U5" s="101" t="s">
        <v>208</v>
      </c>
      <c r="V5" s="100" t="s">
        <v>207</v>
      </c>
      <c r="W5" s="100" t="s">
        <v>206</v>
      </c>
      <c r="X5" s="143" t="s">
        <v>295</v>
      </c>
    </row>
    <row r="6" spans="1:24" x14ac:dyDescent="0.2">
      <c r="A6" s="98"/>
      <c r="B6" s="97"/>
      <c r="C6" s="89"/>
      <c r="D6" s="86"/>
      <c r="E6" s="86"/>
      <c r="F6" s="85"/>
      <c r="G6" s="8"/>
      <c r="H6" s="83"/>
      <c r="I6" s="140"/>
      <c r="J6" s="140"/>
      <c r="K6" s="140"/>
      <c r="L6" s="140"/>
      <c r="M6" s="140"/>
      <c r="N6" s="140"/>
      <c r="O6" s="140"/>
      <c r="P6" s="142"/>
      <c r="Q6" s="79"/>
      <c r="R6" s="78"/>
      <c r="S6" s="80"/>
      <c r="T6" s="79"/>
      <c r="U6" s="89"/>
      <c r="V6" s="58"/>
      <c r="W6" s="128"/>
      <c r="X6" s="141"/>
    </row>
    <row r="7" spans="1:24" x14ac:dyDescent="0.2">
      <c r="A7" s="70" t="s">
        <v>205</v>
      </c>
      <c r="C7" s="78"/>
      <c r="D7" s="86"/>
      <c r="E7" s="86"/>
      <c r="F7" s="85"/>
      <c r="G7" s="84"/>
      <c r="H7" s="83"/>
      <c r="I7" s="140"/>
      <c r="J7" s="140"/>
      <c r="K7" s="140"/>
      <c r="L7" s="140"/>
      <c r="M7" s="140"/>
      <c r="N7" s="140"/>
      <c r="O7" s="140"/>
      <c r="P7" s="139"/>
      <c r="Q7" s="79"/>
      <c r="R7" s="78"/>
      <c r="S7" s="80"/>
      <c r="T7" s="79"/>
      <c r="U7" s="78"/>
      <c r="V7" s="58"/>
      <c r="W7" s="128"/>
      <c r="X7" s="56"/>
    </row>
    <row r="8" spans="1:24" ht="32" x14ac:dyDescent="0.2">
      <c r="A8" s="72"/>
      <c r="B8" s="69" t="s">
        <v>294</v>
      </c>
      <c r="C8" s="68">
        <v>3</v>
      </c>
      <c r="D8" s="67">
        <v>102.85</v>
      </c>
      <c r="E8" s="67">
        <v>1.02</v>
      </c>
      <c r="F8" s="66">
        <f>10000*D8*E8*C8</f>
        <v>3147210</v>
      </c>
      <c r="G8" s="50"/>
      <c r="H8" s="65">
        <v>1.2500000000000001E-2</v>
      </c>
      <c r="I8" s="130">
        <f>F8/1000000</f>
        <v>3.1472099999999998</v>
      </c>
      <c r="J8" s="130"/>
      <c r="K8" s="130"/>
      <c r="L8" s="130"/>
      <c r="M8" s="130"/>
      <c r="N8" s="130"/>
      <c r="O8" s="130"/>
      <c r="P8" s="129"/>
      <c r="Q8" s="60">
        <v>1.2500000000000001E-2</v>
      </c>
      <c r="R8" s="77">
        <v>7.4999999999999997E-3</v>
      </c>
      <c r="S8" s="61">
        <v>1</v>
      </c>
      <c r="T8" s="60">
        <v>3.0000000000000001E-3</v>
      </c>
      <c r="U8" s="59">
        <v>0.03</v>
      </c>
      <c r="V8" s="73" t="s">
        <v>293</v>
      </c>
      <c r="W8" s="132" t="s">
        <v>292</v>
      </c>
      <c r="X8" s="149"/>
    </row>
    <row r="9" spans="1:24" ht="56.25" customHeight="1" x14ac:dyDescent="0.2">
      <c r="A9" s="72"/>
      <c r="B9" s="69" t="s">
        <v>290</v>
      </c>
      <c r="C9" s="68">
        <v>3</v>
      </c>
      <c r="D9" s="67">
        <v>100.85</v>
      </c>
      <c r="E9" s="67">
        <v>1</v>
      </c>
      <c r="F9" s="66">
        <f>20000*D9*E9*C9</f>
        <v>6051000</v>
      </c>
      <c r="G9" s="50"/>
      <c r="H9" s="65">
        <v>1.7500000000000002E-2</v>
      </c>
      <c r="I9" s="130">
        <v>1</v>
      </c>
      <c r="J9" s="130">
        <v>4</v>
      </c>
      <c r="K9" s="130">
        <f>F9/1000000-I9-J9</f>
        <v>1.0510000000000002</v>
      </c>
      <c r="L9" s="130"/>
      <c r="M9" s="130"/>
      <c r="N9" s="130"/>
      <c r="O9" s="130"/>
      <c r="P9" s="129"/>
      <c r="Q9" s="60">
        <v>1.7500000000000002E-2</v>
      </c>
      <c r="R9" s="77">
        <v>3.5000000000000001E-3</v>
      </c>
      <c r="S9" s="61">
        <v>2</v>
      </c>
      <c r="T9" s="60">
        <v>2.5000000000000001E-3</v>
      </c>
      <c r="U9" s="59">
        <v>0.05</v>
      </c>
      <c r="V9" s="73" t="s">
        <v>289</v>
      </c>
      <c r="W9" s="132" t="s">
        <v>288</v>
      </c>
      <c r="X9" s="149"/>
    </row>
    <row r="10" spans="1:24" ht="58.5" customHeight="1" x14ac:dyDescent="0.2">
      <c r="A10" s="72"/>
      <c r="B10" s="69" t="s">
        <v>286</v>
      </c>
      <c r="C10" s="68">
        <v>1</v>
      </c>
      <c r="D10" s="67">
        <v>93.25</v>
      </c>
      <c r="E10" s="67">
        <v>1</v>
      </c>
      <c r="F10" s="66">
        <f>50000*D10/E10*C10</f>
        <v>4662500</v>
      </c>
      <c r="G10" s="50"/>
      <c r="H10" s="65">
        <v>3.5000000000000003E-2</v>
      </c>
      <c r="I10" s="127"/>
      <c r="J10" s="127"/>
      <c r="K10" s="64">
        <f>F10/1000000</f>
        <v>4.6624999999999996</v>
      </c>
      <c r="L10" s="64"/>
      <c r="M10" s="64"/>
      <c r="N10" s="64"/>
      <c r="O10" s="64"/>
      <c r="P10" s="63"/>
      <c r="Q10" s="60">
        <v>3.5000000000000003E-2</v>
      </c>
      <c r="R10" s="77">
        <v>2.6499999999999999E-2</v>
      </c>
      <c r="S10" s="61">
        <v>5</v>
      </c>
      <c r="T10" s="137">
        <v>6.4999999999999997E-3</v>
      </c>
      <c r="U10" s="136">
        <v>-0.1</v>
      </c>
      <c r="V10" s="73" t="s">
        <v>285</v>
      </c>
      <c r="W10" s="132" t="s">
        <v>280</v>
      </c>
      <c r="X10" s="149"/>
    </row>
    <row r="11" spans="1:24" ht="28.5" customHeight="1" x14ac:dyDescent="0.2">
      <c r="A11" s="72"/>
      <c r="B11" s="69" t="s">
        <v>282</v>
      </c>
      <c r="C11" s="68">
        <v>5</v>
      </c>
      <c r="D11" s="67">
        <v>91.25</v>
      </c>
      <c r="E11" s="67">
        <v>1.33</v>
      </c>
      <c r="F11" s="66">
        <f>15000*D11/E11*C11</f>
        <v>5145676.691729323</v>
      </c>
      <c r="G11" s="50"/>
      <c r="H11" s="65">
        <v>2.6499999999999999E-2</v>
      </c>
      <c r="I11" s="64">
        <f>F11/1000000</f>
        <v>5.1456766917293226</v>
      </c>
      <c r="J11" s="64"/>
      <c r="K11" s="64"/>
      <c r="L11" s="64"/>
      <c r="M11" s="64"/>
      <c r="N11" s="64"/>
      <c r="O11" s="64"/>
      <c r="P11" s="63"/>
      <c r="Q11" s="60">
        <v>2.6499999999999999E-2</v>
      </c>
      <c r="R11" s="77">
        <v>5.4999999999999997E-3</v>
      </c>
      <c r="S11" s="61">
        <v>1</v>
      </c>
      <c r="T11" s="60">
        <v>1.5E-3</v>
      </c>
      <c r="U11" s="74">
        <v>2.5000000000000001E-2</v>
      </c>
      <c r="V11" s="73" t="s">
        <v>281</v>
      </c>
      <c r="W11" s="132" t="s">
        <v>276</v>
      </c>
      <c r="X11" s="149"/>
    </row>
    <row r="12" spans="1:24" ht="63.75" customHeight="1" x14ac:dyDescent="0.2">
      <c r="A12" s="72"/>
      <c r="B12" s="69" t="s">
        <v>278</v>
      </c>
      <c r="C12" s="68">
        <v>5</v>
      </c>
      <c r="D12" s="67">
        <v>64</v>
      </c>
      <c r="E12" s="67">
        <v>1</v>
      </c>
      <c r="F12" s="66">
        <f>30000*D12*E12*C12</f>
        <v>9600000</v>
      </c>
      <c r="G12" s="50"/>
      <c r="H12" s="65">
        <v>2.75E-2</v>
      </c>
      <c r="I12" s="131"/>
      <c r="J12" s="131"/>
      <c r="K12" s="130">
        <v>2</v>
      </c>
      <c r="L12" s="130">
        <f>F12/1000000-K12</f>
        <v>7.6</v>
      </c>
      <c r="M12" s="130"/>
      <c r="N12" s="130"/>
      <c r="O12" s="130"/>
      <c r="P12" s="129"/>
      <c r="Q12" s="60"/>
      <c r="R12" s="77"/>
      <c r="S12" s="61"/>
      <c r="T12" s="60"/>
      <c r="U12" s="59"/>
      <c r="V12" s="73" t="s">
        <v>277</v>
      </c>
      <c r="W12" s="132" t="s">
        <v>273</v>
      </c>
      <c r="X12" s="149"/>
    </row>
    <row r="13" spans="1:24" ht="60" x14ac:dyDescent="0.2">
      <c r="A13" s="72"/>
      <c r="B13" s="69" t="s">
        <v>274</v>
      </c>
      <c r="C13" s="68">
        <v>4</v>
      </c>
      <c r="D13" s="67">
        <v>94</v>
      </c>
      <c r="E13" s="67">
        <v>1</v>
      </c>
      <c r="F13" s="66">
        <f>10000*D13*E13*C13</f>
        <v>3760000</v>
      </c>
      <c r="G13" s="50"/>
      <c r="H13" s="65">
        <v>6.25E-2</v>
      </c>
      <c r="I13" s="127"/>
      <c r="J13" s="127"/>
      <c r="K13" s="127"/>
      <c r="L13" s="127"/>
      <c r="M13" s="64">
        <v>2</v>
      </c>
      <c r="N13" s="64">
        <v>2</v>
      </c>
      <c r="O13" s="64">
        <f>F13/1000000-M13-N13</f>
        <v>-0.24000000000000021</v>
      </c>
      <c r="P13" s="63"/>
      <c r="Q13" s="60"/>
      <c r="R13" s="77"/>
      <c r="S13" s="61"/>
      <c r="T13" s="60"/>
      <c r="U13" s="59"/>
      <c r="V13" s="73" t="s">
        <v>268</v>
      </c>
      <c r="W13" s="132" t="s">
        <v>284</v>
      </c>
      <c r="X13" s="149"/>
    </row>
    <row r="14" spans="1:24" ht="56.25" customHeight="1" x14ac:dyDescent="0.2">
      <c r="A14" s="72"/>
      <c r="B14" s="69" t="s">
        <v>271</v>
      </c>
      <c r="C14" s="68">
        <v>4</v>
      </c>
      <c r="D14" s="67">
        <v>107</v>
      </c>
      <c r="E14" s="67">
        <v>1</v>
      </c>
      <c r="F14" s="66">
        <f>10000*D14*E14*C14</f>
        <v>4280000</v>
      </c>
      <c r="G14" s="50"/>
      <c r="H14" s="65">
        <v>4.4999999999999998E-2</v>
      </c>
      <c r="I14" s="127"/>
      <c r="J14" s="127"/>
      <c r="K14" s="64">
        <v>2</v>
      </c>
      <c r="L14" s="64">
        <f>F14/1000000-K14</f>
        <v>2.2800000000000002</v>
      </c>
      <c r="M14" s="64"/>
      <c r="N14" s="64"/>
      <c r="O14" s="64"/>
      <c r="P14" s="63"/>
      <c r="Q14" s="60"/>
      <c r="R14" s="77"/>
      <c r="S14" s="61"/>
      <c r="T14" s="60"/>
      <c r="U14" s="74"/>
      <c r="V14" s="73" t="s">
        <v>268</v>
      </c>
      <c r="W14" s="132" t="s">
        <v>270</v>
      </c>
      <c r="X14" s="149"/>
    </row>
    <row r="15" spans="1:24" ht="60.75" customHeight="1" x14ac:dyDescent="0.2">
      <c r="A15" s="72"/>
      <c r="B15" s="69" t="s">
        <v>269</v>
      </c>
      <c r="C15" s="68">
        <v>4</v>
      </c>
      <c r="D15" s="67">
        <v>106.25</v>
      </c>
      <c r="E15" s="67">
        <v>1</v>
      </c>
      <c r="F15" s="66">
        <f>10000*D15/E15*C15</f>
        <v>4250000</v>
      </c>
      <c r="G15" s="50"/>
      <c r="H15" s="65">
        <v>4.4999999999999998E-2</v>
      </c>
      <c r="I15" s="127"/>
      <c r="J15" s="127"/>
      <c r="K15" s="64">
        <v>1</v>
      </c>
      <c r="L15" s="64">
        <f>F15/1000000</f>
        <v>4.25</v>
      </c>
      <c r="M15" s="64"/>
      <c r="N15" s="64"/>
      <c r="O15" s="64"/>
      <c r="P15" s="63"/>
      <c r="Q15" s="60"/>
      <c r="R15" s="77"/>
      <c r="S15" s="61"/>
      <c r="T15" s="60"/>
      <c r="U15" s="74"/>
      <c r="V15" s="73" t="s">
        <v>268</v>
      </c>
      <c r="W15" s="132" t="s">
        <v>267</v>
      </c>
      <c r="X15" s="149"/>
    </row>
    <row r="16" spans="1:24" ht="25.5" customHeight="1" x14ac:dyDescent="0.2">
      <c r="A16" s="72"/>
      <c r="B16" s="76"/>
      <c r="C16" s="68"/>
      <c r="D16" s="67"/>
      <c r="E16" s="67"/>
      <c r="F16" s="66"/>
      <c r="G16" s="50"/>
      <c r="H16" s="65"/>
      <c r="I16" s="130"/>
      <c r="J16" s="130"/>
      <c r="K16" s="130"/>
      <c r="L16" s="130"/>
      <c r="M16" s="130"/>
      <c r="N16" s="130"/>
      <c r="O16" s="130"/>
      <c r="P16" s="129"/>
      <c r="Q16" s="62"/>
      <c r="R16" s="68"/>
      <c r="S16" s="61"/>
      <c r="T16" s="62"/>
      <c r="U16" s="68"/>
      <c r="V16" s="73"/>
      <c r="W16" s="128"/>
      <c r="X16" s="138"/>
    </row>
    <row r="17" spans="1:24" x14ac:dyDescent="0.2">
      <c r="A17" s="70" t="s">
        <v>204</v>
      </c>
      <c r="B17" s="76"/>
      <c r="C17" s="68"/>
      <c r="D17" s="67"/>
      <c r="E17" s="67"/>
      <c r="F17" s="66"/>
      <c r="G17" s="50"/>
      <c r="H17" s="65"/>
      <c r="I17" s="130"/>
      <c r="J17" s="130"/>
      <c r="K17" s="130"/>
      <c r="L17" s="130"/>
      <c r="M17" s="130"/>
      <c r="N17" s="130"/>
      <c r="O17" s="130"/>
      <c r="P17" s="129"/>
      <c r="Q17" s="62"/>
      <c r="R17" s="68"/>
      <c r="S17" s="61"/>
      <c r="T17" s="62"/>
      <c r="U17" s="68"/>
      <c r="V17" s="73"/>
      <c r="W17" s="128"/>
      <c r="X17" s="56"/>
    </row>
    <row r="18" spans="1:24" ht="45" x14ac:dyDescent="0.2">
      <c r="A18" s="72"/>
      <c r="B18" s="76" t="s">
        <v>265</v>
      </c>
      <c r="C18" s="75">
        <v>175000</v>
      </c>
      <c r="D18" s="67">
        <f>39.42*0.8</f>
        <v>31.536000000000001</v>
      </c>
      <c r="E18" s="67">
        <v>1</v>
      </c>
      <c r="F18" s="66">
        <f>C18*D18/E18</f>
        <v>5518800</v>
      </c>
      <c r="G18" s="50"/>
      <c r="H18" s="65">
        <v>0</v>
      </c>
      <c r="I18" s="130">
        <v>2</v>
      </c>
      <c r="J18" s="130">
        <v>3</v>
      </c>
      <c r="K18" s="130">
        <f>F18/1000000-I18-J18</f>
        <v>0.51879999999999971</v>
      </c>
      <c r="L18" s="130"/>
      <c r="M18" s="130"/>
      <c r="N18" s="130"/>
      <c r="O18" s="130"/>
      <c r="P18" s="129"/>
      <c r="Q18" s="60">
        <v>0</v>
      </c>
      <c r="R18" s="59">
        <v>0.22</v>
      </c>
      <c r="S18" s="61">
        <v>1</v>
      </c>
      <c r="T18" s="60">
        <v>4.2500000000000003E-2</v>
      </c>
      <c r="U18" s="59">
        <v>-0.15</v>
      </c>
      <c r="V18" s="73" t="s">
        <v>264</v>
      </c>
      <c r="W18" s="128"/>
      <c r="X18" s="149"/>
    </row>
    <row r="19" spans="1:24" ht="60" x14ac:dyDescent="0.2">
      <c r="A19" s="72"/>
      <c r="B19" s="76" t="s">
        <v>262</v>
      </c>
      <c r="C19" s="75">
        <v>470000</v>
      </c>
      <c r="D19" s="67">
        <f>24.94*0.95</f>
        <v>23.693000000000001</v>
      </c>
      <c r="E19" s="67">
        <v>1.33</v>
      </c>
      <c r="F19" s="66">
        <f>C19*D19/E19</f>
        <v>8372714.2857142854</v>
      </c>
      <c r="G19" s="50"/>
      <c r="H19" s="65">
        <v>1.4999999999999999E-2</v>
      </c>
      <c r="I19" s="130"/>
      <c r="J19" s="130">
        <v>1</v>
      </c>
      <c r="K19" s="130">
        <v>2</v>
      </c>
      <c r="L19" s="130">
        <v>2</v>
      </c>
      <c r="M19" s="130">
        <f>F19/1000000-J19-K19-L19</f>
        <v>3.3727142857142862</v>
      </c>
      <c r="N19" s="130"/>
      <c r="O19" s="130"/>
      <c r="P19" s="129"/>
      <c r="Q19" s="60">
        <v>1.4999999999999999E-2</v>
      </c>
      <c r="R19" s="59">
        <v>0.12</v>
      </c>
      <c r="S19" s="61">
        <v>2</v>
      </c>
      <c r="T19" s="60">
        <v>2.5000000000000001E-2</v>
      </c>
      <c r="U19" s="74">
        <v>-7.4999999999999997E-2</v>
      </c>
      <c r="V19" s="73" t="s">
        <v>261</v>
      </c>
      <c r="W19" s="128"/>
      <c r="X19" s="149"/>
    </row>
    <row r="20" spans="1:24" ht="30" x14ac:dyDescent="0.2">
      <c r="A20" s="72"/>
      <c r="B20" s="76" t="s">
        <v>259</v>
      </c>
      <c r="C20" s="75">
        <v>175000</v>
      </c>
      <c r="D20" s="75">
        <f>6233*0.9</f>
        <v>5609.7</v>
      </c>
      <c r="E20" s="150">
        <v>122</v>
      </c>
      <c r="F20" s="66">
        <f>C20*D20/E20</f>
        <v>8046700.819672131</v>
      </c>
      <c r="G20" s="50"/>
      <c r="H20" s="65">
        <v>2.5000000000000001E-2</v>
      </c>
      <c r="I20" s="127"/>
      <c r="J20" s="127"/>
      <c r="K20" s="64">
        <v>2</v>
      </c>
      <c r="L20" s="64">
        <v>3</v>
      </c>
      <c r="M20" s="64">
        <f>F20/1000000-K20-L20</f>
        <v>3.0467008196721306</v>
      </c>
      <c r="N20" s="64"/>
      <c r="O20" s="64"/>
      <c r="P20" s="63"/>
      <c r="Q20" s="60">
        <v>2.5000000000000001E-2</v>
      </c>
      <c r="R20" s="59">
        <v>0.34</v>
      </c>
      <c r="S20" s="61">
        <v>4</v>
      </c>
      <c r="T20" s="137">
        <v>6.7500000000000004E-2</v>
      </c>
      <c r="U20" s="136">
        <v>-0.15</v>
      </c>
      <c r="V20" s="73" t="s">
        <v>258</v>
      </c>
      <c r="W20" s="57"/>
      <c r="X20" s="149"/>
    </row>
    <row r="21" spans="1:24" ht="45" x14ac:dyDescent="0.2">
      <c r="A21" s="72"/>
      <c r="B21" s="76" t="s">
        <v>256</v>
      </c>
      <c r="C21" s="75">
        <v>125000</v>
      </c>
      <c r="D21" s="67">
        <f>46.3*0.8</f>
        <v>37.04</v>
      </c>
      <c r="E21" s="67">
        <v>1.02</v>
      </c>
      <c r="F21" s="66">
        <f>C21*D21*E21</f>
        <v>4722600</v>
      </c>
      <c r="G21" s="50"/>
      <c r="H21" s="65">
        <v>2.5000000000000001E-3</v>
      </c>
      <c r="I21" s="127"/>
      <c r="J21" s="64">
        <v>3</v>
      </c>
      <c r="K21" s="64">
        <f>F21/1000000-J21</f>
        <v>1.7225999999999999</v>
      </c>
      <c r="L21" s="64"/>
      <c r="M21" s="64"/>
      <c r="N21" s="64"/>
      <c r="O21" s="64"/>
      <c r="P21" s="63"/>
      <c r="Q21" s="60">
        <v>2.5000000000000001E-3</v>
      </c>
      <c r="R21" s="59">
        <v>0.15</v>
      </c>
      <c r="S21" s="61">
        <v>2</v>
      </c>
      <c r="T21" s="60">
        <v>3.5000000000000003E-2</v>
      </c>
      <c r="U21" s="74">
        <v>-7.4999999999999997E-2</v>
      </c>
      <c r="V21" s="73" t="s">
        <v>255</v>
      </c>
      <c r="W21" s="57"/>
      <c r="X21" s="149"/>
    </row>
    <row r="22" spans="1:24" x14ac:dyDescent="0.2">
      <c r="A22" s="72"/>
      <c r="B22" s="76"/>
      <c r="C22" s="75"/>
      <c r="D22" s="67"/>
      <c r="E22" s="67"/>
      <c r="F22" s="66"/>
      <c r="G22" s="50"/>
      <c r="H22" s="65"/>
      <c r="I22" s="64"/>
      <c r="J22" s="64"/>
      <c r="K22" s="64"/>
      <c r="L22" s="64"/>
      <c r="M22" s="64"/>
      <c r="N22" s="64"/>
      <c r="O22" s="64"/>
      <c r="P22" s="63"/>
      <c r="Q22" s="60"/>
      <c r="R22" s="59"/>
      <c r="S22" s="61"/>
      <c r="T22" s="60"/>
      <c r="U22" s="74"/>
      <c r="V22" s="73"/>
      <c r="W22" s="57"/>
      <c r="X22" s="56"/>
    </row>
    <row r="23" spans="1:24" x14ac:dyDescent="0.2">
      <c r="A23" s="70" t="s">
        <v>253</v>
      </c>
      <c r="B23" s="76"/>
      <c r="C23" s="68"/>
      <c r="D23" s="67"/>
      <c r="E23" s="67"/>
      <c r="F23" s="66"/>
      <c r="G23" s="50"/>
      <c r="H23" s="65"/>
      <c r="I23" s="64"/>
      <c r="J23" s="64"/>
      <c r="K23" s="64"/>
      <c r="L23" s="64"/>
      <c r="M23" s="64"/>
      <c r="N23" s="64"/>
      <c r="O23" s="64"/>
      <c r="P23" s="63"/>
      <c r="Q23" s="62"/>
      <c r="R23" s="68"/>
      <c r="S23" s="61"/>
      <c r="T23" s="135" t="s">
        <v>248</v>
      </c>
      <c r="U23" s="68"/>
      <c r="V23" s="58"/>
      <c r="W23" s="57"/>
      <c r="X23" s="56"/>
    </row>
    <row r="24" spans="1:24" x14ac:dyDescent="0.2">
      <c r="A24" s="72"/>
      <c r="B24" s="76" t="s">
        <v>252</v>
      </c>
      <c r="C24" s="75">
        <v>3000000</v>
      </c>
      <c r="D24" s="67">
        <v>1.0900000000000001</v>
      </c>
      <c r="E24" s="67">
        <v>1</v>
      </c>
      <c r="F24" s="66">
        <f>(D24-1.02)*C24</f>
        <v>210000.00000000017</v>
      </c>
      <c r="G24" s="50"/>
      <c r="H24" s="65" t="s">
        <v>194</v>
      </c>
      <c r="I24" s="64"/>
      <c r="J24" s="64"/>
      <c r="K24" s="64"/>
      <c r="L24" s="64"/>
      <c r="M24" s="64"/>
      <c r="N24" s="64"/>
      <c r="O24" s="64"/>
      <c r="P24" s="63"/>
      <c r="Q24" s="60">
        <v>5.0000000000000001E-3</v>
      </c>
      <c r="R24" s="77">
        <v>2.75E-2</v>
      </c>
      <c r="S24" s="61">
        <v>1</v>
      </c>
      <c r="T24" s="60">
        <v>1.2500000000000001E-2</v>
      </c>
      <c r="U24" s="59">
        <v>-0.05</v>
      </c>
      <c r="V24" s="73" t="s">
        <v>250</v>
      </c>
      <c r="W24" s="57"/>
      <c r="X24" s="56"/>
    </row>
    <row r="25" spans="1:24" x14ac:dyDescent="0.2">
      <c r="A25" s="72"/>
      <c r="B25" s="76" t="s">
        <v>251</v>
      </c>
      <c r="C25" s="75">
        <v>5000000</v>
      </c>
      <c r="D25" s="67">
        <v>1.33</v>
      </c>
      <c r="E25" s="67">
        <v>1</v>
      </c>
      <c r="F25" s="66">
        <f>(D25-1.35)*C25</f>
        <v>-100000.00000000009</v>
      </c>
      <c r="G25" s="50"/>
      <c r="H25" s="65" t="s">
        <v>194</v>
      </c>
      <c r="I25" s="64"/>
      <c r="J25" s="64"/>
      <c r="K25" s="64"/>
      <c r="L25" s="64"/>
      <c r="M25" s="64"/>
      <c r="N25" s="64"/>
      <c r="O25" s="64"/>
      <c r="P25" s="63"/>
      <c r="Q25" s="60">
        <v>2E-3</v>
      </c>
      <c r="R25" s="77">
        <v>1.7500000000000002E-2</v>
      </c>
      <c r="S25" s="61">
        <v>1</v>
      </c>
      <c r="T25" s="60">
        <v>1.2999999999999999E-2</v>
      </c>
      <c r="U25" s="59">
        <v>-0.05</v>
      </c>
      <c r="V25" s="73" t="s">
        <v>250</v>
      </c>
      <c r="W25" s="57"/>
      <c r="X25" s="56"/>
    </row>
    <row r="26" spans="1:24" ht="13.5" customHeight="1" x14ac:dyDescent="0.2">
      <c r="A26" s="72"/>
      <c r="B26" s="76"/>
      <c r="C26" s="68"/>
      <c r="D26" s="67"/>
      <c r="E26" s="67"/>
      <c r="F26" s="66"/>
      <c r="G26" s="50"/>
      <c r="H26" s="65"/>
      <c r="I26" s="64"/>
      <c r="J26" s="64"/>
      <c r="K26" s="64"/>
      <c r="L26" s="64"/>
      <c r="M26" s="64"/>
      <c r="N26" s="64"/>
      <c r="O26" s="64"/>
      <c r="P26" s="63"/>
      <c r="Q26" s="62"/>
      <c r="R26" s="68"/>
      <c r="S26" s="61"/>
      <c r="T26" s="62"/>
      <c r="U26" s="68"/>
      <c r="V26" s="58"/>
      <c r="W26" s="57"/>
      <c r="X26" s="56"/>
    </row>
    <row r="27" spans="1:24" x14ac:dyDescent="0.2">
      <c r="A27" s="70" t="s">
        <v>249</v>
      </c>
      <c r="B27" s="76"/>
      <c r="C27" s="68"/>
      <c r="D27" s="67"/>
      <c r="E27" s="67"/>
      <c r="F27" s="66"/>
      <c r="G27" s="50"/>
      <c r="H27" s="65"/>
      <c r="I27" s="64"/>
      <c r="J27" s="64"/>
      <c r="K27" s="64"/>
      <c r="L27" s="64"/>
      <c r="M27" s="64"/>
      <c r="N27" s="64"/>
      <c r="O27" s="64"/>
      <c r="P27" s="63"/>
      <c r="Q27" s="62"/>
      <c r="R27" s="68"/>
      <c r="S27" s="61"/>
      <c r="T27" s="135" t="s">
        <v>248</v>
      </c>
      <c r="U27" s="68"/>
      <c r="V27" s="58"/>
      <c r="W27" s="57"/>
      <c r="X27" s="56"/>
    </row>
    <row r="28" spans="1:24" ht="15.75" customHeight="1" x14ac:dyDescent="0.2">
      <c r="A28" s="72"/>
      <c r="B28" s="76" t="s">
        <v>247</v>
      </c>
      <c r="C28" s="68">
        <v>60</v>
      </c>
      <c r="D28" s="134">
        <f>1021.97*2.5*1.4</f>
        <v>3576.895</v>
      </c>
      <c r="E28" s="67">
        <v>1</v>
      </c>
      <c r="F28" s="66">
        <f>C28*D28*E28</f>
        <v>214613.7</v>
      </c>
      <c r="G28" s="50"/>
      <c r="H28" s="65" t="s">
        <v>194</v>
      </c>
      <c r="I28" s="64"/>
      <c r="J28" s="64"/>
      <c r="K28" s="64"/>
      <c r="L28" s="64"/>
      <c r="M28" s="64"/>
      <c r="N28" s="64"/>
      <c r="O28" s="64"/>
      <c r="P28" s="63"/>
      <c r="Q28" s="62" t="s">
        <v>194</v>
      </c>
      <c r="R28" s="59">
        <v>0.66</v>
      </c>
      <c r="S28" s="61">
        <v>1</v>
      </c>
      <c r="T28" s="60">
        <v>8.3000000000000004E-2</v>
      </c>
      <c r="U28" s="59">
        <v>0.3</v>
      </c>
      <c r="V28" s="73" t="s">
        <v>243</v>
      </c>
      <c r="W28" s="57"/>
      <c r="X28" s="56"/>
    </row>
    <row r="29" spans="1:24" ht="18" customHeight="1" x14ac:dyDescent="0.2">
      <c r="A29" s="72"/>
      <c r="B29" s="76" t="s">
        <v>246</v>
      </c>
      <c r="C29" s="68">
        <v>150</v>
      </c>
      <c r="D29" s="134">
        <f>441.82*3*1.5</f>
        <v>1988.19</v>
      </c>
      <c r="E29" s="67">
        <v>1.02</v>
      </c>
      <c r="F29" s="66">
        <f>C29*D29*E29</f>
        <v>304193.07</v>
      </c>
      <c r="G29" s="50"/>
      <c r="H29" s="65" t="s">
        <v>194</v>
      </c>
      <c r="I29" s="64"/>
      <c r="J29" s="64"/>
      <c r="K29" s="64"/>
      <c r="L29" s="64"/>
      <c r="M29" s="64"/>
      <c r="N29" s="64"/>
      <c r="O29" s="64"/>
      <c r="P29" s="63"/>
      <c r="Q29" s="62" t="s">
        <v>194</v>
      </c>
      <c r="R29" s="59">
        <v>0.28000000000000003</v>
      </c>
      <c r="S29" s="61">
        <v>1</v>
      </c>
      <c r="T29" s="60">
        <v>6.9500000000000006E-2</v>
      </c>
      <c r="U29" s="59">
        <v>0.25</v>
      </c>
      <c r="V29" s="73" t="s">
        <v>243</v>
      </c>
      <c r="W29" s="57"/>
      <c r="X29" s="56"/>
    </row>
    <row r="30" spans="1:24" ht="16.5" customHeight="1" x14ac:dyDescent="0.2">
      <c r="A30" s="72"/>
      <c r="B30" s="76" t="s">
        <v>245</v>
      </c>
      <c r="C30" s="68">
        <v>90</v>
      </c>
      <c r="D30" s="134">
        <f>72500*2.5*1.4</f>
        <v>253749.99999999997</v>
      </c>
      <c r="E30" s="150">
        <v>122</v>
      </c>
      <c r="F30" s="66">
        <f>C30*D30/E30</f>
        <v>187192.62295081964</v>
      </c>
      <c r="G30" s="50"/>
      <c r="H30" s="65" t="s">
        <v>194</v>
      </c>
      <c r="I30" s="64"/>
      <c r="J30" s="64"/>
      <c r="K30" s="64"/>
      <c r="L30" s="64"/>
      <c r="M30" s="64"/>
      <c r="N30" s="64"/>
      <c r="O30" s="64"/>
      <c r="P30" s="63"/>
      <c r="Q30" s="62" t="s">
        <v>194</v>
      </c>
      <c r="R30" s="59">
        <v>0.32</v>
      </c>
      <c r="S30" s="61">
        <v>1</v>
      </c>
      <c r="T30" s="60">
        <v>5.7500000000000002E-2</v>
      </c>
      <c r="U30" s="59">
        <v>0.25</v>
      </c>
      <c r="V30" s="73" t="s">
        <v>243</v>
      </c>
      <c r="W30" s="57"/>
      <c r="X30" s="56"/>
    </row>
    <row r="31" spans="1:24" ht="16.5" customHeight="1" x14ac:dyDescent="0.2">
      <c r="A31" s="72"/>
      <c r="B31" s="76" t="s">
        <v>244</v>
      </c>
      <c r="C31" s="68">
        <v>125</v>
      </c>
      <c r="D31" s="134">
        <f>764.54*2*1.3</f>
        <v>1987.8039999999999</v>
      </c>
      <c r="E31" s="67">
        <v>1.33</v>
      </c>
      <c r="F31" s="66">
        <f>C31*D31/E31</f>
        <v>186823.68421052629</v>
      </c>
      <c r="G31" s="50"/>
      <c r="H31" s="65" t="s">
        <v>194</v>
      </c>
      <c r="I31" s="64"/>
      <c r="J31" s="64"/>
      <c r="K31" s="64"/>
      <c r="L31" s="64"/>
      <c r="M31" s="64"/>
      <c r="N31" s="64"/>
      <c r="O31" s="64"/>
      <c r="P31" s="63"/>
      <c r="Q31" s="62"/>
      <c r="R31" s="59"/>
      <c r="S31" s="61"/>
      <c r="T31" s="60"/>
      <c r="U31" s="59"/>
      <c r="V31" s="73" t="s">
        <v>243</v>
      </c>
      <c r="W31" s="57"/>
      <c r="X31" s="56"/>
    </row>
    <row r="32" spans="1:24" x14ac:dyDescent="0.2">
      <c r="A32" s="72"/>
      <c r="B32" s="76"/>
      <c r="C32" s="68"/>
      <c r="D32" s="67"/>
      <c r="E32" s="67"/>
      <c r="F32" s="66"/>
      <c r="G32" s="50"/>
      <c r="H32" s="65"/>
      <c r="I32" s="64"/>
      <c r="J32" s="64"/>
      <c r="K32" s="64"/>
      <c r="L32" s="64"/>
      <c r="M32" s="64"/>
      <c r="N32" s="64"/>
      <c r="O32" s="64"/>
      <c r="P32" s="63"/>
      <c r="Q32" s="62"/>
      <c r="R32" s="68"/>
      <c r="S32" s="61"/>
      <c r="T32" s="62"/>
      <c r="U32" s="68"/>
      <c r="V32" s="58"/>
      <c r="W32" s="57"/>
      <c r="X32" s="56"/>
    </row>
    <row r="33" spans="1:24" ht="15.75" customHeight="1" x14ac:dyDescent="0.2">
      <c r="A33" s="70" t="s">
        <v>203</v>
      </c>
      <c r="B33" s="76"/>
      <c r="C33" s="68"/>
      <c r="D33" s="67"/>
      <c r="E33" s="67"/>
      <c r="F33" s="66"/>
      <c r="G33" s="50"/>
      <c r="H33" s="65"/>
      <c r="I33" s="130"/>
      <c r="J33" s="130"/>
      <c r="K33" s="130"/>
      <c r="L33" s="130"/>
      <c r="M33" s="130"/>
      <c r="N33" s="130"/>
      <c r="O33" s="130"/>
      <c r="P33" s="129"/>
      <c r="Q33" s="62"/>
      <c r="R33" s="59"/>
      <c r="S33" s="61"/>
      <c r="T33" s="60"/>
      <c r="U33" s="59"/>
      <c r="V33" s="58"/>
      <c r="W33" s="128"/>
      <c r="X33" s="56"/>
    </row>
    <row r="34" spans="1:24" ht="33" customHeight="1" x14ac:dyDescent="0.2">
      <c r="A34" s="133"/>
      <c r="B34" s="69" t="s">
        <v>242</v>
      </c>
      <c r="C34" s="67">
        <v>0.3</v>
      </c>
      <c r="D34" s="75">
        <f>30000000*0.997</f>
        <v>29910000</v>
      </c>
      <c r="E34" s="67">
        <v>1</v>
      </c>
      <c r="F34" s="66">
        <f>D34*C34</f>
        <v>8973000</v>
      </c>
      <c r="G34" s="50"/>
      <c r="H34" s="65">
        <v>4.7500000000000001E-2</v>
      </c>
      <c r="I34" s="131"/>
      <c r="J34" s="131"/>
      <c r="K34" s="131"/>
      <c r="L34" s="131"/>
      <c r="M34" s="131"/>
      <c r="N34" s="131"/>
      <c r="O34" s="130">
        <f>F34/1000000</f>
        <v>8.9730000000000008</v>
      </c>
      <c r="P34" s="129"/>
      <c r="Q34" s="62"/>
      <c r="R34" s="59"/>
      <c r="S34" s="61"/>
      <c r="T34" s="60"/>
      <c r="U34" s="59"/>
      <c r="V34" s="73" t="s">
        <v>241</v>
      </c>
      <c r="W34" s="132" t="s">
        <v>240</v>
      </c>
      <c r="X34" s="149"/>
    </row>
    <row r="35" spans="1:24" ht="33" customHeight="1" x14ac:dyDescent="0.2">
      <c r="A35" s="133"/>
      <c r="B35" s="69" t="s">
        <v>238</v>
      </c>
      <c r="C35" s="67">
        <f>F35/D35</f>
        <v>0.11166945840312674</v>
      </c>
      <c r="D35" s="75">
        <f>45000000*0.995</f>
        <v>44775000</v>
      </c>
      <c r="E35" s="67">
        <v>1</v>
      </c>
      <c r="F35" s="66">
        <v>5000000</v>
      </c>
      <c r="G35" s="50"/>
      <c r="H35" s="65">
        <v>5.2499999999999998E-2</v>
      </c>
      <c r="I35" s="127"/>
      <c r="J35" s="127"/>
      <c r="K35" s="127"/>
      <c r="L35" s="127"/>
      <c r="M35" s="127"/>
      <c r="N35" s="127"/>
      <c r="O35" s="64">
        <f>F35/1000000</f>
        <v>5</v>
      </c>
      <c r="P35" s="63"/>
      <c r="Q35" s="62"/>
      <c r="R35" s="59"/>
      <c r="S35" s="61"/>
      <c r="T35" s="60"/>
      <c r="U35" s="59"/>
      <c r="V35" s="73" t="s">
        <v>235</v>
      </c>
      <c r="W35" s="132" t="s">
        <v>234</v>
      </c>
      <c r="X35" s="149"/>
    </row>
    <row r="36" spans="1:24" ht="33" customHeight="1" x14ac:dyDescent="0.2">
      <c r="A36" s="133"/>
      <c r="B36" s="69" t="s">
        <v>236</v>
      </c>
      <c r="C36" s="67">
        <f>F36/D36</f>
        <v>0.66006600660065995</v>
      </c>
      <c r="D36" s="75">
        <f>75000000*0.101</f>
        <v>7575000.0000000009</v>
      </c>
      <c r="E36" s="67">
        <v>1</v>
      </c>
      <c r="F36" s="66">
        <v>5000000</v>
      </c>
      <c r="G36" s="50"/>
      <c r="H36" s="65">
        <v>5.8500000000000003E-2</v>
      </c>
      <c r="I36" s="127"/>
      <c r="J36" s="127"/>
      <c r="K36" s="127"/>
      <c r="L36" s="127"/>
      <c r="M36" s="127"/>
      <c r="N36" s="127"/>
      <c r="O36" s="64">
        <f>F36/1000000</f>
        <v>5</v>
      </c>
      <c r="P36" s="63"/>
      <c r="Q36" s="62"/>
      <c r="R36" s="59"/>
      <c r="S36" s="61"/>
      <c r="T36" s="60"/>
      <c r="U36" s="59"/>
      <c r="V36" s="73" t="s">
        <v>235</v>
      </c>
      <c r="W36" s="132" t="s">
        <v>234</v>
      </c>
      <c r="X36" s="149"/>
    </row>
    <row r="37" spans="1:24" ht="14.25" customHeight="1" x14ac:dyDescent="0.2">
      <c r="A37" s="72"/>
      <c r="B37" s="69"/>
      <c r="C37" s="68"/>
      <c r="D37" s="67"/>
      <c r="E37" s="67"/>
      <c r="F37" s="66"/>
      <c r="G37" s="50"/>
      <c r="H37" s="65"/>
      <c r="I37" s="130"/>
      <c r="J37" s="130"/>
      <c r="K37" s="130"/>
      <c r="L37" s="130"/>
      <c r="M37" s="130"/>
      <c r="N37" s="130"/>
      <c r="O37" s="130"/>
      <c r="P37" s="129"/>
      <c r="Q37" s="62"/>
      <c r="R37" s="59"/>
      <c r="S37" s="61"/>
      <c r="T37" s="60"/>
      <c r="U37" s="59"/>
      <c r="V37" s="58"/>
      <c r="W37" s="128"/>
      <c r="X37" s="56"/>
    </row>
    <row r="38" spans="1:24" ht="17.25" customHeight="1" x14ac:dyDescent="0.2">
      <c r="A38" s="70" t="s">
        <v>202</v>
      </c>
      <c r="B38" s="69"/>
      <c r="C38" s="68"/>
      <c r="D38" s="67"/>
      <c r="E38" s="67"/>
      <c r="F38" s="66"/>
      <c r="G38" s="50"/>
      <c r="H38" s="65"/>
      <c r="I38" s="130"/>
      <c r="J38" s="130"/>
      <c r="K38" s="130"/>
      <c r="L38" s="130"/>
      <c r="M38" s="130"/>
      <c r="N38" s="130"/>
      <c r="O38" s="130"/>
      <c r="P38" s="129"/>
      <c r="Q38" s="62"/>
      <c r="R38" s="59"/>
      <c r="S38" s="61"/>
      <c r="T38" s="60"/>
      <c r="U38" s="59"/>
      <c r="V38" s="58"/>
      <c r="W38" s="128"/>
      <c r="X38" s="56"/>
    </row>
    <row r="39" spans="1:24" ht="31.5" customHeight="1" x14ac:dyDescent="0.2">
      <c r="A39" s="72"/>
      <c r="B39" s="69" t="s">
        <v>232</v>
      </c>
      <c r="C39" s="75">
        <v>5000000</v>
      </c>
      <c r="D39" s="67">
        <v>1.02</v>
      </c>
      <c r="E39" s="67">
        <v>1</v>
      </c>
      <c r="F39" s="66">
        <f>D39*C39</f>
        <v>5100000</v>
      </c>
      <c r="G39" s="50"/>
      <c r="H39" s="65">
        <v>3.7499999999999999E-2</v>
      </c>
      <c r="I39" s="131"/>
      <c r="J39" s="131"/>
      <c r="K39" s="131"/>
      <c r="L39" s="131"/>
      <c r="M39" s="131"/>
      <c r="N39" s="130">
        <f>F39/1000000</f>
        <v>5.0999999999999996</v>
      </c>
      <c r="O39" s="130"/>
      <c r="P39" s="129"/>
      <c r="Q39" s="62"/>
      <c r="R39" s="59"/>
      <c r="S39" s="61"/>
      <c r="T39" s="60"/>
      <c r="U39" s="59"/>
      <c r="V39" s="73" t="s">
        <v>231</v>
      </c>
      <c r="W39" s="128"/>
      <c r="X39" s="149"/>
    </row>
    <row r="40" spans="1:24" ht="30" customHeight="1" x14ac:dyDescent="0.2">
      <c r="A40" s="72"/>
      <c r="B40" s="69" t="s">
        <v>229</v>
      </c>
      <c r="C40" s="75">
        <v>3000000</v>
      </c>
      <c r="D40" s="67">
        <v>1.01</v>
      </c>
      <c r="E40" s="67">
        <v>1</v>
      </c>
      <c r="F40" s="66">
        <f>D40*C40</f>
        <v>3030000</v>
      </c>
      <c r="G40" s="50"/>
      <c r="H40" s="65">
        <v>5.8000000000000003E-2</v>
      </c>
      <c r="I40" s="127"/>
      <c r="J40" s="127"/>
      <c r="K40" s="127"/>
      <c r="L40" s="127"/>
      <c r="M40" s="127"/>
      <c r="N40" s="127"/>
      <c r="O40" s="64">
        <f>F40/1000000</f>
        <v>3.03</v>
      </c>
      <c r="P40" s="63"/>
      <c r="Q40" s="62"/>
      <c r="R40" s="59"/>
      <c r="S40" s="61"/>
      <c r="T40" s="60"/>
      <c r="U40" s="59"/>
      <c r="V40" s="73" t="s">
        <v>228</v>
      </c>
      <c r="W40" s="57"/>
      <c r="X40" s="149"/>
    </row>
    <row r="41" spans="1:24" ht="50.25" customHeight="1" x14ac:dyDescent="0.2">
      <c r="A41" s="72"/>
      <c r="B41" s="69" t="s">
        <v>226</v>
      </c>
      <c r="C41" s="75">
        <v>2000000</v>
      </c>
      <c r="D41" s="67">
        <v>0.98</v>
      </c>
      <c r="E41" s="67">
        <v>1</v>
      </c>
      <c r="F41" s="66">
        <f>D41*C41</f>
        <v>1960000</v>
      </c>
      <c r="G41" s="50"/>
      <c r="H41" s="65">
        <v>4.9500000000000002E-2</v>
      </c>
      <c r="I41" s="127"/>
      <c r="J41" s="127"/>
      <c r="K41" s="127"/>
      <c r="L41" s="127"/>
      <c r="M41" s="127"/>
      <c r="N41" s="127"/>
      <c r="O41" s="64">
        <f>F41/1000000</f>
        <v>1.96</v>
      </c>
      <c r="P41" s="63"/>
      <c r="Q41" s="62"/>
      <c r="R41" s="59"/>
      <c r="S41" s="61"/>
      <c r="T41" s="60"/>
      <c r="U41" s="59"/>
      <c r="V41" s="73" t="s">
        <v>225</v>
      </c>
      <c r="W41" s="57"/>
      <c r="X41" s="149"/>
    </row>
    <row r="42" spans="1:24" x14ac:dyDescent="0.2">
      <c r="A42" s="55"/>
      <c r="B42" s="54"/>
      <c r="C42" s="124"/>
      <c r="D42" s="52"/>
      <c r="E42" s="52"/>
      <c r="F42" s="51"/>
      <c r="G42" s="8"/>
      <c r="H42" s="49"/>
      <c r="I42" s="126"/>
      <c r="J42" s="126"/>
      <c r="K42" s="126"/>
      <c r="L42" s="126"/>
      <c r="M42" s="126"/>
      <c r="N42" s="126"/>
      <c r="O42" s="126"/>
      <c r="P42" s="125"/>
      <c r="Q42" s="46"/>
      <c r="R42" s="124"/>
      <c r="S42" s="45"/>
      <c r="T42" s="46"/>
      <c r="U42" s="124"/>
      <c r="V42" s="123"/>
      <c r="W42" s="122"/>
      <c r="X42" s="40"/>
    </row>
    <row r="43" spans="1:24" x14ac:dyDescent="0.2">
      <c r="H43" s="108"/>
      <c r="I43" s="108"/>
      <c r="J43" s="108"/>
      <c r="K43" s="108"/>
      <c r="L43" s="108"/>
      <c r="M43" s="108"/>
      <c r="N43" s="108"/>
      <c r="O43" s="108"/>
      <c r="P43" s="108"/>
      <c r="X43" s="56"/>
    </row>
    <row r="44" spans="1:24" x14ac:dyDescent="0.2">
      <c r="A44" s="119"/>
      <c r="B44" s="121"/>
      <c r="C44" s="36" t="s">
        <v>201</v>
      </c>
      <c r="D44" s="36"/>
      <c r="E44" s="36"/>
      <c r="F44" s="39">
        <f>SUM(F7:F42)</f>
        <v>97623024.874277085</v>
      </c>
      <c r="H44" s="38">
        <f>SUM(F8*H8+F9*H9+F12*H12+F13*H13+F10*H10+F11*H11+F14*H14+F15*H15+F18*H18+F19*H19+F20*H20+F21*H21+F34*H34+F35*H35+F36*H36+F39*H39+F40*H40+F41*H41)/F44</f>
        <v>3.1871812987923312E-2</v>
      </c>
      <c r="I44" s="37">
        <f t="shared" ref="I44:P44" si="0">SUM(I6:I42)</f>
        <v>11.292886691729322</v>
      </c>
      <c r="J44" s="37">
        <f t="shared" si="0"/>
        <v>11</v>
      </c>
      <c r="K44" s="37">
        <f t="shared" si="0"/>
        <v>16.954899999999999</v>
      </c>
      <c r="L44" s="37">
        <f t="shared" si="0"/>
        <v>19.13</v>
      </c>
      <c r="M44" s="37">
        <f t="shared" si="0"/>
        <v>8.4194151053864168</v>
      </c>
      <c r="N44" s="37">
        <f t="shared" si="0"/>
        <v>7.1</v>
      </c>
      <c r="O44" s="37">
        <f t="shared" si="0"/>
        <v>23.723000000000003</v>
      </c>
      <c r="P44" s="37">
        <f t="shared" si="0"/>
        <v>0</v>
      </c>
      <c r="S44" s="36" t="s">
        <v>201</v>
      </c>
      <c r="T44" s="35" t="e">
        <f>SUM(F8*T8,F9*T9,F11*T11,F18*T18,F19*T19,#REF!*#REF!,-C24*R24,-F28*T28,-F29*T29,-F30*T30)*85%</f>
        <v>#REF!</v>
      </c>
      <c r="U44" s="35" t="e">
        <f>SUM(F8*U8,F9*U9,F11*U11,F18*U18,F19*U19,#REF!*#REF!,C24*U24,F28*U28,F29*U29,F30*U30)</f>
        <v>#REF!</v>
      </c>
      <c r="V44" s="120">
        <f>SUM(I44:P44)</f>
        <v>97.620201797115726</v>
      </c>
      <c r="X44" s="56"/>
    </row>
    <row r="45" spans="1:24" x14ac:dyDescent="0.2">
      <c r="A45" s="119"/>
      <c r="B45" s="118"/>
      <c r="H45" s="32" t="s">
        <v>223</v>
      </c>
      <c r="R45" s="31"/>
      <c r="T45" s="30" t="s">
        <v>199</v>
      </c>
      <c r="X45" s="56"/>
    </row>
    <row r="46" spans="1:24" x14ac:dyDescent="0.2">
      <c r="A46" s="117"/>
      <c r="B46" s="116"/>
      <c r="E46" s="29"/>
      <c r="F46" s="28" t="s">
        <v>222</v>
      </c>
      <c r="G46" s="28"/>
      <c r="H46" s="28"/>
      <c r="I46" s="26">
        <f>I44*1000000/$F$44</f>
        <v>0.11567851647982391</v>
      </c>
      <c r="J46" s="26">
        <f>SUM(I44:J44)*1000000/$F$44</f>
        <v>0.22835685249908011</v>
      </c>
      <c r="K46" s="26">
        <f>SUM(I44:K44)*1000000/$F$44</f>
        <v>0.40203411789661525</v>
      </c>
      <c r="L46" s="26">
        <f>SUM(I44:L44)*1000000/$F$44</f>
        <v>0.59799198771919437</v>
      </c>
      <c r="M46" s="26">
        <f>SUM(I44:M44)*1000000/$F$44</f>
        <v>0.68423614084013373</v>
      </c>
      <c r="N46" s="26">
        <f>SUM(I44:N44)*1000000/$F$44</f>
        <v>0.75696488499801717</v>
      </c>
      <c r="O46" s="26">
        <f>SUM(I44:O44)*1000000/$F$44</f>
        <v>0.99997108185118222</v>
      </c>
      <c r="P46" s="26">
        <f>SUM(I44:P44)*1000000/$F$44</f>
        <v>0.99997108185118222</v>
      </c>
      <c r="X46" s="56"/>
    </row>
    <row r="47" spans="1:24" hidden="1" x14ac:dyDescent="0.2">
      <c r="A47" s="115"/>
      <c r="B47" s="114"/>
      <c r="C47" s="110"/>
      <c r="D47" s="110"/>
      <c r="E47" s="113"/>
      <c r="F47" s="112"/>
      <c r="G47" s="112"/>
      <c r="H47" s="112"/>
      <c r="I47" s="111"/>
      <c r="J47" s="111"/>
      <c r="K47" s="111"/>
      <c r="L47" s="111"/>
      <c r="M47" s="111"/>
      <c r="N47" s="111"/>
      <c r="O47" s="111"/>
      <c r="P47" s="111"/>
      <c r="Q47" s="110"/>
      <c r="R47" s="110"/>
      <c r="S47" s="110"/>
      <c r="T47" s="110"/>
      <c r="U47" s="110"/>
      <c r="V47" s="110"/>
      <c r="W47" s="110"/>
      <c r="X47" s="56"/>
    </row>
    <row r="48" spans="1:24" hidden="1" x14ac:dyDescent="0.2">
      <c r="B48" s="36"/>
      <c r="H48" s="108"/>
      <c r="X48" s="56"/>
    </row>
    <row r="49" spans="1:24" hidden="1" x14ac:dyDescent="0.2">
      <c r="B49" s="109" t="s">
        <v>221</v>
      </c>
      <c r="H49" s="108"/>
      <c r="J49" s="107" t="s">
        <v>220</v>
      </c>
      <c r="X49" s="56"/>
    </row>
    <row r="50" spans="1:24" hidden="1" x14ac:dyDescent="0.2">
      <c r="A50" s="173"/>
      <c r="B50" s="174"/>
      <c r="C50" s="174"/>
      <c r="D50" s="175">
        <v>42460</v>
      </c>
      <c r="E50" s="176"/>
      <c r="F50" s="177"/>
      <c r="G50" s="8"/>
      <c r="H50" s="106" t="s">
        <v>218</v>
      </c>
      <c r="I50" s="184" t="s">
        <v>219</v>
      </c>
      <c r="J50" s="184"/>
      <c r="K50" s="184"/>
      <c r="L50" s="184"/>
      <c r="M50" s="184"/>
      <c r="N50" s="184"/>
      <c r="O50" s="184"/>
      <c r="P50" s="185"/>
      <c r="Q50" s="169" t="s">
        <v>218</v>
      </c>
      <c r="R50" s="180"/>
      <c r="S50" s="170"/>
      <c r="T50" s="169" t="s">
        <v>217</v>
      </c>
      <c r="U50" s="170"/>
      <c r="V50" s="105"/>
      <c r="W50" s="87"/>
      <c r="X50" s="56"/>
    </row>
    <row r="51" spans="1:24" ht="16" hidden="1" x14ac:dyDescent="0.2">
      <c r="A51" s="171" t="s">
        <v>188</v>
      </c>
      <c r="B51" s="172"/>
      <c r="C51" s="103" t="s">
        <v>216</v>
      </c>
      <c r="D51" s="102" t="s">
        <v>215</v>
      </c>
      <c r="E51" s="103" t="s">
        <v>214</v>
      </c>
      <c r="F51" s="101" t="s">
        <v>213</v>
      </c>
      <c r="G51" s="8"/>
      <c r="H51" s="104" t="s">
        <v>212</v>
      </c>
      <c r="I51" s="103">
        <v>1</v>
      </c>
      <c r="J51" s="103">
        <v>2</v>
      </c>
      <c r="K51" s="103">
        <v>5</v>
      </c>
      <c r="L51" s="103">
        <v>10</v>
      </c>
      <c r="M51" s="103">
        <v>30</v>
      </c>
      <c r="N51" s="103">
        <v>60</v>
      </c>
      <c r="O51" s="103">
        <v>180</v>
      </c>
      <c r="P51" s="101">
        <v>360</v>
      </c>
      <c r="Q51" s="102" t="s">
        <v>212</v>
      </c>
      <c r="R51" s="103" t="s">
        <v>211</v>
      </c>
      <c r="S51" s="101" t="s">
        <v>210</v>
      </c>
      <c r="T51" s="102" t="s">
        <v>209</v>
      </c>
      <c r="U51" s="101" t="s">
        <v>208</v>
      </c>
      <c r="V51" s="100" t="s">
        <v>207</v>
      </c>
      <c r="W51" s="99" t="s">
        <v>206</v>
      </c>
      <c r="X51" s="56"/>
    </row>
    <row r="52" spans="1:24" hidden="1" x14ac:dyDescent="0.2">
      <c r="A52" s="98"/>
      <c r="B52" s="97"/>
      <c r="C52" s="89"/>
      <c r="D52" s="96"/>
      <c r="E52" s="96"/>
      <c r="F52" s="95"/>
      <c r="G52" s="8"/>
      <c r="H52" s="94"/>
      <c r="I52" s="93"/>
      <c r="J52" s="93"/>
      <c r="K52" s="93"/>
      <c r="L52" s="93"/>
      <c r="M52" s="93"/>
      <c r="N52" s="93"/>
      <c r="O52" s="93"/>
      <c r="P52" s="92"/>
      <c r="Q52" s="90"/>
      <c r="R52" s="89"/>
      <c r="S52" s="91"/>
      <c r="T52" s="90"/>
      <c r="U52" s="89"/>
      <c r="V52" s="88"/>
      <c r="W52" s="87"/>
      <c r="X52" s="56"/>
    </row>
    <row r="53" spans="1:24" hidden="1" x14ac:dyDescent="0.2">
      <c r="A53" s="70" t="s">
        <v>205</v>
      </c>
      <c r="C53" s="78"/>
      <c r="D53" s="86"/>
      <c r="E53" s="86"/>
      <c r="F53" s="85"/>
      <c r="G53" s="84"/>
      <c r="H53" s="83"/>
      <c r="I53" s="82"/>
      <c r="J53" s="82"/>
      <c r="K53" s="82"/>
      <c r="L53" s="82"/>
      <c r="M53" s="82"/>
      <c r="N53" s="82"/>
      <c r="O53" s="82"/>
      <c r="P53" s="81"/>
      <c r="Q53" s="79"/>
      <c r="R53" s="78"/>
      <c r="S53" s="80"/>
      <c r="T53" s="79"/>
      <c r="U53" s="78"/>
      <c r="V53" s="58"/>
      <c r="W53" s="57"/>
      <c r="X53" s="56"/>
    </row>
    <row r="54" spans="1:24" hidden="1" x14ac:dyDescent="0.2">
      <c r="A54" s="72"/>
      <c r="B54" s="69"/>
      <c r="C54" s="68"/>
      <c r="D54" s="67"/>
      <c r="E54" s="67"/>
      <c r="F54" s="66"/>
      <c r="G54" s="50"/>
      <c r="H54" s="65"/>
      <c r="I54" s="64"/>
      <c r="J54" s="64"/>
      <c r="K54" s="64"/>
      <c r="L54" s="64"/>
      <c r="M54" s="64"/>
      <c r="N54" s="64"/>
      <c r="O54" s="64"/>
      <c r="P54" s="63"/>
      <c r="Q54" s="60"/>
      <c r="R54" s="77"/>
      <c r="S54" s="61"/>
      <c r="T54" s="60"/>
      <c r="U54" s="59"/>
      <c r="V54" s="73"/>
      <c r="W54" s="57"/>
      <c r="X54" s="56"/>
    </row>
    <row r="55" spans="1:24" hidden="1" x14ac:dyDescent="0.2">
      <c r="A55" s="70" t="s">
        <v>204</v>
      </c>
      <c r="B55" s="76"/>
      <c r="C55" s="68"/>
      <c r="D55" s="67"/>
      <c r="E55" s="67"/>
      <c r="F55" s="66"/>
      <c r="G55" s="50"/>
      <c r="H55" s="65"/>
      <c r="I55" s="64"/>
      <c r="J55" s="64"/>
      <c r="K55" s="64"/>
      <c r="L55" s="64"/>
      <c r="M55" s="64"/>
      <c r="N55" s="64"/>
      <c r="O55" s="64"/>
      <c r="P55" s="63"/>
      <c r="Q55" s="62"/>
      <c r="R55" s="68"/>
      <c r="S55" s="61"/>
      <c r="T55" s="62"/>
      <c r="U55" s="68"/>
      <c r="V55" s="73"/>
      <c r="W55" s="57"/>
      <c r="X55" s="56"/>
    </row>
    <row r="56" spans="1:24" hidden="1" x14ac:dyDescent="0.2">
      <c r="A56" s="70" t="s">
        <v>203</v>
      </c>
      <c r="B56" s="76"/>
      <c r="C56" s="75"/>
      <c r="D56" s="67"/>
      <c r="E56" s="67"/>
      <c r="F56" s="66"/>
      <c r="G56" s="50"/>
      <c r="H56" s="65"/>
      <c r="I56" s="64"/>
      <c r="J56" s="64"/>
      <c r="K56" s="64"/>
      <c r="L56" s="64"/>
      <c r="M56" s="64"/>
      <c r="N56" s="64"/>
      <c r="O56" s="64"/>
      <c r="P56" s="63"/>
      <c r="Q56" s="60"/>
      <c r="R56" s="59"/>
      <c r="S56" s="61"/>
      <c r="T56" s="60"/>
      <c r="U56" s="74"/>
      <c r="V56" s="73"/>
      <c r="W56" s="57"/>
      <c r="X56" s="56"/>
    </row>
    <row r="57" spans="1:24" hidden="1" x14ac:dyDescent="0.2">
      <c r="A57" s="72"/>
      <c r="C57" s="68"/>
      <c r="D57" s="67"/>
      <c r="E57" s="67"/>
      <c r="F57" s="71"/>
      <c r="G57" s="50"/>
      <c r="H57" s="65"/>
      <c r="I57" s="64"/>
      <c r="J57" s="64"/>
      <c r="K57" s="64"/>
      <c r="L57" s="64"/>
      <c r="M57" s="64"/>
      <c r="N57" s="64"/>
      <c r="O57" s="64"/>
      <c r="P57" s="63"/>
      <c r="Q57" s="62"/>
      <c r="R57" s="59"/>
      <c r="S57" s="61"/>
      <c r="T57" s="60"/>
      <c r="U57" s="59"/>
      <c r="V57" s="58"/>
      <c r="W57" s="57"/>
      <c r="X57" s="56"/>
    </row>
    <row r="58" spans="1:24" hidden="1" x14ac:dyDescent="0.2">
      <c r="A58" s="70" t="s">
        <v>202</v>
      </c>
      <c r="B58" s="69"/>
      <c r="C58" s="68"/>
      <c r="D58" s="67"/>
      <c r="E58" s="67"/>
      <c r="F58" s="66"/>
      <c r="G58" s="50"/>
      <c r="H58" s="65"/>
      <c r="I58" s="64"/>
      <c r="J58" s="64"/>
      <c r="K58" s="64"/>
      <c r="L58" s="64"/>
      <c r="M58" s="64"/>
      <c r="N58" s="64"/>
      <c r="O58" s="64"/>
      <c r="P58" s="63"/>
      <c r="Q58" s="62"/>
      <c r="R58" s="59"/>
      <c r="S58" s="61"/>
      <c r="T58" s="60"/>
      <c r="U58" s="59"/>
      <c r="V58" s="58"/>
      <c r="W58" s="57"/>
      <c r="X58" s="56"/>
    </row>
    <row r="59" spans="1:24" hidden="1" x14ac:dyDescent="0.2">
      <c r="A59" s="55"/>
      <c r="B59" s="54"/>
      <c r="C59" s="53"/>
      <c r="D59" s="52"/>
      <c r="E59" s="52"/>
      <c r="F59" s="51"/>
      <c r="G59" s="50"/>
      <c r="H59" s="49"/>
      <c r="I59" s="48"/>
      <c r="J59" s="48"/>
      <c r="K59" s="48"/>
      <c r="L59" s="48"/>
      <c r="M59" s="48"/>
      <c r="N59" s="48"/>
      <c r="O59" s="48"/>
      <c r="P59" s="47"/>
      <c r="Q59" s="46"/>
      <c r="R59" s="43"/>
      <c r="S59" s="45"/>
      <c r="T59" s="44"/>
      <c r="U59" s="43"/>
      <c r="V59" s="42"/>
      <c r="W59" s="41"/>
      <c r="X59" s="40"/>
    </row>
    <row r="60" spans="1:24" hidden="1" x14ac:dyDescent="0.2"/>
    <row r="61" spans="1:24" hidden="1" x14ac:dyDescent="0.2">
      <c r="C61" s="36" t="s">
        <v>201</v>
      </c>
      <c r="D61" s="36"/>
      <c r="E61" s="36"/>
      <c r="F61" s="39">
        <f>SUM(F44,F10:F60)</f>
        <v>283670864.62283128</v>
      </c>
      <c r="H61" s="38">
        <f>SUM(F8*H8+F9*H9+F12*H12+F18*H18+F19*H19+F34*H34+F39*H39+F13*H13+F10*H10+F11*H11+F14*H14+F15*H15+F20*H20+F21*H21+F35*H35+F36*H36+F40*H40+F41*H41)/F61</f>
        <v>1.0968425665587095E-2</v>
      </c>
      <c r="I61" s="37">
        <f t="shared" ref="I61:P61" si="1">SUM(I10:I58,I44)</f>
        <v>30.84712859166779</v>
      </c>
      <c r="J61" s="37">
        <f t="shared" si="1"/>
        <v>31.228356852499079</v>
      </c>
      <c r="K61" s="37">
        <f t="shared" si="1"/>
        <v>55.215734117896616</v>
      </c>
      <c r="L61" s="37">
        <f t="shared" si="1"/>
        <v>67.987991987719198</v>
      </c>
      <c r="M61" s="37">
        <f t="shared" si="1"/>
        <v>55.942481456999388</v>
      </c>
      <c r="N61" s="37">
        <f t="shared" si="1"/>
        <v>82.05696488499801</v>
      </c>
      <c r="O61" s="37">
        <f t="shared" si="1"/>
        <v>252.1689710818512</v>
      </c>
      <c r="P61" s="37">
        <f t="shared" si="1"/>
        <v>360.99997108185119</v>
      </c>
      <c r="S61" s="36" t="s">
        <v>201</v>
      </c>
      <c r="T61" s="35" t="e">
        <f>SUM(F26*T26,F27*T27,F76*T76,F31*T31,F32*T32,#REF!*#REF!,-C85*R85,-F89*T89,-F90*T90,-F91*T91)*85%</f>
        <v>#VALUE!</v>
      </c>
      <c r="U61" s="35" t="e">
        <f>SUM(F26*U26,F27*U27,F76*U76,F31*U31,F32*U32,#REF!*#REF!,C85*U85,F89*U89,F90*U90,F91*U91)</f>
        <v>#REF!</v>
      </c>
      <c r="V61" s="34"/>
      <c r="W61" s="33">
        <f>F61-SUM(F24:F31)</f>
        <v>282668041.54566991</v>
      </c>
    </row>
    <row r="62" spans="1:24" hidden="1" x14ac:dyDescent="0.2">
      <c r="H62" s="32" t="s">
        <v>200</v>
      </c>
      <c r="R62" s="31"/>
      <c r="T62" s="30" t="s">
        <v>199</v>
      </c>
    </row>
    <row r="63" spans="1:24" hidden="1" x14ac:dyDescent="0.2">
      <c r="E63" s="29"/>
      <c r="F63" s="28" t="s">
        <v>198</v>
      </c>
      <c r="G63" s="28"/>
      <c r="H63" s="27" t="s">
        <v>197</v>
      </c>
      <c r="I63" s="26">
        <f>I61*1000000/$W$61</f>
        <v>0.10912846186286645</v>
      </c>
      <c r="J63" s="26">
        <f>SUM(I61:J61)*1000000/$W$61</f>
        <v>0.21960560205083354</v>
      </c>
      <c r="K63" s="26">
        <f>SUM(I61:K61)*1000000/$W$61</f>
        <v>0.41494333395702626</v>
      </c>
      <c r="L63" s="26">
        <f>SUM(I61:L61)*1000000/$W$61</f>
        <v>0.6554657206263893</v>
      </c>
      <c r="M63" s="26">
        <f>SUM(I61:M61)*1000000/$W$61</f>
        <v>0.85337448014196027</v>
      </c>
      <c r="N63" s="26">
        <f>SUM(I61:N61)*1000000/$W$61</f>
        <v>1.1436689345001487</v>
      </c>
      <c r="O63" s="26">
        <f>SUM(I61:O61)*1000000/$W$61</f>
        <v>2.0357718043645825</v>
      </c>
      <c r="P63" s="26">
        <f>SUM(I61:P61)*1000000/$W$61</f>
        <v>3.3128881317281249</v>
      </c>
    </row>
    <row r="64" spans="1:24" hidden="1" x14ac:dyDescent="0.2">
      <c r="D64" s="23"/>
      <c r="E64" s="23"/>
      <c r="F64" s="25" t="s">
        <v>196</v>
      </c>
      <c r="G64" s="23"/>
      <c r="H64" s="24">
        <v>1.8871091869209333E-2</v>
      </c>
      <c r="I64" s="23">
        <v>0.16999652836372298</v>
      </c>
      <c r="J64" s="23">
        <v>0.36932868808084701</v>
      </c>
      <c r="K64" s="23">
        <v>0.59700403853880257</v>
      </c>
      <c r="L64" s="23">
        <v>0.78165665896554992</v>
      </c>
      <c r="M64" s="23">
        <v>0.86250280794110623</v>
      </c>
      <c r="N64" s="23">
        <v>0.91000183792508771</v>
      </c>
      <c r="O64" s="23">
        <v>0.99999999999999989</v>
      </c>
      <c r="P64" s="23">
        <v>0.99999999999999989</v>
      </c>
    </row>
    <row r="65" spans="4:16" hidden="1" x14ac:dyDescent="0.2">
      <c r="I65" s="22" t="s">
        <v>194</v>
      </c>
      <c r="J65" s="22" t="s">
        <v>194</v>
      </c>
      <c r="K65" s="22" t="s">
        <v>195</v>
      </c>
      <c r="L65" s="22" t="s">
        <v>194</v>
      </c>
      <c r="M65" s="22" t="s">
        <v>194</v>
      </c>
      <c r="N65" s="22" t="s">
        <v>194</v>
      </c>
      <c r="O65" s="22" t="s">
        <v>193</v>
      </c>
      <c r="P65" s="22" t="s">
        <v>193</v>
      </c>
    </row>
    <row r="66" spans="4:16" hidden="1" x14ac:dyDescent="0.2">
      <c r="D66" s="21" t="s">
        <v>192</v>
      </c>
      <c r="E66" s="21"/>
      <c r="F66" s="21"/>
      <c r="G66" s="21"/>
      <c r="H66" s="21"/>
      <c r="I66" s="21"/>
    </row>
    <row r="67" spans="4:16" ht="30" hidden="1" customHeight="1" x14ac:dyDescent="0.2">
      <c r="D67" s="181" t="s">
        <v>191</v>
      </c>
      <c r="E67" s="182"/>
      <c r="F67" s="182"/>
      <c r="G67" s="182"/>
      <c r="H67" s="182"/>
      <c r="I67" s="182"/>
      <c r="J67" s="182"/>
      <c r="K67" s="182"/>
      <c r="L67" s="182"/>
      <c r="M67" s="182"/>
      <c r="N67" s="182"/>
      <c r="O67" s="182"/>
      <c r="P67" s="183"/>
    </row>
  </sheetData>
  <mergeCells count="13">
    <mergeCell ref="D67:P67"/>
    <mergeCell ref="A50:C50"/>
    <mergeCell ref="D50:F50"/>
    <mergeCell ref="I50:P50"/>
    <mergeCell ref="Q50:S50"/>
    <mergeCell ref="T50:U50"/>
    <mergeCell ref="A51:B51"/>
    <mergeCell ref="A4:C4"/>
    <mergeCell ref="D4:F4"/>
    <mergeCell ref="I4:P4"/>
    <mergeCell ref="Q4:S4"/>
    <mergeCell ref="T4:U4"/>
    <mergeCell ref="A5:B5"/>
  </mergeCells>
  <pageMargins left="0.45" right="0.45" top="0.5" bottom="0.5" header="0.3" footer="0.3"/>
  <pageSetup scale="57" orientation="landscape" horizontalDpi="4294967294"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508B7-FD7F-5B4E-850A-D2F784375BB7}">
  <sheetPr>
    <tabColor rgb="FFFFFF00"/>
  </sheetPr>
  <dimension ref="B1:C41"/>
  <sheetViews>
    <sheetView workbookViewId="0"/>
  </sheetViews>
  <sheetFormatPr baseColWidth="10" defaultRowHeight="26" x14ac:dyDescent="0.3"/>
  <cols>
    <col min="1" max="2" width="10.83203125" style="13"/>
    <col min="3" max="3" width="133.83203125" style="13" customWidth="1"/>
    <col min="4" max="16384" width="10.83203125" style="13"/>
  </cols>
  <sheetData>
    <row r="1" spans="2:3" ht="27" thickBot="1" x14ac:dyDescent="0.35"/>
    <row r="2" spans="2:3" ht="27" thickBot="1" x14ac:dyDescent="0.35">
      <c r="B2" s="154" t="s">
        <v>190</v>
      </c>
      <c r="C2" s="153" t="s">
        <v>318</v>
      </c>
    </row>
    <row r="3" spans="2:3" ht="51" x14ac:dyDescent="0.3">
      <c r="B3" s="164" t="s">
        <v>188</v>
      </c>
      <c r="C3" s="17" t="s">
        <v>317</v>
      </c>
    </row>
    <row r="4" spans="2:3" ht="51" x14ac:dyDescent="0.3">
      <c r="B4" s="168"/>
      <c r="C4" s="17" t="s">
        <v>316</v>
      </c>
    </row>
    <row r="5" spans="2:3" x14ac:dyDescent="0.3">
      <c r="B5" s="168"/>
      <c r="C5" s="17" t="s">
        <v>315</v>
      </c>
    </row>
    <row r="6" spans="2:3" x14ac:dyDescent="0.3">
      <c r="B6" s="168"/>
      <c r="C6" s="16" t="s">
        <v>314</v>
      </c>
    </row>
    <row r="7" spans="2:3" ht="68" x14ac:dyDescent="0.3">
      <c r="B7" s="168"/>
      <c r="C7" s="16" t="s">
        <v>321</v>
      </c>
    </row>
    <row r="8" spans="2:3" x14ac:dyDescent="0.3">
      <c r="B8" s="168"/>
      <c r="C8" s="16" t="s">
        <v>313</v>
      </c>
    </row>
    <row r="9" spans="2:3" ht="54" x14ac:dyDescent="0.3">
      <c r="B9" s="168"/>
      <c r="C9" s="16" t="s">
        <v>312</v>
      </c>
    </row>
    <row r="10" spans="2:3" x14ac:dyDescent="0.3">
      <c r="B10" s="168"/>
      <c r="C10" s="16" t="s">
        <v>311</v>
      </c>
    </row>
    <row r="11" spans="2:3" ht="51" x14ac:dyDescent="0.3">
      <c r="B11" s="168"/>
      <c r="C11" s="16" t="s">
        <v>319</v>
      </c>
    </row>
    <row r="12" spans="2:3" x14ac:dyDescent="0.3">
      <c r="B12" s="168"/>
      <c r="C12" s="16" t="s">
        <v>310</v>
      </c>
    </row>
    <row r="13" spans="2:3" ht="52" thickBot="1" x14ac:dyDescent="0.35">
      <c r="B13" s="168"/>
      <c r="C13" s="152" t="s">
        <v>320</v>
      </c>
    </row>
    <row r="14" spans="2:3" ht="34" x14ac:dyDescent="0.3">
      <c r="B14" s="164" t="s">
        <v>186</v>
      </c>
      <c r="C14" s="17" t="s">
        <v>309</v>
      </c>
    </row>
    <row r="15" spans="2:3" x14ac:dyDescent="0.3">
      <c r="B15" s="168"/>
      <c r="C15" s="151"/>
    </row>
    <row r="16" spans="2:3" x14ac:dyDescent="0.3">
      <c r="B16" s="168"/>
      <c r="C16" s="16" t="s">
        <v>308</v>
      </c>
    </row>
    <row r="17" spans="2:3" x14ac:dyDescent="0.3">
      <c r="B17" s="168"/>
      <c r="C17" s="16" t="s">
        <v>307</v>
      </c>
    </row>
    <row r="18" spans="2:3" x14ac:dyDescent="0.3">
      <c r="B18" s="168"/>
      <c r="C18" s="16" t="s">
        <v>306</v>
      </c>
    </row>
    <row r="19" spans="2:3" ht="27" thickBot="1" x14ac:dyDescent="0.35">
      <c r="B19" s="168"/>
      <c r="C19" s="16" t="s">
        <v>305</v>
      </c>
    </row>
    <row r="20" spans="2:3" x14ac:dyDescent="0.3">
      <c r="B20" s="164" t="s">
        <v>180</v>
      </c>
      <c r="C20" s="164" t="s">
        <v>304</v>
      </c>
    </row>
    <row r="21" spans="2:3" x14ac:dyDescent="0.3">
      <c r="B21" s="168"/>
      <c r="C21" s="168"/>
    </row>
    <row r="22" spans="2:3" x14ac:dyDescent="0.3">
      <c r="B22" s="168"/>
      <c r="C22" s="168"/>
    </row>
    <row r="23" spans="2:3" x14ac:dyDescent="0.3">
      <c r="B23" s="168"/>
      <c r="C23" s="168"/>
    </row>
    <row r="24" spans="2:3" ht="27" thickBot="1" x14ac:dyDescent="0.35">
      <c r="B24" s="168"/>
      <c r="C24" s="165"/>
    </row>
    <row r="25" spans="2:3" x14ac:dyDescent="0.3">
      <c r="B25" s="168"/>
      <c r="C25" s="164" t="s">
        <v>303</v>
      </c>
    </row>
    <row r="26" spans="2:3" x14ac:dyDescent="0.3">
      <c r="B26" s="168"/>
      <c r="C26" s="168"/>
    </row>
    <row r="27" spans="2:3" x14ac:dyDescent="0.3">
      <c r="B27" s="168"/>
      <c r="C27" s="168"/>
    </row>
    <row r="28" spans="2:3" x14ac:dyDescent="0.3">
      <c r="B28" s="168"/>
      <c r="C28" s="168"/>
    </row>
    <row r="29" spans="2:3" x14ac:dyDescent="0.3">
      <c r="B29" s="168"/>
      <c r="C29" s="168"/>
    </row>
    <row r="30" spans="2:3" x14ac:dyDescent="0.3">
      <c r="B30" s="168"/>
      <c r="C30" s="168"/>
    </row>
    <row r="31" spans="2:3" ht="27" thickBot="1" x14ac:dyDescent="0.35">
      <c r="B31" s="168"/>
      <c r="C31" s="165"/>
    </row>
    <row r="32" spans="2:3" x14ac:dyDescent="0.3">
      <c r="B32" s="168"/>
      <c r="C32" s="164" t="s">
        <v>302</v>
      </c>
    </row>
    <row r="33" spans="2:3" x14ac:dyDescent="0.3">
      <c r="B33" s="168"/>
      <c r="C33" s="168"/>
    </row>
    <row r="34" spans="2:3" x14ac:dyDescent="0.3">
      <c r="B34" s="168"/>
      <c r="C34" s="168"/>
    </row>
    <row r="35" spans="2:3" x14ac:dyDescent="0.3">
      <c r="B35" s="168"/>
      <c r="C35" s="168"/>
    </row>
    <row r="36" spans="2:3" ht="27" thickBot="1" x14ac:dyDescent="0.35">
      <c r="B36" s="168"/>
      <c r="C36" s="165"/>
    </row>
    <row r="37" spans="2:3" x14ac:dyDescent="0.3">
      <c r="B37" s="168"/>
      <c r="C37" s="164" t="s">
        <v>301</v>
      </c>
    </row>
    <row r="38" spans="2:3" x14ac:dyDescent="0.3">
      <c r="B38" s="168"/>
      <c r="C38" s="168"/>
    </row>
    <row r="39" spans="2:3" x14ac:dyDescent="0.3">
      <c r="B39" s="168"/>
      <c r="C39" s="168"/>
    </row>
    <row r="40" spans="2:3" x14ac:dyDescent="0.3">
      <c r="B40" s="168"/>
      <c r="C40" s="168"/>
    </row>
    <row r="41" spans="2:3" ht="27" thickBot="1" x14ac:dyDescent="0.35">
      <c r="B41" s="165"/>
      <c r="C41" s="165"/>
    </row>
  </sheetData>
  <mergeCells count="7">
    <mergeCell ref="B3:B13"/>
    <mergeCell ref="B14:B19"/>
    <mergeCell ref="B20:B41"/>
    <mergeCell ref="C20:C24"/>
    <mergeCell ref="C25:C31"/>
    <mergeCell ref="C32:C36"/>
    <mergeCell ref="C37:C4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Class13</vt:lpstr>
      <vt:lpstr>FinalExamReview</vt:lpstr>
      <vt:lpstr>FinalExam_EssayBank</vt:lpstr>
      <vt:lpstr>FinancialCrisisHistory</vt:lpstr>
      <vt:lpstr>LG_Reading</vt:lpstr>
      <vt:lpstr>LG_GoldmanTestimony</vt:lpstr>
      <vt:lpstr>LG_LehmanDocumentation</vt:lpstr>
      <vt:lpstr>LG_WinLose</vt:lpstr>
      <vt:lpstr>LG_DoneBetter</vt:lpstr>
      <vt:lpstr>LG_Lessons</vt:lpstr>
      <vt:lpstr>StressTesting</vt:lpstr>
      <vt:lpstr>O_Discussion</vt:lpstr>
      <vt:lpstr>Question1</vt:lpstr>
      <vt:lpstr>Vanderbilt_Portfolio</vt:lpstr>
      <vt:lpstr>Vanderbilt_Portfolio_Stressed</vt:lpstr>
      <vt:lpstr>Question2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2017-06-30T14:38:47Z</dcterms:created>
  <dcterms:modified xsi:type="dcterms:W3CDTF">2023-01-16T15:42:13Z</dcterms:modified>
</cp:coreProperties>
</file>