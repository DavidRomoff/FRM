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09"/>
  <workbookPr/>
  <mc:AlternateContent xmlns:mc="http://schemas.openxmlformats.org/markup-compatibility/2006">
    <mc:Choice Requires="x15">
      <x15ac:absPath xmlns:x15ac="http://schemas.microsoft.com/office/spreadsheetml/2010/11/ac" url="/Users/davidromoff/Downloads/"/>
    </mc:Choice>
  </mc:AlternateContent>
  <xr:revisionPtr revIDLastSave="0" documentId="13_ncr:1_{F4DDEEFA-5F4D-BE4B-AAB1-677FB179FCFA}" xr6:coauthVersionLast="47" xr6:coauthVersionMax="47" xr10:uidLastSave="{00000000-0000-0000-0000-000000000000}"/>
  <bookViews>
    <workbookView xWindow="10240" yWindow="-18060" windowWidth="28800" windowHeight="16260" tabRatio="500" xr2:uid="{00000000-000D-0000-FFFF-FFFF00000000}"/>
  </bookViews>
  <sheets>
    <sheet name="Class13" sheetId="3" r:id="rId1"/>
    <sheet name="FinalExamReview" sheetId="27" r:id="rId2"/>
    <sheet name="FinalExam_EssayBank" sheetId="28" r:id="rId3"/>
    <sheet name="FinancialCrisisHistory" sheetId="29" r:id="rId4"/>
    <sheet name="LG_Reading" sheetId="26" r:id="rId5"/>
    <sheet name="LG_GoldmanTestimony" sheetId="12" r:id="rId6"/>
    <sheet name="LG_LehmanDocumentation" sheetId="18" r:id="rId7"/>
    <sheet name="LG_WinLose" sheetId="19" r:id="rId8"/>
    <sheet name="LG_DoneBetter" sheetId="20" r:id="rId9"/>
    <sheet name="LG_Lessons" sheetId="21" r:id="rId10"/>
    <sheet name="StressTesting" sheetId="11" r:id="rId11"/>
    <sheet name="O_Discussion" sheetId="16" r:id="rId12"/>
    <sheet name="Question1" sheetId="22" state="hidden" r:id="rId13"/>
    <sheet name="Vanderbilt_Portfolio" sheetId="23" state="hidden" r:id="rId14"/>
    <sheet name="Vanderbilt_Portfolio_Stressed" sheetId="24" state="hidden" r:id="rId15"/>
    <sheet name="Question2" sheetId="25" state="hidden" r:id="rId16"/>
  </sheets>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s>
  <definedNames>
    <definedName name="a" localSheetId="3">[1]Liquidity_VaR!$B$7:$B$23</definedName>
    <definedName name="a">[2]Liquidity_VaR!$B$7:$B$23</definedName>
    <definedName name="AccrualPMT">[3]CDS!$I$21:$I$25</definedName>
    <definedName name="alan">[4]Excel!$C$10</definedName>
    <definedName name="alpha" localSheetId="3">[1]Liquidity_VaR!$G$28</definedName>
    <definedName name="alpha">[2]Liquidity_VaR!$G$28</definedName>
    <definedName name="bid" localSheetId="3">[1]Liquidity_VaR!$C$7:$C$23</definedName>
    <definedName name="bid">[2]Liquidity_VaR!$C$7:$C$23</definedName>
    <definedName name="Bond_Value" localSheetId="3">#REF!</definedName>
    <definedName name="Bond_Value">#REF!</definedName>
    <definedName name="Bond_Value_" localSheetId="3">#REF!</definedName>
    <definedName name="Bond_Value_">#REF!</definedName>
    <definedName name="C_">[5]OptionsHW!$C$20:$E$20</definedName>
    <definedName name="Cd">[6]Options2!#REF!</definedName>
    <definedName name="Change">[4]VaR0!#REF!</definedName>
    <definedName name="CI" localSheetId="3">#REF!</definedName>
    <definedName name="CI">#REF!</definedName>
    <definedName name="CI_lo" localSheetId="3">#REF!</definedName>
    <definedName name="CI_lo">#REF!</definedName>
    <definedName name="contracts">[5]OptionsHW!$C$26:$E$26</definedName>
    <definedName name="CouponPmt" localSheetId="3">#REF!</definedName>
    <definedName name="CouponPmt">#REF!</definedName>
    <definedName name="CouponRate" localSheetId="3">#REF!</definedName>
    <definedName name="CouponRate">#REF!</definedName>
    <definedName name="Cu" localSheetId="3">[6]Options2!#REF!</definedName>
    <definedName name="Cu">[6]Options2!#REF!</definedName>
    <definedName name="d">[6]Options2!$C$7</definedName>
    <definedName name="d1_" localSheetId="3">#REF!</definedName>
    <definedName name="d1_">#REF!</definedName>
    <definedName name="d2_" localSheetId="3">#REF!</definedName>
    <definedName name="d2_">#REF!</definedName>
    <definedName name="dollar_rate">[7]FX_Intro!$C$67</definedName>
    <definedName name="Eloss">[3]Spread2PD!$C$16</definedName>
    <definedName name="Epayoff">[3]CDS!$E$21:$E$25</definedName>
    <definedName name="Face" localSheetId="3">#REF!</definedName>
    <definedName name="Face">#REF!</definedName>
    <definedName name="forward_rate">[7]FX_Intro!$C$68</definedName>
    <definedName name="Frequency" localSheetId="3">#REF!</definedName>
    <definedName name="Frequency">#REF!</definedName>
    <definedName name="hazard">[3]CDS!$B$7:$B$7</definedName>
    <definedName name="K">[5]OptionsHW!$C$3</definedName>
    <definedName name="Loss">[3]Spread2PD!$E$40:$E$44</definedName>
    <definedName name="loss_30" localSheetId="3">#REF!</definedName>
    <definedName name="loss_30">#REF!</definedName>
    <definedName name="loss_t" localSheetId="3">#REF!</definedName>
    <definedName name="loss_t">#REF!</definedName>
    <definedName name="lossAmount">[3]Spread2PD!$G$45</definedName>
    <definedName name="Mean" localSheetId="3">#REF!</definedName>
    <definedName name="Mean">#REF!</definedName>
    <definedName name="midprice" localSheetId="3">[1]Liquidity_VaR!$E$7:$E$23</definedName>
    <definedName name="midprice">[2]Liquidity_VaR!$E$7:$E$23</definedName>
    <definedName name="mu" localSheetId="3">[1]Liquidity_VaR!$G$25</definedName>
    <definedName name="mu">[2]Liquidity_VaR!$G$25</definedName>
    <definedName name="n" localSheetId="3">#REF!</definedName>
    <definedName name="n">#REF!</definedName>
    <definedName name="n_" localSheetId="3">#REF!</definedName>
    <definedName name="n_">#REF!</definedName>
    <definedName name="N__d1">[5]OptionsHW!$C$14:$E$14</definedName>
    <definedName name="N__d2">[5]OptionsHW!$C$15:$E$15</definedName>
    <definedName name="N_d1">[5]OptionsHW!$C$12:$E$12</definedName>
    <definedName name="N_d2">[5]OptionsHW!$C$13:$E$13</definedName>
    <definedName name="notional">[5]OptionsHW!$C$25:$E$25</definedName>
    <definedName name="offer" localSheetId="3">[1]Liquidity_VaR!$D$7:$D$23</definedName>
    <definedName name="offer">[2]Liquidity_VaR!$D$7:$D$23</definedName>
    <definedName name="p">[8]Bond!$F$6</definedName>
    <definedName name="PD">[3]CDS!$C$21:$C$25</definedName>
    <definedName name="Period" localSheetId="3">#REF!</definedName>
    <definedName name="Period">#REF!</definedName>
    <definedName name="peso_rate">[7]FX_Intro!$C$66</definedName>
    <definedName name="pmt" localSheetId="3">#REF!</definedName>
    <definedName name="pmt">#REF!</definedName>
    <definedName name="pmt_" localSheetId="3">#REF!</definedName>
    <definedName name="pmt_">#REF!</definedName>
    <definedName name="pmtperyear">[8]Bond!$C$6</definedName>
    <definedName name="pmts">[8]Bond!$E$12:$E$25</definedName>
    <definedName name="Price">[4]VaR0!#REF!</definedName>
    <definedName name="PS">[3]CDS!$C$11:$C$15</definedName>
    <definedName name="PV">[3]CDS!$E$11:$E$15</definedName>
    <definedName name="PV_">[3]CDS!$F$21:$F$25</definedName>
    <definedName name="pv_rf">[3]Spread2PD!$F$20:$F$29</definedName>
    <definedName name="pv_rf_">[3]Spread2PD!$F$40:$F$44</definedName>
    <definedName name="pv2_">[8]Dur2!$G$12:$G$25</definedName>
    <definedName name="PVA">[8]InstallmentLoan!$F$3</definedName>
    <definedName name="PVPMT_A">[3]CDS!$J$21:$J$25</definedName>
    <definedName name="q" localSheetId="3">#REF!</definedName>
    <definedName name="q">#REF!</definedName>
    <definedName name="R_">[3]CDS!$D$21:$D$25</definedName>
    <definedName name="rate">[3]CDS!$C$7</definedName>
    <definedName name="rated">[5]fxHW!$F$4:$H$4</definedName>
    <definedName name="ratef">[5]fxHW!$F$5:$H$5</definedName>
    <definedName name="RatingLast">[9]CreditMatrix!$D$10:$D$109</definedName>
    <definedName name="RatingNow">[9]CreditMatrix!$E$10:$E$109</definedName>
    <definedName name="ratingsTbl">[9]CreditMatrix!$B$2:$C$7</definedName>
    <definedName name="Recovery">[3]Spread2PD!$D$40:$D$44</definedName>
    <definedName name="s" localSheetId="3">[1]Liquidity_VaR!$G$7:$G$23</definedName>
    <definedName name="s">[2]Liquidity_VaR!$G$7:$G$23</definedName>
    <definedName name="S0" localSheetId="3">#REF!</definedName>
    <definedName name="S0">#REF!</definedName>
    <definedName name="S0_e_qt">[5]OptionsHW!$C$17:$E$17</definedName>
    <definedName name="SD" localSheetId="3">#REF!</definedName>
    <definedName name="SD">#REF!</definedName>
    <definedName name="Shares" localSheetId="3">[1]Liquidity_VaR!$I$7:$I$23</definedName>
    <definedName name="Shares">[2]Liquidity_VaR!$I$7:$I$23</definedName>
    <definedName name="sigma" localSheetId="3">[1]Liquidity_VaR!$G$26</definedName>
    <definedName name="sigma">[2]Liquidity_VaR!$G$26</definedName>
    <definedName name="simS" localSheetId="3">[1]Liquidity_VaR!$G$29</definedName>
    <definedName name="simS">[2]Liquidity_VaR!$G$29</definedName>
    <definedName name="sims_a">[10]VaR1!$I$17:$I$37</definedName>
    <definedName name="sims_h">[10]VaR1!$H$17:$H$37</definedName>
    <definedName name="simSpread" localSheetId="3">[1]Liquidity_VaR!$J$7:$J$23</definedName>
    <definedName name="simSpread">[2]Liquidity_VaR!$J$7:$J$23</definedName>
    <definedName name="simSpreadPerShare" localSheetId="3">[1]Liquidity_VaR!$H$7:$H$23</definedName>
    <definedName name="simSpreadPerShare">[2]Liquidity_VaR!$H$7:$H$23</definedName>
    <definedName name="Spot">[5]fxHW!$F$3:$H$3</definedName>
    <definedName name="spread" localSheetId="3">[1]Liquidity_VaR!$F$7:$F$23</definedName>
    <definedName name="spread">[2]Liquidity_VaR!$F$7:$F$23</definedName>
    <definedName name="SpreadVaR" localSheetId="3">#REF!</definedName>
    <definedName name="SpreadVaR">#REF!</definedName>
    <definedName name="StartingPortfolio">[3]ExporeInf!$C$29:$H$29</definedName>
    <definedName name="t">[3]CDS!$B$11:$B$15</definedName>
    <definedName name="t_">[3]CDS!$B$21:$B$25</definedName>
    <definedName name="table_asf">[11]ASF!$C$31:$D$34</definedName>
    <definedName name="Time" localSheetId="3">#REF!</definedName>
    <definedName name="Time">#REF!</definedName>
    <definedName name="Time_">[3]Spread2PD!$B$40:$B$44</definedName>
    <definedName name="tmat">[3]ExporeInf!$C$3:$H$8</definedName>
    <definedName name="tmat12" localSheetId="3">#REF!</definedName>
    <definedName name="tmat12">#REF!</definedName>
    <definedName name="tmat5">[3]ExporeInf!$C$12:$H$17</definedName>
    <definedName name="tmatInf">[3]ExporeInf!$C$21:$H$26</definedName>
    <definedName name="u">[6]Options2!$C$6</definedName>
    <definedName name="usd_peso">[7]FX_Intro!$C$65</definedName>
    <definedName name="v" localSheetId="3">#REF!</definedName>
    <definedName name="v">#REF!</definedName>
    <definedName name="value">[8]Curve0!$E$26</definedName>
    <definedName name="value_01">[8]Dur2!$I$12</definedName>
    <definedName name="value_lo" localSheetId="3">#REF!</definedName>
    <definedName name="value_lo">#REF!</definedName>
    <definedName name="value_rf_">[3]Spread2PD!$C$40:$C$44</definedName>
    <definedName name="weight">[9]CreditMatrix_Weighted!$F$10:$F$109</definedName>
    <definedName name="X" localSheetId="3">#REF!</definedName>
    <definedName name="X">#REF!</definedName>
    <definedName name="X_e_rt">[5]OptionsHW!$C$18:$E$18</definedName>
    <definedName name="y">[8]Bond!$C$8</definedName>
    <definedName name="years">[8]Bond!$C$7</definedName>
    <definedName name="YTM" localSheetId="3">#REF!</definedName>
    <definedName name="YTM">#REF!</definedName>
    <definedName name="YTM_rf" localSheetId="3">#REF!</definedName>
    <definedName name="YTM_rf">#REF!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F8" i="24" l="1"/>
  <c r="I8" i="24" s="1"/>
  <c r="F9" i="24"/>
  <c r="K9" i="24" s="1"/>
  <c r="F10" i="24"/>
  <c r="K10" i="24"/>
  <c r="F11" i="24"/>
  <c r="I11" i="24"/>
  <c r="F12" i="24"/>
  <c r="L12" i="24"/>
  <c r="F13" i="24"/>
  <c r="O13" i="24"/>
  <c r="F14" i="24"/>
  <c r="L14" i="24"/>
  <c r="F15" i="24"/>
  <c r="L15" i="24"/>
  <c r="D18" i="24"/>
  <c r="F18" i="24"/>
  <c r="K18" i="24" s="1"/>
  <c r="D19" i="24"/>
  <c r="F19" i="24" s="1"/>
  <c r="D20" i="24"/>
  <c r="F20" i="24" s="1"/>
  <c r="M20" i="24" s="1"/>
  <c r="D21" i="24"/>
  <c r="F21" i="24" s="1"/>
  <c r="K21" i="24" s="1"/>
  <c r="F24" i="24"/>
  <c r="F25" i="24"/>
  <c r="D28" i="24"/>
  <c r="F28" i="24"/>
  <c r="D29" i="24"/>
  <c r="F29" i="24" s="1"/>
  <c r="D30" i="24"/>
  <c r="F30" i="24" s="1"/>
  <c r="D31" i="24"/>
  <c r="F31" i="24" s="1"/>
  <c r="D34" i="24"/>
  <c r="F34" i="24"/>
  <c r="O34" i="24" s="1"/>
  <c r="D35" i="24"/>
  <c r="C35" i="24" s="1"/>
  <c r="O35" i="24"/>
  <c r="D36" i="24"/>
  <c r="C36" i="24" s="1"/>
  <c r="O36" i="24"/>
  <c r="F39" i="24"/>
  <c r="N39" i="24" s="1"/>
  <c r="F40" i="24"/>
  <c r="O40" i="24"/>
  <c r="F41" i="24"/>
  <c r="O41" i="24" s="1"/>
  <c r="J44" i="24"/>
  <c r="P44" i="24"/>
  <c r="F8" i="23"/>
  <c r="I8" i="23" s="1"/>
  <c r="I44" i="23" s="1"/>
  <c r="F9" i="23"/>
  <c r="K9" i="23" s="1"/>
  <c r="F10" i="23"/>
  <c r="M10" i="23" s="1"/>
  <c r="F11" i="23"/>
  <c r="K11" i="23" s="1"/>
  <c r="F12" i="23"/>
  <c r="J12" i="23" s="1"/>
  <c r="F13" i="23"/>
  <c r="K13" i="23" s="1"/>
  <c r="F14" i="23"/>
  <c r="K14" i="23" s="1"/>
  <c r="F15" i="23"/>
  <c r="K15" i="23" s="1"/>
  <c r="F18" i="23"/>
  <c r="J18" i="23" s="1"/>
  <c r="F19" i="23"/>
  <c r="J19" i="23"/>
  <c r="K19" i="23"/>
  <c r="F20" i="23"/>
  <c r="L20" i="23" s="1"/>
  <c r="L44" i="23" s="1"/>
  <c r="F21" i="23"/>
  <c r="K21" i="23"/>
  <c r="F24" i="23"/>
  <c r="F25" i="23"/>
  <c r="D28" i="23"/>
  <c r="F28" i="23"/>
  <c r="D29" i="23"/>
  <c r="F29" i="23" s="1"/>
  <c r="U44" i="23" s="1"/>
  <c r="F30" i="23"/>
  <c r="F31" i="23"/>
  <c r="U61" i="23" s="1"/>
  <c r="F34" i="23"/>
  <c r="O34" i="23" s="1"/>
  <c r="C35" i="23"/>
  <c r="O35" i="23"/>
  <c r="C36" i="23"/>
  <c r="O36" i="23"/>
  <c r="F39" i="23"/>
  <c r="N39" i="23" s="1"/>
  <c r="N44" i="23" s="1"/>
  <c r="F40" i="23"/>
  <c r="O40" i="23" s="1"/>
  <c r="F41" i="23"/>
  <c r="O41" i="23"/>
  <c r="P44" i="23"/>
  <c r="T61" i="23"/>
  <c r="L44" i="24" l="1"/>
  <c r="I44" i="24"/>
  <c r="M44" i="23"/>
  <c r="N44" i="24"/>
  <c r="T61" i="24"/>
  <c r="U61" i="24"/>
  <c r="O44" i="24"/>
  <c r="K44" i="24"/>
  <c r="J44" i="23"/>
  <c r="V44" i="23" s="1"/>
  <c r="O44" i="23"/>
  <c r="K44" i="23"/>
  <c r="U44" i="24"/>
  <c r="T44" i="24"/>
  <c r="M19" i="24"/>
  <c r="F44" i="24"/>
  <c r="H44" i="24"/>
  <c r="T44" i="23"/>
  <c r="F44" i="23"/>
  <c r="I46" i="23" s="1"/>
  <c r="I61" i="23" s="1"/>
  <c r="K46" i="24" l="1"/>
  <c r="K61" i="24" s="1"/>
  <c r="L46" i="24"/>
  <c r="L61" i="24" s="1"/>
  <c r="F61" i="24"/>
  <c r="J46" i="24"/>
  <c r="J61" i="24" s="1"/>
  <c r="L46" i="23"/>
  <c r="L61" i="23" s="1"/>
  <c r="P46" i="23"/>
  <c r="P61" i="23" s="1"/>
  <c r="M46" i="23"/>
  <c r="M61" i="23" s="1"/>
  <c r="F61" i="23"/>
  <c r="O46" i="23"/>
  <c r="O61" i="23" s="1"/>
  <c r="J46" i="23"/>
  <c r="J61" i="23" s="1"/>
  <c r="N46" i="23"/>
  <c r="N61" i="23" s="1"/>
  <c r="K46" i="23"/>
  <c r="K61" i="23" s="1"/>
  <c r="M44" i="24"/>
  <c r="V44" i="24" s="1"/>
  <c r="H44" i="23"/>
  <c r="I46" i="24"/>
  <c r="I61" i="24" s="1"/>
  <c r="M46" i="24" l="1"/>
  <c r="O46" i="24"/>
  <c r="O61" i="24" s="1"/>
  <c r="M61" i="24"/>
  <c r="N46" i="24"/>
  <c r="N61" i="24" s="1"/>
  <c r="W61" i="23"/>
  <c r="H61" i="23"/>
  <c r="P46" i="24"/>
  <c r="P61" i="24" s="1"/>
  <c r="W61" i="24"/>
  <c r="H61" i="24"/>
  <c r="K63" i="23" l="1"/>
  <c r="O63" i="23"/>
  <c r="L63" i="23"/>
  <c r="P63" i="23"/>
  <c r="J63" i="23"/>
  <c r="M63" i="23"/>
  <c r="N63" i="23"/>
  <c r="I63" i="23"/>
  <c r="J63" i="24"/>
  <c r="N63" i="24"/>
  <c r="K63" i="24"/>
  <c r="O63" i="24"/>
  <c r="L63" i="24"/>
  <c r="P63" i="24"/>
  <c r="M63" i="24"/>
  <c r="I63" i="24"/>
</calcChain>
</file>

<file path=xl/sharedStrings.xml><?xml version="1.0" encoding="utf-8"?>
<sst xmlns="http://schemas.openxmlformats.org/spreadsheetml/2006/main" count="614" uniqueCount="405">
  <si>
    <t>Objectives</t>
  </si>
  <si>
    <t>Optional Discussion</t>
  </si>
  <si>
    <t>Dogma is faster</t>
  </si>
  <si>
    <t>Confusion is observable</t>
  </si>
  <si>
    <t>My thoughts</t>
  </si>
  <si>
    <t>Market Failure</t>
  </si>
  <si>
    <t>Regulatory Arbitrage</t>
  </si>
  <si>
    <t>Simplicity</t>
  </si>
  <si>
    <t>Fannie and Freddie Mac</t>
  </si>
  <si>
    <t>Polarization</t>
  </si>
  <si>
    <t xml:space="preserve">Biblical justice / Code of Hammurabi </t>
  </si>
  <si>
    <t>Free Markets</t>
  </si>
  <si>
    <t>Heuristics</t>
  </si>
  <si>
    <t>The Dog and the Frisbee</t>
  </si>
  <si>
    <t>Need disclosure to market for market confidence</t>
  </si>
  <si>
    <t>To get systemic sensitivity, need shared scenarios.</t>
  </si>
  <si>
    <t>Systemic Stress Testing of Banks</t>
  </si>
  <si>
    <t>1:48:00 Insurable Interest</t>
  </si>
  <si>
    <t>1:27:00 Sensitivity</t>
  </si>
  <si>
    <t>1:09:30 It’s the government</t>
  </si>
  <si>
    <t>1:07:00 No one knew</t>
  </si>
  <si>
    <t>1:04:00 Continued underwriting</t>
  </si>
  <si>
    <t>1:00:00 Blankfein: what they knew</t>
  </si>
  <si>
    <t>58:00 Turning point idea</t>
  </si>
  <si>
    <t>57:30 Blankfein: explanation</t>
  </si>
  <si>
    <t>52:30 Short and long Positions</t>
  </si>
  <si>
    <t>50:00 Conflict of interest</t>
  </si>
  <si>
    <t>47:00 Rational to go public</t>
  </si>
  <si>
    <t>40:13 Synthetic CDO. No ‘insurable interest’</t>
  </si>
  <si>
    <t>8:00  Carl Levin: Junk Deals</t>
  </si>
  <si>
    <t>7:00 Blankfein: Net short</t>
  </si>
  <si>
    <t>6:40 Blankfein: strong risk management</t>
  </si>
  <si>
    <t>6:00 Blankfein: centralized clearing</t>
  </si>
  <si>
    <t>https://www.c-span.org/video/?293196-3/investment-banks-financial-crisis-goldman-sachs-chair-ceo</t>
  </si>
  <si>
    <t>Blankfien testimony</t>
  </si>
  <si>
    <t>Debate: Goldman's actions were unethical.</t>
  </si>
  <si>
    <t>Debate: Greed is a legitimate factor in thinking about risk and the economy.</t>
  </si>
  <si>
    <t>Lehman Bankruptcy Documenation</t>
  </si>
  <si>
    <t>Lack of discipline regarding limits.</t>
  </si>
  <si>
    <t>Between December 2006 and December 2007, Lehman raised its firm‐</t>
  </si>
  <si>
    <t>wide risk appetite limit three times, going from $2.3 to $4.0 billion</t>
  </si>
  <si>
    <t>Manipulated risk management process.</t>
  </si>
  <si>
    <t>Between May and August 2007, Lehman omitted some of its largest risks</t>
  </si>
  <si>
    <t>from its risk usage calculation.    The primary omitted risk was a $2.3</t>
  </si>
  <si>
    <t>billion bridge equity position in the Archstone‐Smith Real Estate</t>
  </si>
  <si>
    <t>Investment Trust</t>
  </si>
  <si>
    <t>Did not allow for risk management to reign in.</t>
  </si>
  <si>
    <t>Based upon their considerable business experience and successful track record,</t>
  </si>
  <si>
    <t>Lehman’s senior managers decided to place a higher priority on increasing profits than</t>
  </si>
  <si>
    <t>on keeping the firm’s risk level within the limits arising from its risk management</t>
  </si>
  <si>
    <t>policies and metrics.    Lehman’s senior managers were confident making business</t>
  </si>
  <si>
    <t>judgments based on their understanding of the markets, and did not feel constrained by</t>
  </si>
  <si>
    <t xml:space="preserve">the quantitative metrics generated by Lehman’s risk management system.  </t>
  </si>
  <si>
    <t>Did not listen to dissent.</t>
  </si>
  <si>
    <t>During the course of 2006, Lehman’s management and Board made the</t>
  </si>
  <si>
    <t>deliberate business decision to increase the firm’s risk profile generally, and to take</t>
  </si>
  <si>
    <t>more risk specifically with respect to principal investments with the firm’s capital.  This</t>
  </si>
  <si>
    <t xml:space="preserve">new strategy was directed by Lehman’s highest officers </t>
  </si>
  <si>
    <t>– primarily Fuld, Joseph Gregory (Lehman’s President and Chief Operating Officer), and Hugh E. (Skip) McGee</t>
  </si>
  <si>
    <t xml:space="preserve">III (Global Head of Investment Banking) – after significant internal debate. </t>
  </si>
  <si>
    <t>Considered intangible assets as a benefit.</t>
  </si>
  <si>
    <t>The business strategy to expand the leveraged loan business was somewhat</t>
  </si>
  <si>
    <t>different.   Lehman’s management recognized that leveraged loans in their own right,</t>
  </si>
  <si>
    <t>including the bridge equity components of those transactions, were risky relative to</t>
  </si>
  <si>
    <t>their profitability.165   But Fuld, Gregory, and McGee in particular believed that if</t>
  </si>
  <si>
    <t>Lehman made loans to private equity sponsors as part of major M&amp;A transactions,</t>
  </si>
  <si>
    <t>Lehman would build long‐term client relationships with the sponsors and perhaps with</t>
  </si>
  <si>
    <t>other institutions involved in the transaction.166  Fuld, Gregory, and McGee believed</t>
  </si>
  <si>
    <t>that every dollar that Lehman made from a leveraged loan would lead to five dollars of</t>
  </si>
  <si>
    <t>follow‐on profits in the future.167</t>
  </si>
  <si>
    <t>Did not include non-traded assets in stress testing.</t>
  </si>
  <si>
    <t>When Lehman first adopted stress testing in about 2005, it applied the testing</t>
  </si>
  <si>
    <t>only to its tradable instruments such as stocks, bonds, and other securities; it did not</t>
  </si>
  <si>
    <t>include its un‐traded assets such as its commercial real estate or private equity</t>
  </si>
  <si>
    <t>investments.192   Because these assets did not trade freely, they were not considered</t>
  </si>
  <si>
    <t>susceptible to stress testing over a short‐term scenario.</t>
  </si>
  <si>
    <t>More investments excluded from risk management process.</t>
  </si>
  <si>
    <t>At various points in 2006 and 2007, Lehman’s risk managers considered whether</t>
  </si>
  <si>
    <t>to include principal investments in Lehman’s stress testing.196  An internal audit advised</t>
  </si>
  <si>
    <t>that Lehman “address the main risks in the Firm’s portfolio,” including “illiquidity”</t>
  </si>
  <si>
    <t>and “concentration risk.”197  But Lehman did not take significant steps to include these</t>
  </si>
  <si>
    <t>private equity positions in the stress testing until 2008, even though these investments</t>
  </si>
  <si>
    <t xml:space="preserve">became an increasingly large portion of Lehman’s risk profile.198 </t>
  </si>
  <si>
    <t>It turns out excluded risks were extreme.</t>
  </si>
  <si>
    <t>Experimental stress tests conducted in 2008</t>
  </si>
  <si>
    <t>showed that a large proportion of Lehman’s tail risk – perhaps even a large majority of</t>
  </si>
  <si>
    <t>its overall tail risk – lay with the businesses that were previously excluded from the</t>
  </si>
  <si>
    <t xml:space="preserve">stress testing.   </t>
  </si>
  <si>
    <t>Weak board?</t>
  </si>
  <si>
    <t xml:space="preserve">Lehman’s Board fully embraced Lehman’s growth strategy. </t>
  </si>
  <si>
    <t>Did not know about subprime.</t>
  </si>
  <si>
    <t>No network intelligence.</t>
  </si>
  <si>
    <t>Executive committee on the risk committee</t>
  </si>
  <si>
    <t>Source?</t>
  </si>
  <si>
    <t>Description of securitization business</t>
  </si>
  <si>
    <t>Lehman had a vertically integrated residential mortgage</t>
  </si>
  <si>
    <t>business in which BNC originated subprime loans and Aurora originated Alt‐A loans,</t>
  </si>
  <si>
    <t>and Lehman itself securitized pools of those mortgages into residential mortgage‐</t>
  </si>
  <si>
    <t>backed securities (“RMBS”).265    BNC and Aurora were part of Lehman’s Mortgage</t>
  </si>
  <si>
    <t>Capital Division, which originated residential mortgages, while FID was responsible for</t>
  </si>
  <si>
    <t>securitizing the mortgages.266    By selling the RMBS to investors, Lehman shifted the</t>
  </si>
  <si>
    <t>risks of the underlying mortgages to the investors.267  Lehman, however, bore the risk</t>
  </si>
  <si>
    <t xml:space="preserve">that it would not be able to securitize the mortgages or sell the RMBS.26 </t>
  </si>
  <si>
    <t>Illiquid assets</t>
  </si>
  <si>
    <t xml:space="preserve">The mortgagesthat Lehman could not shift to third‐party investors through securitization were known as “retained interests.”269   </t>
  </si>
  <si>
    <t>By late 2006, Lehman’s non‐investment grade retained interests began to increase</t>
  </si>
  <si>
    <t>sharply;  investors were growing increasingly cautious about purchasing RMBS bonds</t>
  </si>
  <si>
    <t>backed by subprime mortgages, “and as a result the [Lehman residential mortgage</t>
  </si>
  <si>
    <t xml:space="preserve">trading] desk [was] struggling to sell residuals and [non‐investment grade] bonds.”270  </t>
  </si>
  <si>
    <t>Lehman’s diminished ability to shift the mortgage‐based risk to investors meant that</t>
  </si>
  <si>
    <t>the formerly profitable moving business could become a money‐losing storage business</t>
  </si>
  <si>
    <t>Sneaky expansion</t>
  </si>
  <si>
    <t>Even as Lehman was tightening standards on its subprime originations through</t>
  </si>
  <si>
    <t>BNC, Lehman was also using its Aurora subsidiary to expand its Alt‐A lending</t>
  </si>
  <si>
    <t>How did Lehman lose money?</t>
  </si>
  <si>
    <t>Risk Management</t>
  </si>
  <si>
    <t>No adherence to risk limits.</t>
  </si>
  <si>
    <t>Incomplete scenario analysis.</t>
  </si>
  <si>
    <t>Assets not included in risk process.</t>
  </si>
  <si>
    <t>Risk committee dominated by executive committee.</t>
  </si>
  <si>
    <t>Uninformed and weak board.</t>
  </si>
  <si>
    <t>Strategy</t>
  </si>
  <si>
    <t>Decoupling</t>
  </si>
  <si>
    <t>Expansion</t>
  </si>
  <si>
    <t>Bluffing to the market</t>
  </si>
  <si>
    <t>Did not listed to skilled personnel</t>
  </si>
  <si>
    <t>Culture</t>
  </si>
  <si>
    <t>Ulterior motives for hiring</t>
  </si>
  <si>
    <t>Low Morale</t>
  </si>
  <si>
    <t>Authoritarian culture</t>
  </si>
  <si>
    <t>Loss of skilled personnel</t>
  </si>
  <si>
    <t>How did Goldman make money?</t>
  </si>
  <si>
    <t>Luck</t>
  </si>
  <si>
    <t>John Paulson</t>
  </si>
  <si>
    <t>Mark to market</t>
  </si>
  <si>
    <t>Diversified revenue streams</t>
  </si>
  <si>
    <t>Mechanics</t>
  </si>
  <si>
    <t>First mover advantage</t>
  </si>
  <si>
    <t>The Big Short</t>
  </si>
  <si>
    <t>ABX</t>
  </si>
  <si>
    <t>CDS</t>
  </si>
  <si>
    <t>AIG</t>
  </si>
  <si>
    <t>Bear</t>
  </si>
  <si>
    <t>SecDB</t>
  </si>
  <si>
    <t>What could Lehman have done?</t>
  </si>
  <si>
    <t>Do their own Big Short!</t>
  </si>
  <si>
    <t>CDO</t>
  </si>
  <si>
    <t>CMBS</t>
  </si>
  <si>
    <t>Alt-A</t>
  </si>
  <si>
    <t>Replace senior management</t>
  </si>
  <si>
    <t>Sell treasury stock to raise capital</t>
  </si>
  <si>
    <t>Clear out the inventory</t>
  </si>
  <si>
    <t>Hire back departed talent</t>
  </si>
  <si>
    <t>What could Goldman have done better?</t>
  </si>
  <si>
    <t>Fiduciary Responsibility</t>
  </si>
  <si>
    <t>Inform clients</t>
  </si>
  <si>
    <t>What can we learn from Lehman?</t>
  </si>
  <si>
    <t>Strategy and Risk Management interact</t>
  </si>
  <si>
    <t>Culture matters</t>
  </si>
  <si>
    <t>VaR can help</t>
  </si>
  <si>
    <t>Strategy from collective intelligence is safer</t>
  </si>
  <si>
    <t>Illiquid assets can’t be repo’d</t>
  </si>
  <si>
    <t>What can we learn from Goldman?</t>
  </si>
  <si>
    <t>Teamwork can help fight through complexity</t>
  </si>
  <si>
    <t>PR matters</t>
  </si>
  <si>
    <t>Teach the public hedge vs speculate</t>
  </si>
  <si>
    <t>Avoid this:</t>
  </si>
  <si>
    <t>http://www.rollingstone.com/politics/news/the-great-american-bubble-machine-20100405</t>
  </si>
  <si>
    <t>https://en.wikipedia.org/wiki/Vampire_squid</t>
  </si>
  <si>
    <t>When to push back against VaR</t>
  </si>
  <si>
    <t>Observe Lessons by contrasting Lehman and Goldman</t>
  </si>
  <si>
    <t>Lehman vs Goldman</t>
  </si>
  <si>
    <t>Goldman Testimony</t>
  </si>
  <si>
    <t>Lehman Documentation</t>
  </si>
  <si>
    <t>Wins and Losses</t>
  </si>
  <si>
    <t>What could have been done better?</t>
  </si>
  <si>
    <r>
      <t>Which alternative investment* position(s) show the most contagion risk in the stress tes</t>
    </r>
    <r>
      <rPr>
        <sz val="12"/>
        <color rgb="FF333333"/>
        <rFont val="Calibri"/>
        <family val="2"/>
      </rPr>
      <t>t?</t>
    </r>
  </si>
  <si>
    <t>Which equity position(s) show the most contagion risk in the stress test?</t>
  </si>
  <si>
    <t>Which fixed income position(s) show the most contagion risk in the stress test?</t>
  </si>
  <si>
    <t>Responses</t>
  </si>
  <si>
    <t>(* = Commercial Real Estate and Hedge Funds)</t>
  </si>
  <si>
    <r>
      <t>3.</t>
    </r>
    <r>
      <rPr>
        <sz val="7"/>
        <color rgb="FF333333"/>
        <rFont val="Times New Roman"/>
        <family val="1"/>
      </rPr>
      <t xml:space="preserve">     </t>
    </r>
    <r>
      <rPr>
        <sz val="12"/>
        <color rgb="FF333333"/>
        <rFont val="Calibri"/>
        <family val="2"/>
      </rPr>
      <t>Which alternative investment* position(s) show the most contagion risk in the stress test?</t>
    </r>
  </si>
  <si>
    <r>
      <t>2.</t>
    </r>
    <r>
      <rPr>
        <sz val="7"/>
        <color rgb="FF333333"/>
        <rFont val="Times New Roman"/>
        <family val="1"/>
      </rPr>
      <t xml:space="preserve">     </t>
    </r>
    <r>
      <rPr>
        <sz val="12"/>
        <color rgb="FF333333"/>
        <rFont val="Calibri"/>
        <family val="2"/>
      </rPr>
      <t>Which equity position(s) show the most contagion risk in the stress test?</t>
    </r>
  </si>
  <si>
    <r>
      <t>1.</t>
    </r>
    <r>
      <rPr>
        <sz val="7"/>
        <color rgb="FF333333"/>
        <rFont val="Times New Roman"/>
        <family val="1"/>
      </rPr>
      <t xml:space="preserve">     </t>
    </r>
    <r>
      <rPr>
        <sz val="12"/>
        <color rgb="FF333333"/>
        <rFont val="Calibri"/>
        <family val="2"/>
      </rPr>
      <t>Which fixed income position(s) show the most contagion risk in the stress test?</t>
    </r>
  </si>
  <si>
    <r>
      <t xml:space="preserve">Study the price changes of the investments, listed in the other tabs, between 31 March 2019 and the 30 June 2019 stress test. Based on your knowledge of each type of investment’s market, credit and liquidity risk characteristics, enter your rationale for the existence and magnitude, or non-existence, of contagion risk against each position in the shaded </t>
    </r>
    <r>
      <rPr>
        <u/>
        <sz val="12"/>
        <color rgb="FF333333"/>
        <rFont val="Calibri"/>
        <family val="2"/>
      </rPr>
      <t>Contagion Risk Assessment</t>
    </r>
    <r>
      <rPr>
        <sz val="12"/>
        <color rgb="FF333333"/>
        <rFont val="Calibri"/>
        <family val="2"/>
      </rPr>
      <t xml:space="preserve"> column. Then, answer the following questions, giving brief reasons for each of your answers.</t>
    </r>
  </si>
  <si>
    <t>Instructions</t>
  </si>
  <si>
    <t>You are the same risk analyst in a wealth management company who helped one of the wealth managers win the account of the Vanderbilt Family Office. Your liquidity analysis of the FO’s existing and proposed investment portfolios was favorably received and the proposed portfolio changes were made. Now the FO’s Administrative Manager has asked you to stress test the new portfolio in a Global Markets Correction scenario, highlighting the positions which are vulnerable to contagion between more than one risk category.</t>
  </si>
  <si>
    <t>Description</t>
  </si>
  <si>
    <t>Assess contagion risk in an investment portfolio</t>
  </si>
  <si>
    <t>Title</t>
  </si>
  <si>
    <t>The liquidity profile of the new portfolio exceeds the family's requirement for at least 30% of the portfolio to be liquid in 2 days.</t>
  </si>
  <si>
    <t>Rationale for acceptability of liquidity risk in new portfolio</t>
  </si>
  <si>
    <t>=</t>
  </si>
  <si>
    <t>-</t>
  </si>
  <si>
    <t>+</t>
  </si>
  <si>
    <t>Existing projected cumulative liquidity</t>
  </si>
  <si>
    <t>Old WAVY</t>
  </si>
  <si>
    <t>New projected cumulative liquidity</t>
  </si>
  <si>
    <t>15% diversification applied</t>
  </si>
  <si>
    <t>New WAVY</t>
  </si>
  <si>
    <t>Total</t>
  </si>
  <si>
    <t>Hedge Funds</t>
  </si>
  <si>
    <t>Commercial Real Estate</t>
  </si>
  <si>
    <t>Equities</t>
  </si>
  <si>
    <t>Fixed income</t>
  </si>
  <si>
    <t>Notes</t>
  </si>
  <si>
    <t>Liquidity Metric</t>
  </si>
  <si>
    <t>Stress</t>
  </si>
  <si>
    <t>VaR</t>
  </si>
  <si>
    <t>Liquidity</t>
  </si>
  <si>
    <t>Volatility</t>
  </si>
  <si>
    <t>Yield</t>
  </si>
  <si>
    <t>US$ Value</t>
  </si>
  <si>
    <t>FX</t>
  </si>
  <si>
    <t>Price</t>
  </si>
  <si>
    <t>Quantity</t>
  </si>
  <si>
    <t>Projected</t>
  </si>
  <si>
    <t>Expected</t>
  </si>
  <si>
    <t>Days to Liquidate or Close Out</t>
  </si>
  <si>
    <t>YIELD &amp; LIQUIDITY ANALYSIS</t>
  </si>
  <si>
    <t>INVESTMENTS TO CONSIDER</t>
  </si>
  <si>
    <t>Projected cumulative liquidity</t>
  </si>
  <si>
    <t>WAV Yield</t>
  </si>
  <si>
    <t>This hedge fund adds CRE expsoure with average yield and liquidity for the sector</t>
  </si>
  <si>
    <t>180 days: up to USD 10 mn</t>
  </si>
  <si>
    <t>R Investment Advisors CRE Fund</t>
  </si>
  <si>
    <t>This hedge fund has average yield and liquidity for the sector</t>
  </si>
  <si>
    <t>180 days: up to USD 10mn</t>
  </si>
  <si>
    <t>Q Investment Advisors Value Fund</t>
  </si>
  <si>
    <t>This hedge fund has typical liquidity but not a very high yield</t>
  </si>
  <si>
    <t>60 days: up to USD 5mn</t>
  </si>
  <si>
    <t>Z Investment Advisors Macro Fund</t>
  </si>
  <si>
    <t>This CRE investment has better than average  yield and liquidity and represents a different portion of the commercial real estate sector</t>
  </si>
  <si>
    <t>Can be bought in lots of USD 5mn</t>
  </si>
  <si>
    <t>180 days up to USD 10mn</t>
  </si>
  <si>
    <t>Ownership of luxury apartment building in Denver</t>
  </si>
  <si>
    <t>This CRE investment has average  yield and liquidity and represents a different portion of the commercial real estate sector</t>
  </si>
  <si>
    <t>Ownership of West Hills shopping mall in Pittsburgh</t>
  </si>
  <si>
    <t>This CRE investment has a moderate yield but limited liquidity and represents only one portion of the commercial real estate sector</t>
  </si>
  <si>
    <t>Can be sold in lots of USD 10mn</t>
  </si>
  <si>
    <t>180 days: up to USD 10mn    360 days up to USD 20mn</t>
  </si>
  <si>
    <t>Ownership of office tower located at 240 E Monroe in Chicago</t>
  </si>
  <si>
    <t>1 day: up to USD 2mn</t>
  </si>
  <si>
    <t>Put, GSPTSE, strike 13,000, 5-Jul-19</t>
  </si>
  <si>
    <t>Put, Nikkei 225, strike 15,000, 5-Jul-19</t>
  </si>
  <si>
    <t>Put, AEX, strike 395, 5-Jul-19</t>
  </si>
  <si>
    <t>Put, SPX, strike 1,800, 5-Jul-19</t>
  </si>
  <si>
    <t>Shorts</t>
  </si>
  <si>
    <t>Derivatives</t>
  </si>
  <si>
    <t>1 day: up to USD 20mn</t>
  </si>
  <si>
    <t>Sell CAD, Buy USD, 1.35, 30-Jun-2019</t>
  </si>
  <si>
    <t>Sell EUR, Buy USD, 1.05, 31-Dec-2019</t>
  </si>
  <si>
    <t>Currencies</t>
  </si>
  <si>
    <t>This stock has a low yield but moderate liquidity in large amounts</t>
  </si>
  <si>
    <t>2 days: up to USD 5mn               5 days: up to USD 10mn          10 days up to USD 20mn</t>
  </si>
  <si>
    <t>Company W, common stock, Euronext</t>
  </si>
  <si>
    <t>This stock has a good yield and moderate liquidity in modest amounts</t>
  </si>
  <si>
    <t>5 days: up to USD 5Mn               10 days: up to USD 10mn</t>
  </si>
  <si>
    <t>Company X, common stock, Nikkei</t>
  </si>
  <si>
    <t>This stock has moderate yield and liquidity in moderate amounts</t>
  </si>
  <si>
    <t>1 day: up to USD 1Mn               2 days: up to USD 2mn         5 days up to USD 10 mn            10 days: up to USD 15mn</t>
  </si>
  <si>
    <t>Company Y, common stock, TSX</t>
  </si>
  <si>
    <t>This stock has high growth potential and good liquidity but zero yield</t>
  </si>
  <si>
    <t>1 day: up to USD 5Mn               2 days: up to USD 10mn        5 days up to USD 20 mn</t>
  </si>
  <si>
    <t>Company V, common stock, Nasdaq</t>
  </si>
  <si>
    <t>This muni bond's yield and liquidity in moderate amounts are typical of the sector</t>
  </si>
  <si>
    <t>Credit rating A-</t>
  </si>
  <si>
    <t xml:space="preserve">2 days: up to USD 1mn                                                             5 days: up to USD 5mn               10 days: up to USD 10mn           30 days: up to USD 20mn    </t>
  </si>
  <si>
    <t>MI Financial Authority, USD, 1,000,000, 1-Jun-2022, 5%, 180/360</t>
  </si>
  <si>
    <t>Credit rating Baa1/A-</t>
  </si>
  <si>
    <t>IL State GO, USD, 1,000,000, 3-Jan-2024, 5%, 180/360</t>
  </si>
  <si>
    <t>This muni bond has a low yield compared to others with similar liquidity</t>
  </si>
  <si>
    <t>Credit rating A3/A-</t>
  </si>
  <si>
    <t>NJ State Transit Authority, USD, 1,000,000, 15-Jun-2024, 3%, 180/360</t>
  </si>
  <si>
    <t>This bond has good liquidity in large amounts and a moderate yield</t>
  </si>
  <si>
    <t>Credit rating Aaa/AA+</t>
  </si>
  <si>
    <t>1 day: up to USD 5Mn               2 days: up to USD 20mn</t>
  </si>
  <si>
    <t>US Treasury, USD, 3,000,000, 0%, 31-Dec-2038</t>
  </si>
  <si>
    <t>This high yield bond has reasonable liquidity in moderate amounts</t>
  </si>
  <si>
    <t>Credit rating Ba1/BB+</t>
  </si>
  <si>
    <t>5 days: up to USD 5mn             10 days: up to USD 15mn</t>
  </si>
  <si>
    <t>Company T, CAD, 1,500,000, 31-Dec-2021, 2.75%, 360/360</t>
  </si>
  <si>
    <t>This Coco bond has limited liquidity in modest amoounts but a very high yield</t>
  </si>
  <si>
    <t>Credit rating Baa3/BBB-</t>
  </si>
  <si>
    <t>10 days: up to USD 2mn     30 days: up to USD 5mn</t>
  </si>
  <si>
    <t>Bank S, USD, 5,000,000, Coco, 31-Dec-2037, 6%, 180/360</t>
  </si>
  <si>
    <t>This bond has moderate yield and liquidity in modest amounts</t>
  </si>
  <si>
    <t>Credit rating A2/A</t>
  </si>
  <si>
    <t xml:space="preserve">1 day: up to USD 1mn                                                             2 days: up to USD 5mn               5 days: up to USD 10mn          10 days: up to USD 20mn     </t>
  </si>
  <si>
    <t xml:space="preserve">Bank R, USD, 2,000,000, senior unsecured, 31-Dec-2023, 2.0%, 180/360 </t>
  </si>
  <si>
    <t>Contagion between market, credit and/or liquidity risk: Yes/No? Briefly state the rationale for your assessment</t>
  </si>
  <si>
    <t>Credit rating Aa2/AA</t>
  </si>
  <si>
    <t>1 day: up to USD 10mn                                2 days: up to USD 20mn</t>
  </si>
  <si>
    <t>Sovereign Q, EUR, 1,000,000, 31-Dec-2028, 1.5%, 360/360</t>
  </si>
  <si>
    <t>CONTAGION RISK ASSESSMENT</t>
  </si>
  <si>
    <r>
      <t>VANDERBILT FAMILY OFFICE INVESTMENT PORTFOLIO -</t>
    </r>
    <r>
      <rPr>
        <b/>
        <sz val="11"/>
        <color rgb="FFFF0000"/>
        <rFont val="Calibri"/>
        <family val="2"/>
        <scheme val="minor"/>
      </rPr>
      <t xml:space="preserve"> </t>
    </r>
    <r>
      <rPr>
        <b/>
        <sz val="11"/>
        <color theme="1"/>
        <rFont val="Calibri"/>
        <family val="2"/>
        <scheme val="minor"/>
      </rPr>
      <t>NEW PORTFOLIO</t>
    </r>
  </si>
  <si>
    <t>Attachment A</t>
  </si>
  <si>
    <t>GLOBAL MARKET CORRECTION</t>
  </si>
  <si>
    <t>Scenario:</t>
  </si>
  <si>
    <r>
      <t>VANDERBILT FAMILY OFFICE INVESTMENT PORTFOLIO - NEW PORTFOLIO -</t>
    </r>
    <r>
      <rPr>
        <b/>
        <sz val="11"/>
        <color rgb="FFFF0000"/>
        <rFont val="Calibri"/>
        <family val="2"/>
        <scheme val="minor"/>
      </rPr>
      <t xml:space="preserve"> STRESS TEST</t>
    </r>
  </si>
  <si>
    <t>Does FX hedging proposal #4 contain wrong-way risk? If yes, explain how, and suggest how the proposed transaction can be altered to avoid it.</t>
  </si>
  <si>
    <t>Does FX hedging proposal #3 contain wrong-way risk? If yes, explain how, and suggest how the proposed transaction can be altered to avoid it.</t>
  </si>
  <si>
    <r>
      <t>Does FX hedging proposal #2 contain wrong-way risk? If yes, explain how, and suggest how the proposed transaction can be altered to avoid it</t>
    </r>
    <r>
      <rPr>
        <sz val="12"/>
        <color rgb="FF333333"/>
        <rFont val="Calibri"/>
        <family val="2"/>
      </rPr>
      <t>.</t>
    </r>
  </si>
  <si>
    <t>Which Does FX hedging proposal #1 contain wrong-way risk? If yes, explain how, and suggest how the proposed transaction can be altered to avoid it.</t>
  </si>
  <si>
    <r>
      <t>4.</t>
    </r>
    <r>
      <rPr>
        <sz val="7"/>
        <color rgb="FF333333"/>
        <rFont val="Times New Roman"/>
        <family val="1"/>
      </rPr>
      <t xml:space="preserve">     </t>
    </r>
    <r>
      <rPr>
        <sz val="12"/>
        <color rgb="FF333333"/>
        <rFont val="Calibri"/>
        <family val="2"/>
      </rPr>
      <t>Does FX hedging proposal #4 contain wrong-way risk? If yes, explain how and suggest how the proposed transaction can be altered to avoid it.</t>
    </r>
  </si>
  <si>
    <r>
      <t>3.</t>
    </r>
    <r>
      <rPr>
        <sz val="7"/>
        <color rgb="FF333333"/>
        <rFont val="Times New Roman"/>
        <family val="1"/>
      </rPr>
      <t xml:space="preserve">     </t>
    </r>
    <r>
      <rPr>
        <sz val="12"/>
        <color rgb="FF333333"/>
        <rFont val="Calibri"/>
        <family val="2"/>
      </rPr>
      <t>Does FX hedging proposal #3 contain wrong-way risk? If yes, explain how and suggest how the proposed transaction can be altered to avoid it.</t>
    </r>
  </si>
  <si>
    <r>
      <t>2.</t>
    </r>
    <r>
      <rPr>
        <sz val="7"/>
        <color rgb="FF333333"/>
        <rFont val="Times New Roman"/>
        <family val="1"/>
      </rPr>
      <t xml:space="preserve">     </t>
    </r>
    <r>
      <rPr>
        <sz val="12"/>
        <color rgb="FF333333"/>
        <rFont val="Calibri"/>
        <family val="2"/>
      </rPr>
      <t>Does FX hedging proposal #2 contain wrong-way risk? If yes, explain how and suggest how the proposed transaction can be altered to avoid it.</t>
    </r>
  </si>
  <si>
    <r>
      <t>1.</t>
    </r>
    <r>
      <rPr>
        <sz val="7"/>
        <color rgb="FF333333"/>
        <rFont val="Times New Roman"/>
        <family val="1"/>
      </rPr>
      <t xml:space="preserve">     </t>
    </r>
    <r>
      <rPr>
        <sz val="12"/>
        <color rgb="FF333333"/>
        <rFont val="Calibri"/>
        <family val="2"/>
      </rPr>
      <t>Does FX hedging proposal #1 contain wrong-way risk? If yes, explain how and suggest how the proposed transaction can be altered to avoid it.</t>
    </r>
  </si>
  <si>
    <r>
      <t xml:space="preserve">Company G’s Treasury Risk Management Policy requires all FX transactions which create </t>
    </r>
    <r>
      <rPr>
        <i/>
        <u/>
        <sz val="12"/>
        <color rgb="FF333333"/>
        <rFont val="Calibri"/>
        <family val="2"/>
      </rPr>
      <t>wrong-way risk</t>
    </r>
    <r>
      <rPr>
        <sz val="12"/>
        <color rgb="FF333333"/>
        <rFont val="Calibri"/>
        <family val="2"/>
      </rPr>
      <t xml:space="preserve"> to be approved by the Corporate Treasurer. Study the above FX hedging proposals and answer the following questions, giving brief reasons for each of your answers.</t>
    </r>
  </si>
  <si>
    <r>
      <t>4)</t>
    </r>
    <r>
      <rPr>
        <sz val="7"/>
        <color rgb="FF333333"/>
        <rFont val="Times New Roman"/>
        <family val="1"/>
      </rPr>
      <t xml:space="preserve">    </t>
    </r>
    <r>
      <rPr>
        <u/>
        <sz val="12"/>
        <color rgb="FF333333"/>
        <rFont val="Calibri"/>
        <family val="2"/>
      </rPr>
      <t>KRW hedging proposal</t>
    </r>
  </si>
  <si>
    <r>
      <t>3)</t>
    </r>
    <r>
      <rPr>
        <sz val="7"/>
        <color rgb="FF333333"/>
        <rFont val="Times New Roman"/>
        <family val="1"/>
      </rPr>
      <t xml:space="preserve">    </t>
    </r>
    <r>
      <rPr>
        <u/>
        <sz val="12"/>
        <color rgb="FF333333"/>
        <rFont val="Calibri"/>
        <family val="2"/>
      </rPr>
      <t>IDR hedging proposal</t>
    </r>
  </si>
  <si>
    <r>
      <t>The treasury team based in Sao Paulo wants to buy a series of BRL forwards against the USD, in order to hedge the FX rate for USD 15mn of payments for iron ore exports taking place over the next 6 months. They request approval to close the FX forwards with Banco Itau, Brazil’s 2</t>
    </r>
    <r>
      <rPr>
        <vertAlign val="superscript"/>
        <sz val="12"/>
        <color rgb="FF333333"/>
        <rFont val="Calibri"/>
        <family val="2"/>
      </rPr>
      <t>nd</t>
    </r>
    <r>
      <rPr>
        <sz val="12"/>
        <color rgb="FF333333"/>
        <rFont val="Calibri"/>
        <family val="2"/>
      </rPr>
      <t xml:space="preserve"> -largest bank by asset size, which is publicly-owned.</t>
    </r>
  </si>
  <si>
    <r>
      <t>2)</t>
    </r>
    <r>
      <rPr>
        <sz val="7"/>
        <color rgb="FF333333"/>
        <rFont val="Times New Roman"/>
        <family val="1"/>
      </rPr>
      <t xml:space="preserve">    </t>
    </r>
    <r>
      <rPr>
        <u/>
        <sz val="12"/>
        <color rgb="FF333333"/>
        <rFont val="Calibri"/>
        <family val="2"/>
      </rPr>
      <t>BRL hedging proposal</t>
    </r>
  </si>
  <si>
    <r>
      <t>1)</t>
    </r>
    <r>
      <rPr>
        <sz val="7"/>
        <color rgb="FF333333"/>
        <rFont val="Times New Roman"/>
        <family val="1"/>
      </rPr>
      <t xml:space="preserve">    </t>
    </r>
    <r>
      <rPr>
        <u/>
        <sz val="12"/>
        <color rgb="FF333333"/>
        <rFont val="Calibri"/>
        <family val="2"/>
      </rPr>
      <t>RUR hedging proposal</t>
    </r>
  </si>
  <si>
    <t xml:space="preserve">Today you have received the following 4 FX hedging proposals. </t>
  </si>
  <si>
    <t>You receive FX transaction hedging proposals daily from business divisions and countries around the world. It is your responsibility to assess the risks in each proposal and recommend either approval, denial or amendment to the Assistant Treasurer, according to the company’s Treasury Risk Management Policy and Procedures.</t>
  </si>
  <si>
    <t>You are a treasury risk analyst in Company G, a multinational industrial conglomerate with manufacturing, sales and investments in over 30 countries. Although the company’s executive leadership has delegated many strategic and operational decisions to business division and country heads, financial decisions such as funding, bank relations and FX hedging are managed globally by the company’s Corporate Treasury.</t>
  </si>
  <si>
    <t>Assess wrong way risk in a currency forward</t>
  </si>
  <si>
    <t>The treasury team based in Jakarta wants to sell IDR forward against USD, in order to lock in the FX rate for payment of USD 12mn of grain to be imported and sold into the local market by Company G’s distribution company during the next 9 months. They request approval to close the FX forwards with Bank Mandiri, Indonesia’s largest bank, which is 60%-owned by the Indonesian Government.</t>
  </si>
  <si>
    <t>The treasury team based in Seoul wants to enter into a USD 5mn KRW/USD swap, in order to lock in the FX rates for 6-monthly principal and interest payments on a 3-year USD-denominated intercompany loan from Company G’s Asian holding company, based in Singapore. They request approval to enter into the swap with Citibank’s Seoul branch.</t>
  </si>
  <si>
    <t>The treasury team based in Moscow wants to sell RUR forward for 1 year against EUR, in order to lock in the return on a USD 20mn purchase of Russian Government T-Notes whose yield is especially attractive. They will fund the investment with a 1-year EUR-denominated intercompany loan from Company G’s European holding company, based in Geneva. They request approval to close the FX forward with Sberbank, Russia’s largest bank which is 50%-owned by the Russian Central Bank.</t>
  </si>
  <si>
    <t>http://www.bis.org/review/r120905a.pdf</t>
  </si>
  <si>
    <t>https://papers.ssrn.com/sol3/papers.cfm?abstract_id=2041579</t>
  </si>
  <si>
    <t>For material before the midterm, repeat the review for that.</t>
  </si>
  <si>
    <t>In a 'pick one of these questions section' you will have the option to anwer questions on Lehman vs Goldman.</t>
  </si>
  <si>
    <t>Be sure to memorize what you need to memorize:</t>
  </si>
  <si>
    <t>Metrics of interconnected risk</t>
  </si>
  <si>
    <t>Basel III measures of liquidity</t>
  </si>
  <si>
    <t>Matz's conclusions on liquidity risk</t>
  </si>
  <si>
    <t>What are different measure of liquidity risk?</t>
  </si>
  <si>
    <t>What are tradeoffs for different types of funding?</t>
  </si>
  <si>
    <t>What are strategies to help assure funding is available?</t>
  </si>
  <si>
    <t>What are some calculation details for Basel III liquidity calculations?</t>
  </si>
  <si>
    <t>What are some lessons from the financial crisis.</t>
  </si>
  <si>
    <t>What are some paths in which risk spread through the system?</t>
  </si>
  <si>
    <t>What are some causes of the financial crisis?</t>
  </si>
  <si>
    <t>How do events in the broader economy (such as inflation, globalization, interest rates) lead to risk events at financial institutions.  Offer 3 two-sentence examples.</t>
  </si>
  <si>
    <t>Create an example where an institution poorly hedges it’s counter-party credit risk because of ‘wrong-way risk’.</t>
  </si>
  <si>
    <t>What does it mean to be long gamma?  How is that like convexity.  When is it good to be long gamma?  </t>
  </si>
  <si>
    <t>In the financial crisis, describe what Lehman did wrong and Goldman did right.  List and describe at least 2 risk related practices for each.</t>
  </si>
  <si>
    <t>In terms of risk to a financial institution, describe the parallels between the financial crisis and the current Pandemic?  </t>
  </si>
  <si>
    <t>Summarize the practices of a liquidity risk management program as described by Matz.</t>
  </si>
  <si>
    <t>What is a CDO?  How does correlation undermine the ideal working of a CDO?</t>
  </si>
  <si>
    <t>A company may decide to do business overseas.  If the company does so, it will borrow in the foreign currency; and the company will therefore need to make payments in that foreign currency.  </t>
  </si>
  <si>
    <t>How can this this possible risk be hedged?</t>
  </si>
  <si>
    <t>The company puts on the hedge you have suggested but shortly after, the business deal fails and the company will not engage in its overseas project.  Without selling the hedge that you have put on (in the previous question) how can you now hedge the position you have put on.  Or another way of saying, how can you hedge your old hedge?</t>
  </si>
  <si>
    <t>Fully describe one of these calculations:</t>
  </si>
  <si>
    <t>How a credit spread is inferred from a hazard rate in Hull’s textbook.</t>
  </si>
  <si>
    <t>What are the 5 metrics that measure interconnectedness presented DTCC’s systemic risk paper, “Understanding Interconnected Risks”?  Breifly describe each.</t>
  </si>
  <si>
    <t>Given an investment portfolio.  List all the risks that you can think of.  For each risk, briefly describe an approach to measuring and mitigating that risk.</t>
  </si>
  <si>
    <t>Given some simple financial statements.  Calculate ratios that describe the health of a company.</t>
  </si>
  <si>
    <t>End of the cold war</t>
  </si>
  <si>
    <t>Privitization and Globalization</t>
  </si>
  <si>
    <t>Asian Tigers</t>
  </si>
  <si>
    <t>Hong Kong, Singapore, South Korea, and Taiwan</t>
  </si>
  <si>
    <t>LTCM</t>
  </si>
  <si>
    <t>CDS / BISTRO</t>
  </si>
  <si>
    <t>Exxon Valdez and JPMorgan</t>
  </si>
  <si>
    <t>Internet Bubble</t>
  </si>
  <si>
    <t>Global Savings Glut</t>
  </si>
  <si>
    <t>Demand from China</t>
  </si>
  <si>
    <t>Securitization</t>
  </si>
  <si>
    <t>Housing Boom</t>
  </si>
  <si>
    <t>https://youtu.be/psCF_AHuLM4?t=88</t>
  </si>
  <si>
    <t>Fannie and Freddie</t>
  </si>
  <si>
    <t>Monolines: Country Wide and New Century</t>
  </si>
  <si>
    <t>https://youtu.be/3Ho8y6Xg3SM</t>
  </si>
  <si>
    <t>https://youtu.be/A25EUhZGBws</t>
  </si>
  <si>
    <t>Insure AAA</t>
  </si>
  <si>
    <t>Warehouses</t>
  </si>
  <si>
    <t>Bear Stearns</t>
  </si>
  <si>
    <t>https://youtu.be/f5Is6d0BfXc</t>
  </si>
  <si>
    <t>Lehman Brothers</t>
  </si>
  <si>
    <t>Traders</t>
  </si>
  <si>
    <t>CEO</t>
  </si>
  <si>
    <t>Fraud</t>
  </si>
  <si>
    <t>Board Meeting</t>
  </si>
  <si>
    <t>https://youtu.be/Hhy7JUinlu0</t>
  </si>
  <si>
    <t>firesale</t>
  </si>
  <si>
    <t>https://youtu.be/RR4_mLmR1FE</t>
  </si>
  <si>
    <t>repo</t>
  </si>
  <si>
    <t>https://youtu.be/cUQiA4LtkmQ?t=48</t>
  </si>
  <si>
    <t>JP Morgan</t>
  </si>
  <si>
    <t>Dimon, Winters, Hancock</t>
  </si>
  <si>
    <t>Merril</t>
  </si>
  <si>
    <t>Paul Oneill</t>
  </si>
  <si>
    <t>John Thane</t>
  </si>
  <si>
    <t>Bank of America</t>
  </si>
  <si>
    <t>&lt;-- Repo 105</t>
  </si>
  <si>
    <t>Sell off subsidiaries</t>
  </si>
  <si>
    <t xml:space="preserve">Review the homeworks. </t>
  </si>
  <si>
    <t>Based on the Financial Crisis lecture and reading in Hull:</t>
  </si>
  <si>
    <t>How Liquidity VaR is measured in Hull’s textbook.</t>
  </si>
  <si>
    <t>How probability of default is inferred from a CDS in Hull’s textbook.</t>
  </si>
  <si>
    <t>https://web.stanford.edu/~jbulow/Lehmandocs/menu.html</t>
  </si>
  <si>
    <t>Volume 1 pp 2-27</t>
  </si>
  <si>
    <t>https://www.bloomberg.com/news/articles/2013-09-12/how-goldman-sachs-made-money-mid-crisis?leadSource=uverify%20wall</t>
  </si>
  <si>
    <t>pp 1 - 10</t>
  </si>
  <si>
    <t>https://www.hsgac.senate.gov/wp-content/uploads/imo/media/doc/Financial_Crisis/FinancialCrisisReport.pdf?attempt=2</t>
  </si>
  <si>
    <t>Permanent Subcommittee on Investigations, US Senate. Wall Street and the Financial Crisis – Anatomy of a Financial Collapse. 2011. (Pages 376-636)</t>
  </si>
  <si>
    <t>https://www.goldmansachs.com/investor-relations/financials/archived/annual-reports/attachments/entire-2007-annual-report.pdf</t>
  </si>
  <si>
    <t>2007 annual report:</t>
  </si>
  <si>
    <t>Cohan, William. How Goldman Sachs Made Money Mid-Crisis. 2013. (Pages 1-10)</t>
  </si>
  <si>
    <t>Goldman 2007 annual report:</t>
  </si>
  <si>
    <t>Lehman Case Study in Module 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</si>
</sst>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_);\(#,##0.0\)"/>
  </numFmts>
  <fonts count="35" x14ac:knownFonts="1">
    <font>
      <sz val="12"/>
      <color theme="1"/>
      <name val="Calibri"/>
      <family val="2"/>
      <scheme val="minor"/>
    </font>
    <font>
      <sz val="12"/>
      <color theme="1"/>
      <name val="Calibri"/>
      <family val="2"/>
      <scheme val="minor"/>
    </font>
    <font>
      <sz val="22"/>
      <color theme="1"/>
      <name val="Calibri"/>
      <family val="2"/>
      <scheme val="minor"/>
    </font>
    <font>
      <u/>
      <sz val="12"/>
      <color theme="10"/>
      <name val="Calibri"/>
      <family val="2"/>
      <scheme val="minor"/>
    </font>
    <font>
      <sz val="20"/>
      <color theme="1"/>
      <name val="Calibri"/>
      <family val="2"/>
      <scheme val="minor"/>
    </font>
    <font>
      <sz val="11"/>
      <color theme="1"/>
      <name val="Calibri"/>
      <family val="2"/>
      <scheme val="minor"/>
    </font>
    <font>
      <sz val="36"/>
      <color theme="1"/>
      <name val="Calibri"/>
      <family val="2"/>
      <scheme val="minor"/>
    </font>
    <font>
      <u/>
      <sz val="11"/>
      <color theme="10"/>
      <name val="Calibri"/>
      <family val="2"/>
      <scheme val="minor"/>
    </font>
    <font>
      <b/>
      <sz val="11"/>
      <color theme="1"/>
      <name val="Calibri"/>
      <family val="2"/>
      <scheme val="minor"/>
    </font>
    <font>
      <sz val="14"/>
      <color theme="1"/>
      <name val="Calibri"/>
      <family val="2"/>
      <scheme val="minor"/>
    </font>
    <font>
      <u/>
      <sz val="14"/>
      <color theme="10"/>
      <name val="Calibri"/>
      <family val="2"/>
      <scheme val="minor"/>
    </font>
    <font>
      <b/>
      <sz val="12"/>
      <color rgb="FF333333"/>
      <name val="Calibri"/>
      <family val="2"/>
    </font>
    <font>
      <sz val="12"/>
      <color rgb="FF333333"/>
      <name val="Calibri"/>
      <family val="2"/>
    </font>
    <font>
      <i/>
      <sz val="12"/>
      <color rgb="FF333333"/>
      <name val="Calibri"/>
      <family val="2"/>
    </font>
    <font>
      <sz val="7"/>
      <color rgb="FF333333"/>
      <name val="Times New Roman"/>
      <family val="1"/>
    </font>
    <font>
      <u/>
      <sz val="12"/>
      <color rgb="FF333333"/>
      <name val="Calibri"/>
      <family val="2"/>
    </font>
    <font>
      <b/>
      <sz val="11"/>
      <color rgb="FF0033CC"/>
      <name val="Calibri"/>
      <family val="2"/>
      <scheme val="minor"/>
    </font>
    <font>
      <i/>
      <sz val="11"/>
      <color rgb="FF0033CC"/>
      <name val="Calibri"/>
      <family val="2"/>
      <scheme val="minor"/>
    </font>
    <font>
      <i/>
      <sz val="11"/>
      <color rgb="FFFF0000"/>
      <name val="Calibri"/>
      <family val="2"/>
      <scheme val="minor"/>
    </font>
    <font>
      <sz val="11"/>
      <color rgb="FF0033CC"/>
      <name val="Calibri"/>
      <family val="2"/>
      <scheme val="minor"/>
    </font>
    <font>
      <sz val="11"/>
      <color rgb="FFFF0000"/>
      <name val="Calibri"/>
      <family val="2"/>
      <scheme val="minor"/>
    </font>
    <font>
      <i/>
      <sz val="10"/>
      <color rgb="FF00B050"/>
      <name val="Calibri"/>
      <family val="2"/>
      <scheme val="minor"/>
    </font>
    <font>
      <i/>
      <sz val="10"/>
      <color rgb="FF0033CC"/>
      <name val="Calibri"/>
      <family val="2"/>
      <scheme val="minor"/>
    </font>
    <font>
      <b/>
      <sz val="11"/>
      <color rgb="FFFF0000"/>
      <name val="Calibri"/>
      <family val="2"/>
      <scheme val="minor"/>
    </font>
    <font>
      <sz val="10"/>
      <color rgb="FF0000FF"/>
      <name val="Calibri"/>
      <family val="2"/>
      <scheme val="minor"/>
    </font>
    <font>
      <sz val="10"/>
      <color theme="1"/>
      <name val="Calibri"/>
      <family val="2"/>
      <scheme val="minor"/>
    </font>
    <font>
      <i/>
      <sz val="10"/>
      <color rgb="FFFF0000"/>
      <name val="Calibri"/>
      <family val="2"/>
      <scheme val="minor"/>
    </font>
    <font>
      <i/>
      <sz val="11"/>
      <color theme="7" tint="-0.249977111117893"/>
      <name val="Calibri"/>
      <family val="2"/>
      <scheme val="minor"/>
    </font>
    <font>
      <u/>
      <sz val="11"/>
      <color theme="1"/>
      <name val="Calibri"/>
      <family val="2"/>
      <scheme val="minor"/>
    </font>
    <font>
      <sz val="6"/>
      <color rgb="FF333333"/>
      <name val="Calibri"/>
      <family val="2"/>
    </font>
    <font>
      <i/>
      <u/>
      <sz val="12"/>
      <color rgb="FF333333"/>
      <name val="Calibri"/>
      <family val="2"/>
    </font>
    <font>
      <vertAlign val="superscript"/>
      <sz val="12"/>
      <color rgb="FF333333"/>
      <name val="Calibri"/>
      <family val="2"/>
    </font>
    <font>
      <sz val="16"/>
      <color theme="1"/>
      <name val="Calibri"/>
      <family val="2"/>
      <scheme val="minor"/>
    </font>
    <font>
      <sz val="14"/>
      <color rgb="FFFF0000"/>
      <name val="Calibri"/>
      <family val="2"/>
      <scheme val="minor"/>
    </font>
    <font>
      <sz val="16"/>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249977111117893"/>
        <bgColor indexed="64"/>
      </patternFill>
    </fill>
    <fill>
      <patternFill patternType="solid">
        <fgColor theme="7" tint="0.79998168889431442"/>
        <bgColor indexed="64"/>
      </patternFill>
    </fill>
  </fills>
  <borders count="23">
    <border>
      <left/>
      <right/>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0" fontId="3" fillId="0" borderId="0" applyNumberFormat="0" applyFill="0" applyBorder="0" applyAlignment="0" applyProtection="0"/>
    <xf numFmtId="0" fontId="5" fillId="0" borderId="0"/>
    <xf numFmtId="0" fontId="1" fillId="0" borderId="0"/>
    <xf numFmtId="0" fontId="1" fillId="0" borderId="0"/>
    <xf numFmtId="0" fontId="1" fillId="0" borderId="0"/>
    <xf numFmtId="9" fontId="1" fillId="0" borderId="0" applyFont="0" applyFill="0" applyBorder="0" applyAlignment="0" applyProtection="0"/>
    <xf numFmtId="0" fontId="7" fillId="0" borderId="0" applyNumberFormat="0" applyFill="0" applyBorder="0" applyAlignment="0" applyProtection="0"/>
  </cellStyleXfs>
  <cellXfs count="185">
    <xf numFmtId="0" fontId="0" fillId="0" borderId="0" xfId="0"/>
    <xf numFmtId="0" fontId="2" fillId="2" borderId="0" xfId="0" applyFont="1" applyFill="1"/>
    <xf numFmtId="0" fontId="0" fillId="2" borderId="0" xfId="0" applyFill="1"/>
    <xf numFmtId="0" fontId="4" fillId="2" borderId="0" xfId="0" applyFont="1" applyFill="1"/>
    <xf numFmtId="0" fontId="2" fillId="2" borderId="0" xfId="3" applyFont="1" applyFill="1"/>
    <xf numFmtId="0" fontId="3" fillId="2" borderId="0" xfId="1" applyFill="1"/>
    <xf numFmtId="0" fontId="6" fillId="3" borderId="0" xfId="2" applyFont="1" applyFill="1"/>
    <xf numFmtId="0" fontId="5" fillId="3" borderId="0" xfId="2" applyFill="1"/>
    <xf numFmtId="0" fontId="8" fillId="3" borderId="0" xfId="2" applyFont="1" applyFill="1"/>
    <xf numFmtId="0" fontId="9" fillId="3" borderId="0" xfId="2" applyFont="1" applyFill="1"/>
    <xf numFmtId="0" fontId="10" fillId="3" borderId="0" xfId="7" applyFont="1" applyFill="1"/>
    <xf numFmtId="0" fontId="4" fillId="3" borderId="0" xfId="4" applyFont="1" applyFill="1"/>
    <xf numFmtId="0" fontId="12" fillId="0" borderId="4" xfId="2" applyFont="1" applyBorder="1" applyAlignment="1">
      <alignment vertical="center" wrapText="1"/>
    </xf>
    <xf numFmtId="0" fontId="13" fillId="0" borderId="5" xfId="2" applyFont="1" applyBorder="1" applyAlignment="1">
      <alignment vertical="center" wrapText="1"/>
    </xf>
    <xf numFmtId="0" fontId="12" fillId="0" borderId="5" xfId="2" applyFont="1" applyBorder="1" applyAlignment="1">
      <alignment horizontal="left" vertical="center" wrapText="1" indent="3"/>
    </xf>
    <xf numFmtId="0" fontId="12" fillId="0" borderId="5" xfId="2" applyFont="1" applyBorder="1" applyAlignment="1">
      <alignment vertical="center" wrapText="1"/>
    </xf>
    <xf numFmtId="0" fontId="11" fillId="0" borderId="1" xfId="2" applyFont="1" applyBorder="1" applyAlignment="1">
      <alignment vertical="center" wrapText="1"/>
    </xf>
    <xf numFmtId="0" fontId="4" fillId="3" borderId="6" xfId="4" applyFont="1" applyFill="1" applyBorder="1"/>
    <xf numFmtId="0" fontId="5" fillId="0" borderId="0" xfId="2"/>
    <xf numFmtId="0" fontId="16" fillId="0" borderId="0" xfId="2" applyFont="1"/>
    <xf numFmtId="0" fontId="8" fillId="0" borderId="0" xfId="2" applyFont="1" applyAlignment="1">
      <alignment horizontal="center"/>
    </xf>
    <xf numFmtId="164" fontId="17" fillId="0" borderId="0" xfId="2" applyNumberFormat="1" applyFont="1"/>
    <xf numFmtId="10" fontId="16" fillId="0" borderId="10" xfId="2" applyNumberFormat="1" applyFont="1" applyBorder="1" applyAlignment="1">
      <alignment horizontal="center"/>
    </xf>
    <xf numFmtId="164" fontId="17" fillId="0" borderId="0" xfId="2" applyNumberFormat="1" applyFont="1" applyAlignment="1">
      <alignment horizontal="right"/>
    </xf>
    <xf numFmtId="164" fontId="18" fillId="0" borderId="0" xfId="2" applyNumberFormat="1" applyFont="1" applyAlignment="1">
      <alignment horizontal="center"/>
    </xf>
    <xf numFmtId="0" fontId="19" fillId="0" borderId="0" xfId="2" applyFont="1" applyAlignment="1">
      <alignment horizontal="center"/>
    </xf>
    <xf numFmtId="0" fontId="18" fillId="0" borderId="0" xfId="2" applyFont="1" applyAlignment="1">
      <alignment horizontal="right"/>
    </xf>
    <xf numFmtId="0" fontId="20" fillId="0" borderId="0" xfId="2" applyFont="1"/>
    <xf numFmtId="0" fontId="21" fillId="0" borderId="0" xfId="2" applyFont="1" applyAlignment="1">
      <alignment horizontal="right"/>
    </xf>
    <xf numFmtId="37" fontId="5" fillId="0" borderId="0" xfId="2" applyNumberFormat="1"/>
    <xf numFmtId="0" fontId="20" fillId="0" borderId="0" xfId="2" applyFont="1" applyAlignment="1">
      <alignment horizontal="center"/>
    </xf>
    <xf numFmtId="37" fontId="22" fillId="0" borderId="0" xfId="2" applyNumberFormat="1" applyFont="1"/>
    <xf numFmtId="165" fontId="5" fillId="0" borderId="0" xfId="2" applyNumberFormat="1"/>
    <xf numFmtId="3" fontId="5" fillId="4" borderId="10" xfId="2" applyNumberFormat="1" applyFill="1" applyBorder="1"/>
    <xf numFmtId="0" fontId="5" fillId="0" borderId="0" xfId="2" applyAlignment="1">
      <alignment horizontal="right"/>
    </xf>
    <xf numFmtId="165" fontId="19" fillId="0" borderId="0" xfId="2" applyNumberFormat="1" applyFont="1" applyAlignment="1">
      <alignment horizontal="center"/>
    </xf>
    <xf numFmtId="10" fontId="23" fillId="0" borderId="10" xfId="2" applyNumberFormat="1" applyFont="1" applyBorder="1" applyAlignment="1">
      <alignment horizontal="center"/>
    </xf>
    <xf numFmtId="37" fontId="8" fillId="4" borderId="10" xfId="2" applyNumberFormat="1" applyFont="1" applyFill="1" applyBorder="1"/>
    <xf numFmtId="0" fontId="19" fillId="0" borderId="11" xfId="2" applyFont="1" applyBorder="1" applyAlignment="1">
      <alignment vertical="center" wrapText="1"/>
    </xf>
    <xf numFmtId="0" fontId="5" fillId="0" borderId="12" xfId="2" applyBorder="1" applyAlignment="1">
      <alignment vertical="center" wrapText="1"/>
    </xf>
    <xf numFmtId="0" fontId="24" fillId="0" borderId="11" xfId="2" applyFont="1" applyBorder="1" applyAlignment="1">
      <alignment horizontal="left" vertical="center" wrapText="1"/>
    </xf>
    <xf numFmtId="9" fontId="5" fillId="0" borderId="11" xfId="2" applyNumberFormat="1" applyBorder="1" applyAlignment="1">
      <alignment horizontal="center" vertical="center"/>
    </xf>
    <xf numFmtId="10" fontId="5" fillId="0" borderId="12" xfId="2" applyNumberFormat="1" applyBorder="1" applyAlignment="1">
      <alignment horizontal="center" vertical="center"/>
    </xf>
    <xf numFmtId="0" fontId="5" fillId="0" borderId="13" xfId="2" applyBorder="1" applyAlignment="1">
      <alignment horizontal="center" vertical="center"/>
    </xf>
    <xf numFmtId="0" fontId="5" fillId="0" borderId="12" xfId="2" applyBorder="1" applyAlignment="1">
      <alignment horizontal="center" vertical="center"/>
    </xf>
    <xf numFmtId="165" fontId="5" fillId="0" borderId="11" xfId="2" applyNumberFormat="1" applyBorder="1" applyAlignment="1">
      <alignment horizontal="center" vertical="center"/>
    </xf>
    <xf numFmtId="165" fontId="5" fillId="0" borderId="12" xfId="2" applyNumberFormat="1" applyBorder="1" applyAlignment="1">
      <alignment horizontal="center" vertical="center"/>
    </xf>
    <xf numFmtId="10" fontId="19" fillId="0" borderId="12" xfId="2" applyNumberFormat="1" applyFont="1" applyBorder="1" applyAlignment="1">
      <alignment horizontal="center" vertical="center"/>
    </xf>
    <xf numFmtId="37" fontId="5" fillId="3" borderId="14" xfId="2" applyNumberFormat="1" applyFill="1" applyBorder="1" applyAlignment="1">
      <alignment vertical="center"/>
    </xf>
    <xf numFmtId="37" fontId="5" fillId="0" borderId="11" xfId="2" applyNumberFormat="1" applyBorder="1" applyAlignment="1">
      <alignment vertical="center"/>
    </xf>
    <xf numFmtId="2" fontId="5" fillId="0" borderId="11" xfId="2" applyNumberFormat="1" applyBorder="1" applyAlignment="1">
      <alignment horizontal="center" vertical="center"/>
    </xf>
    <xf numFmtId="3" fontId="5" fillId="0" borderId="11" xfId="2" applyNumberFormat="1" applyBorder="1" applyAlignment="1">
      <alignment horizontal="center" vertical="center"/>
    </xf>
    <xf numFmtId="0" fontId="5" fillId="0" borderId="6" xfId="2" applyBorder="1" applyAlignment="1">
      <alignment vertical="center" wrapText="1"/>
    </xf>
    <xf numFmtId="0" fontId="5" fillId="0" borderId="12" xfId="2" applyBorder="1"/>
    <xf numFmtId="0" fontId="19" fillId="0" borderId="15" xfId="2" applyFont="1" applyBorder="1" applyAlignment="1">
      <alignment vertical="center" wrapText="1"/>
    </xf>
    <xf numFmtId="0" fontId="5" fillId="0" borderId="14" xfId="2" applyBorder="1" applyAlignment="1">
      <alignment vertical="center" wrapText="1"/>
    </xf>
    <xf numFmtId="0" fontId="25" fillId="0" borderId="15" xfId="2" applyFont="1" applyBorder="1" applyAlignment="1">
      <alignment horizontal="left" vertical="center" wrapText="1"/>
    </xf>
    <xf numFmtId="9" fontId="5" fillId="0" borderId="15" xfId="2" applyNumberFormat="1" applyBorder="1" applyAlignment="1">
      <alignment horizontal="center" vertical="center"/>
    </xf>
    <xf numFmtId="10" fontId="5" fillId="0" borderId="14" xfId="2" applyNumberFormat="1" applyBorder="1" applyAlignment="1">
      <alignment horizontal="center" vertical="center"/>
    </xf>
    <xf numFmtId="0" fontId="5" fillId="0" borderId="16" xfId="2" applyBorder="1" applyAlignment="1">
      <alignment horizontal="center" vertical="center"/>
    </xf>
    <xf numFmtId="0" fontId="5" fillId="0" borderId="14" xfId="2" applyBorder="1" applyAlignment="1">
      <alignment horizontal="center" vertical="center"/>
    </xf>
    <xf numFmtId="165" fontId="5" fillId="0" borderId="15" xfId="2" applyNumberFormat="1" applyBorder="1" applyAlignment="1">
      <alignment horizontal="center" vertical="center"/>
    </xf>
    <xf numFmtId="165" fontId="5" fillId="0" borderId="14" xfId="2" applyNumberFormat="1" applyBorder="1" applyAlignment="1">
      <alignment horizontal="center" vertical="center"/>
    </xf>
    <xf numFmtId="10" fontId="19" fillId="0" borderId="14" xfId="2" applyNumberFormat="1" applyFont="1" applyBorder="1" applyAlignment="1">
      <alignment horizontal="center" vertical="center"/>
    </xf>
    <xf numFmtId="37" fontId="5" fillId="0" borderId="15" xfId="2" applyNumberFormat="1" applyBorder="1" applyAlignment="1">
      <alignment vertical="center"/>
    </xf>
    <xf numFmtId="2" fontId="5" fillId="0" borderId="15" xfId="2" applyNumberFormat="1" applyBorder="1" applyAlignment="1">
      <alignment horizontal="center" vertical="center"/>
    </xf>
    <xf numFmtId="0" fontId="5" fillId="0" borderId="15" xfId="2" applyBorder="1" applyAlignment="1">
      <alignment horizontal="center" vertical="center"/>
    </xf>
    <xf numFmtId="0" fontId="5" fillId="0" borderId="0" xfId="2" applyAlignment="1">
      <alignment vertical="center" wrapText="1"/>
    </xf>
    <xf numFmtId="0" fontId="8" fillId="0" borderId="14" xfId="2" applyFont="1" applyBorder="1"/>
    <xf numFmtId="0" fontId="5" fillId="0" borderId="16" xfId="2" applyBorder="1"/>
    <xf numFmtId="0" fontId="5" fillId="0" borderId="14" xfId="2" applyBorder="1"/>
    <xf numFmtId="0" fontId="24" fillId="0" borderId="15" xfId="2" applyFont="1" applyBorder="1" applyAlignment="1">
      <alignment horizontal="left" vertical="center" wrapText="1"/>
    </xf>
    <xf numFmtId="164" fontId="5" fillId="0" borderId="15" xfId="2" applyNumberFormat="1" applyBorder="1" applyAlignment="1">
      <alignment horizontal="center" vertical="center"/>
    </xf>
    <xf numFmtId="3" fontId="5" fillId="0" borderId="15" xfId="2" applyNumberFormat="1" applyBorder="1" applyAlignment="1">
      <alignment horizontal="center" vertical="center"/>
    </xf>
    <xf numFmtId="0" fontId="5" fillId="0" borderId="0" xfId="2" applyAlignment="1">
      <alignment vertical="center"/>
    </xf>
    <xf numFmtId="10" fontId="5" fillId="0" borderId="15" xfId="2" applyNumberFormat="1" applyBorder="1" applyAlignment="1">
      <alignment horizontal="center" vertical="center"/>
    </xf>
    <xf numFmtId="0" fontId="5" fillId="0" borderId="15" xfId="2" applyBorder="1" applyAlignment="1">
      <alignment horizontal="center"/>
    </xf>
    <xf numFmtId="0" fontId="5" fillId="0" borderId="14" xfId="2" applyBorder="1" applyAlignment="1">
      <alignment horizontal="center"/>
    </xf>
    <xf numFmtId="0" fontId="5" fillId="0" borderId="16" xfId="2" applyBorder="1" applyAlignment="1">
      <alignment horizontal="center"/>
    </xf>
    <xf numFmtId="165" fontId="5" fillId="0" borderId="15" xfId="2" applyNumberFormat="1" applyBorder="1" applyAlignment="1">
      <alignment horizontal="center"/>
    </xf>
    <xf numFmtId="165" fontId="5" fillId="0" borderId="14" xfId="2" applyNumberFormat="1" applyBorder="1" applyAlignment="1">
      <alignment horizontal="center"/>
    </xf>
    <xf numFmtId="10" fontId="19" fillId="0" borderId="14" xfId="2" applyNumberFormat="1" applyFont="1" applyBorder="1" applyAlignment="1">
      <alignment horizontal="center"/>
    </xf>
    <xf numFmtId="37" fontId="5" fillId="3" borderId="14" xfId="2" applyNumberFormat="1" applyFill="1" applyBorder="1"/>
    <xf numFmtId="37" fontId="5" fillId="0" borderId="15" xfId="2" applyNumberFormat="1" applyBorder="1"/>
    <xf numFmtId="2" fontId="5" fillId="0" borderId="15" xfId="2" applyNumberFormat="1" applyBorder="1" applyAlignment="1">
      <alignment horizontal="center"/>
    </xf>
    <xf numFmtId="0" fontId="5" fillId="0" borderId="17" xfId="2" applyBorder="1" applyAlignment="1">
      <alignment vertical="center" wrapText="1"/>
    </xf>
    <xf numFmtId="0" fontId="25" fillId="0" borderId="18" xfId="2" applyFont="1" applyBorder="1" applyAlignment="1">
      <alignment horizontal="left" vertical="center" wrapText="1"/>
    </xf>
    <xf numFmtId="0" fontId="5" fillId="0" borderId="18" xfId="2" applyBorder="1" applyAlignment="1">
      <alignment horizontal="center"/>
    </xf>
    <xf numFmtId="0" fontId="5" fillId="0" borderId="17" xfId="2" applyBorder="1" applyAlignment="1">
      <alignment horizontal="center"/>
    </xf>
    <xf numFmtId="0" fontId="5" fillId="0" borderId="19" xfId="2" applyBorder="1" applyAlignment="1">
      <alignment horizontal="center"/>
    </xf>
    <xf numFmtId="165" fontId="5" fillId="0" borderId="18" xfId="2" applyNumberFormat="1" applyBorder="1" applyAlignment="1">
      <alignment horizontal="center"/>
    </xf>
    <xf numFmtId="165" fontId="5" fillId="0" borderId="17" xfId="2" applyNumberFormat="1" applyBorder="1" applyAlignment="1">
      <alignment horizontal="center"/>
    </xf>
    <xf numFmtId="10" fontId="19" fillId="0" borderId="17" xfId="2" applyNumberFormat="1" applyFont="1" applyBorder="1" applyAlignment="1">
      <alignment horizontal="center"/>
    </xf>
    <xf numFmtId="37" fontId="5" fillId="0" borderId="18" xfId="2" applyNumberFormat="1" applyBorder="1"/>
    <xf numFmtId="2" fontId="5" fillId="0" borderId="18" xfId="2" applyNumberFormat="1" applyBorder="1" applyAlignment="1">
      <alignment horizontal="center"/>
    </xf>
    <xf numFmtId="0" fontId="5" fillId="0" borderId="20" xfId="2" applyBorder="1"/>
    <xf numFmtId="0" fontId="5" fillId="0" borderId="17" xfId="2" applyBorder="1"/>
    <xf numFmtId="0" fontId="8" fillId="0" borderId="12" xfId="2" applyFont="1" applyBorder="1" applyAlignment="1">
      <alignment horizontal="center" vertical="center" wrapText="1"/>
    </xf>
    <xf numFmtId="0" fontId="8" fillId="0" borderId="11" xfId="2" applyFont="1" applyBorder="1" applyAlignment="1">
      <alignment horizontal="center"/>
    </xf>
    <xf numFmtId="0" fontId="8" fillId="0" borderId="13" xfId="2" applyFont="1" applyBorder="1" applyAlignment="1">
      <alignment horizontal="center"/>
    </xf>
    <xf numFmtId="0" fontId="8" fillId="0" borderId="12" xfId="2" applyFont="1" applyBorder="1" applyAlignment="1">
      <alignment horizontal="center"/>
    </xf>
    <xf numFmtId="0" fontId="8" fillId="0" borderId="6" xfId="2" applyFont="1" applyBorder="1" applyAlignment="1">
      <alignment horizontal="center"/>
    </xf>
    <xf numFmtId="0" fontId="16" fillId="0" borderId="11" xfId="2" applyFont="1" applyBorder="1" applyAlignment="1">
      <alignment horizontal="center"/>
    </xf>
    <xf numFmtId="0" fontId="5" fillId="0" borderId="18" xfId="2" applyBorder="1"/>
    <xf numFmtId="0" fontId="16" fillId="0" borderId="18" xfId="2" applyFont="1" applyBorder="1" applyAlignment="1">
      <alignment horizontal="center"/>
    </xf>
    <xf numFmtId="0" fontId="23" fillId="0" borderId="0" xfId="2" applyFont="1"/>
    <xf numFmtId="0" fontId="19" fillId="0" borderId="0" xfId="2" applyFont="1"/>
    <xf numFmtId="0" fontId="23" fillId="0" borderId="0" xfId="2" applyFont="1" applyAlignment="1">
      <alignment horizontal="right"/>
    </xf>
    <xf numFmtId="0" fontId="5" fillId="5" borderId="0" xfId="2" applyFill="1"/>
    <xf numFmtId="164" fontId="18" fillId="5" borderId="0" xfId="2" applyNumberFormat="1" applyFont="1" applyFill="1" applyAlignment="1">
      <alignment horizontal="center"/>
    </xf>
    <xf numFmtId="0" fontId="18" fillId="5" borderId="0" xfId="2" applyFont="1" applyFill="1" applyAlignment="1">
      <alignment horizontal="right"/>
    </xf>
    <xf numFmtId="0" fontId="20" fillId="5" borderId="0" xfId="2" applyFont="1" applyFill="1"/>
    <xf numFmtId="0" fontId="5" fillId="5" borderId="0" xfId="2" applyFill="1" applyAlignment="1">
      <alignment horizontal="right" indent="1"/>
    </xf>
    <xf numFmtId="0" fontId="5" fillId="5" borderId="0" xfId="2" applyFill="1" applyAlignment="1">
      <alignment horizontal="center"/>
    </xf>
    <xf numFmtId="0" fontId="5" fillId="0" borderId="0" xfId="2" applyAlignment="1">
      <alignment horizontal="right" indent="1"/>
    </xf>
    <xf numFmtId="0" fontId="5" fillId="0" borderId="0" xfId="2" applyAlignment="1">
      <alignment horizontal="center"/>
    </xf>
    <xf numFmtId="0" fontId="26" fillId="0" borderId="0" xfId="2" applyFont="1"/>
    <xf numFmtId="0" fontId="26" fillId="0" borderId="0" xfId="2" applyFont="1" applyAlignment="1">
      <alignment horizontal="center"/>
    </xf>
    <xf numFmtId="165" fontId="27" fillId="0" borderId="0" xfId="2" applyNumberFormat="1" applyFont="1"/>
    <xf numFmtId="0" fontId="26" fillId="0" borderId="0" xfId="2" applyFont="1" applyAlignment="1">
      <alignment horizontal="right"/>
    </xf>
    <xf numFmtId="0" fontId="20" fillId="0" borderId="12" xfId="2" applyFont="1" applyBorder="1" applyAlignment="1">
      <alignment vertical="center" wrapText="1"/>
    </xf>
    <xf numFmtId="0" fontId="25" fillId="0" borderId="11" xfId="2" applyFont="1" applyBorder="1" applyAlignment="1">
      <alignment horizontal="left" vertical="center" wrapText="1"/>
    </xf>
    <xf numFmtId="0" fontId="5" fillId="0" borderId="11" xfId="2" applyBorder="1" applyAlignment="1">
      <alignment horizontal="center" vertical="center"/>
    </xf>
    <xf numFmtId="165" fontId="19" fillId="0" borderId="11" xfId="2" applyNumberFormat="1" applyFont="1" applyBorder="1" applyAlignment="1">
      <alignment horizontal="center" vertical="center"/>
    </xf>
    <xf numFmtId="165" fontId="19" fillId="0" borderId="12" xfId="2" applyNumberFormat="1" applyFont="1" applyBorder="1" applyAlignment="1">
      <alignment horizontal="center" vertical="center"/>
    </xf>
    <xf numFmtId="165" fontId="5" fillId="3" borderId="14" xfId="2" applyNumberFormat="1" applyFill="1" applyBorder="1" applyAlignment="1">
      <alignment horizontal="center" vertical="center"/>
    </xf>
    <xf numFmtId="0" fontId="20" fillId="0" borderId="14" xfId="2" applyFont="1" applyBorder="1" applyAlignment="1">
      <alignment vertical="center" wrapText="1"/>
    </xf>
    <xf numFmtId="165" fontId="19" fillId="0" borderId="15" xfId="2" applyNumberFormat="1" applyFont="1" applyBorder="1" applyAlignment="1">
      <alignment horizontal="center" vertical="center"/>
    </xf>
    <xf numFmtId="165" fontId="19" fillId="0" borderId="14" xfId="2" applyNumberFormat="1" applyFont="1" applyBorder="1" applyAlignment="1">
      <alignment horizontal="center" vertical="center"/>
    </xf>
    <xf numFmtId="165" fontId="19" fillId="3" borderId="14" xfId="2" applyNumberFormat="1" applyFont="1" applyFill="1" applyBorder="1" applyAlignment="1">
      <alignment horizontal="center" vertical="center"/>
    </xf>
    <xf numFmtId="0" fontId="25" fillId="0" borderId="14" xfId="2" applyFont="1" applyBorder="1" applyAlignment="1">
      <alignment vertical="center" wrapText="1"/>
    </xf>
    <xf numFmtId="0" fontId="26" fillId="0" borderId="14" xfId="2" applyFont="1" applyBorder="1" applyAlignment="1">
      <alignment horizontal="center" wrapText="1"/>
    </xf>
    <xf numFmtId="4" fontId="5" fillId="0" borderId="15" xfId="2" applyNumberFormat="1" applyBorder="1" applyAlignment="1">
      <alignment horizontal="center" vertical="center"/>
    </xf>
    <xf numFmtId="0" fontId="21" fillId="0" borderId="14" xfId="2" applyFont="1" applyBorder="1" applyAlignment="1">
      <alignment horizontal="center" vertical="center"/>
    </xf>
    <xf numFmtId="9" fontId="20" fillId="0" borderId="15" xfId="2" applyNumberFormat="1" applyFont="1" applyBorder="1" applyAlignment="1">
      <alignment horizontal="center" vertical="center"/>
    </xf>
    <xf numFmtId="10" fontId="20" fillId="0" borderId="14" xfId="2" applyNumberFormat="1" applyFont="1" applyBorder="1" applyAlignment="1">
      <alignment horizontal="center" vertical="center"/>
    </xf>
    <xf numFmtId="0" fontId="17" fillId="0" borderId="15" xfId="2" applyFont="1" applyBorder="1" applyAlignment="1">
      <alignment vertical="center" wrapText="1"/>
    </xf>
    <xf numFmtId="165" fontId="19" fillId="0" borderId="15" xfId="2" applyNumberFormat="1" applyFont="1" applyBorder="1" applyAlignment="1">
      <alignment horizontal="center"/>
    </xf>
    <xf numFmtId="165" fontId="19" fillId="0" borderId="14" xfId="2" applyNumberFormat="1" applyFont="1" applyBorder="1" applyAlignment="1">
      <alignment horizontal="center"/>
    </xf>
    <xf numFmtId="0" fontId="19" fillId="0" borderId="18" xfId="2" applyFont="1" applyBorder="1" applyAlignment="1">
      <alignment vertical="center" wrapText="1"/>
    </xf>
    <xf numFmtId="165" fontId="19" fillId="0" borderId="18" xfId="2" applyNumberFormat="1" applyFont="1" applyBorder="1" applyAlignment="1">
      <alignment horizontal="center"/>
    </xf>
    <xf numFmtId="0" fontId="23" fillId="0" borderId="15" xfId="2" applyFont="1" applyBorder="1" applyAlignment="1">
      <alignment horizontal="center"/>
    </xf>
    <xf numFmtId="0" fontId="16" fillId="0" borderId="13" xfId="2" applyFont="1" applyBorder="1" applyAlignment="1">
      <alignment horizontal="center"/>
    </xf>
    <xf numFmtId="0" fontId="16" fillId="0" borderId="6" xfId="2" applyFont="1" applyBorder="1" applyAlignment="1">
      <alignment horizontal="center"/>
    </xf>
    <xf numFmtId="0" fontId="19" fillId="0" borderId="18" xfId="2" applyFont="1" applyBorder="1"/>
    <xf numFmtId="0" fontId="8" fillId="0" borderId="0" xfId="2" applyFont="1"/>
    <xf numFmtId="0" fontId="28" fillId="0" borderId="0" xfId="2" applyFont="1"/>
    <xf numFmtId="0" fontId="19" fillId="6" borderId="15" xfId="2" applyFont="1" applyFill="1" applyBorder="1" applyAlignment="1">
      <alignment vertical="center" wrapText="1"/>
    </xf>
    <xf numFmtId="1" fontId="5" fillId="0" borderId="15" xfId="2" applyNumberFormat="1" applyBorder="1" applyAlignment="1">
      <alignment horizontal="center" vertical="center"/>
    </xf>
    <xf numFmtId="0" fontId="29" fillId="0" borderId="5" xfId="2" applyFont="1" applyBorder="1" applyAlignment="1">
      <alignment vertical="center" wrapText="1"/>
    </xf>
    <xf numFmtId="0" fontId="12" fillId="0" borderId="1" xfId="2" applyFont="1" applyBorder="1" applyAlignment="1">
      <alignment horizontal="left" vertical="center" wrapText="1" indent="3"/>
    </xf>
    <xf numFmtId="0" fontId="12" fillId="0" borderId="21" xfId="2" applyFont="1" applyBorder="1" applyAlignment="1">
      <alignment vertical="center" wrapText="1"/>
    </xf>
    <xf numFmtId="0" fontId="11" fillId="0" borderId="22" xfId="2" applyFont="1" applyBorder="1" applyAlignment="1">
      <alignment vertical="center" wrapText="1"/>
    </xf>
    <xf numFmtId="0" fontId="4" fillId="3" borderId="0" xfId="0" applyFont="1" applyFill="1"/>
    <xf numFmtId="0" fontId="32" fillId="3" borderId="0" xfId="0" applyFont="1" applyFill="1" applyAlignment="1">
      <alignment horizontal="left" vertical="top" wrapText="1"/>
    </xf>
    <xf numFmtId="0" fontId="32" fillId="3" borderId="0" xfId="0" applyFont="1" applyFill="1" applyAlignment="1">
      <alignment vertical="top"/>
    </xf>
    <xf numFmtId="0" fontId="9" fillId="5" borderId="0" xfId="0" applyFont="1" applyFill="1"/>
    <xf numFmtId="0" fontId="3" fillId="5" borderId="0" xfId="1" applyFill="1"/>
    <xf numFmtId="0" fontId="9" fillId="5" borderId="0" xfId="0" applyFont="1" applyFill="1" applyAlignment="1">
      <alignment horizontal="right"/>
    </xf>
    <xf numFmtId="0" fontId="33" fillId="5" borderId="0" xfId="0" applyFont="1" applyFill="1"/>
    <xf numFmtId="0" fontId="34" fillId="3" borderId="0" xfId="0" applyFont="1" applyFill="1" applyAlignment="1">
      <alignment horizontal="left" vertical="top" wrapText="1"/>
    </xf>
    <xf numFmtId="0" fontId="34" fillId="3" borderId="0" xfId="0" applyFont="1" applyFill="1" applyAlignment="1">
      <alignment vertical="top"/>
    </xf>
    <xf numFmtId="0" fontId="11" fillId="0" borderId="3" xfId="2" applyFont="1" applyBorder="1" applyAlignment="1">
      <alignment vertical="center" wrapText="1"/>
    </xf>
    <xf numFmtId="0" fontId="11" fillId="0" borderId="1" xfId="2" applyFont="1" applyBorder="1" applyAlignment="1">
      <alignment vertical="center" wrapText="1"/>
    </xf>
    <xf numFmtId="0" fontId="12" fillId="0" borderId="3" xfId="2" applyFont="1" applyBorder="1" applyAlignment="1">
      <alignment vertical="center" wrapText="1"/>
    </xf>
    <xf numFmtId="0" fontId="12" fillId="0" borderId="1" xfId="2" applyFont="1" applyBorder="1" applyAlignment="1">
      <alignment vertical="center" wrapText="1"/>
    </xf>
    <xf numFmtId="0" fontId="11" fillId="0" borderId="2" xfId="2" applyFont="1" applyBorder="1" applyAlignment="1">
      <alignment vertical="center" wrapText="1"/>
    </xf>
    <xf numFmtId="0" fontId="5" fillId="0" borderId="9" xfId="2" applyBorder="1" applyAlignment="1">
      <alignment wrapText="1"/>
    </xf>
    <xf numFmtId="0" fontId="5" fillId="0" borderId="8" xfId="2" applyBorder="1" applyAlignment="1">
      <alignment wrapText="1"/>
    </xf>
    <xf numFmtId="0" fontId="5" fillId="0" borderId="7" xfId="2" applyBorder="1" applyAlignment="1">
      <alignment wrapText="1"/>
    </xf>
    <xf numFmtId="0" fontId="23" fillId="0" borderId="17" xfId="2" applyFont="1" applyBorder="1" applyAlignment="1">
      <alignment horizontal="center"/>
    </xf>
    <xf numFmtId="0" fontId="20" fillId="0" borderId="20" xfId="2" applyFont="1" applyBorder="1" applyAlignment="1">
      <alignment horizontal="center"/>
    </xf>
    <xf numFmtId="15" fontId="8" fillId="0" borderId="17" xfId="2" applyNumberFormat="1" applyFont="1" applyBorder="1" applyAlignment="1">
      <alignment horizontal="center"/>
    </xf>
    <xf numFmtId="0" fontId="5" fillId="0" borderId="20" xfId="2" applyBorder="1" applyAlignment="1">
      <alignment horizontal="center"/>
    </xf>
    <xf numFmtId="0" fontId="5" fillId="0" borderId="19" xfId="2" applyBorder="1" applyAlignment="1">
      <alignment horizontal="center"/>
    </xf>
    <xf numFmtId="0" fontId="8" fillId="0" borderId="20" xfId="2" applyFont="1" applyBorder="1" applyAlignment="1">
      <alignment horizontal="center" vertical="center"/>
    </xf>
    <xf numFmtId="0" fontId="8" fillId="0" borderId="19" xfId="2" applyFont="1" applyBorder="1" applyAlignment="1">
      <alignment horizontal="center" vertical="center"/>
    </xf>
    <xf numFmtId="0" fontId="8" fillId="0" borderId="17" xfId="2" applyFont="1" applyBorder="1" applyAlignment="1">
      <alignment horizontal="center"/>
    </xf>
    <xf numFmtId="0" fontId="8" fillId="0" borderId="20" xfId="2" applyFont="1" applyBorder="1" applyAlignment="1">
      <alignment horizontal="center"/>
    </xf>
    <xf numFmtId="0" fontId="8" fillId="0" borderId="19" xfId="2" applyFont="1" applyBorder="1" applyAlignment="1">
      <alignment horizontal="center"/>
    </xf>
    <xf numFmtId="0" fontId="8" fillId="0" borderId="12" xfId="2" applyFont="1" applyBorder="1" applyAlignment="1">
      <alignment horizontal="center"/>
    </xf>
    <xf numFmtId="0" fontId="5" fillId="0" borderId="6" xfId="2" applyBorder="1" applyAlignment="1">
      <alignment horizontal="center"/>
    </xf>
    <xf numFmtId="0" fontId="16" fillId="0" borderId="20" xfId="2" applyFont="1" applyBorder="1" applyAlignment="1">
      <alignment horizontal="center" vertical="center"/>
    </xf>
    <xf numFmtId="0" fontId="16" fillId="0" borderId="19" xfId="2" applyFont="1" applyBorder="1" applyAlignment="1">
      <alignment horizontal="center" vertical="center"/>
    </xf>
    <xf numFmtId="0" fontId="3" fillId="3" borderId="0" xfId="1" applyFill="1"/>
  </cellXfs>
  <cellStyles count="8">
    <cellStyle name="Hyperlink" xfId="1" builtinId="8"/>
    <cellStyle name="Hyperlink 2" xfId="7" xr:uid="{00000000-0005-0000-0000-000001000000}"/>
    <cellStyle name="Normal" xfId="0" builtinId="0"/>
    <cellStyle name="Normal 2" xfId="2" xr:uid="{00000000-0005-0000-0000-000003000000}"/>
    <cellStyle name="Normal 2 2" xfId="3" xr:uid="{00000000-0005-0000-0000-000004000000}"/>
    <cellStyle name="Normal 3" xfId="4" xr:uid="{00000000-0005-0000-0000-000005000000}"/>
    <cellStyle name="Normal 4" xfId="5" xr:uid="{00000000-0005-0000-0000-000006000000}"/>
    <cellStyle name="Percent 2" xfId="6" xr:uid="{00000000-0005-0000-0000-000007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hyperlink" Target="https://www.google.com/url?sa=i&amp;rct=j&amp;q=&amp;esrc=s&amp;source=images&amp;cd=&amp;cad=rja&amp;uact=8&amp;ved=0ahUKEwiBqZiS8LDTAhXIdSYKHfPlDWgQjRwIBw&amp;url=https://www.amazon.com/Global-Risk-Agility-Decision-Making/dp/1349948594&amp;psig=AFQjCNFuvLjWsNz4UVMHe6FauCzgwGGvgg&amp;ust=149270353127960" TargetMode="External"/><Relationship Id="rId2" Type="http://schemas.openxmlformats.org/officeDocument/2006/relationships/image" Target="../media/image4.jpeg"/><Relationship Id="rId1" Type="http://schemas.openxmlformats.org/officeDocument/2006/relationships/hyperlink" Target="https://www.amazon.com/Stress-Test-Reflections-Financial-Crises/dp/080413861" TargetMode="External"/><Relationship Id="rId6" Type="http://schemas.openxmlformats.org/officeDocument/2006/relationships/image" Target="../media/image6.jpeg"/><Relationship Id="rId5" Type="http://schemas.openxmlformats.org/officeDocument/2006/relationships/hyperlink" Target="https://en.wikipedia.org/wiki/All_the_Devils_Are_Her" TargetMode="External"/><Relationship Id="rId4"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9</xdr:col>
      <xdr:colOff>660400</xdr:colOff>
      <xdr:row>1</xdr:row>
      <xdr:rowOff>139700</xdr:rowOff>
    </xdr:from>
    <xdr:to>
      <xdr:col>15</xdr:col>
      <xdr:colOff>431800</xdr:colOff>
      <xdr:row>22</xdr:row>
      <xdr:rowOff>63500</xdr:rowOff>
    </xdr:to>
    <xdr:pic>
      <xdr:nvPicPr>
        <xdr:cNvPr id="2" name="Picture 1">
          <a:extLst>
            <a:ext uri="{FF2B5EF4-FFF2-40B4-BE49-F238E27FC236}">
              <a16:creationId xmlns:a16="http://schemas.microsoft.com/office/drawing/2014/main" id="{A0217CB0-23F3-8E4F-BC58-204EA33D1A1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88300" y="381000"/>
          <a:ext cx="3810000" cy="4991100"/>
        </a:xfrm>
        <a:prstGeom prst="rect">
          <a:avLst/>
        </a:prstGeom>
      </xdr:spPr>
    </xdr:pic>
    <xdr:clientData/>
  </xdr:twoCellAnchor>
  <xdr:twoCellAnchor editAs="oneCell">
    <xdr:from>
      <xdr:col>16</xdr:col>
      <xdr:colOff>114300</xdr:colOff>
      <xdr:row>1</xdr:row>
      <xdr:rowOff>114300</xdr:rowOff>
    </xdr:from>
    <xdr:to>
      <xdr:col>27</xdr:col>
      <xdr:colOff>254000</xdr:colOff>
      <xdr:row>43</xdr:row>
      <xdr:rowOff>25400</xdr:rowOff>
    </xdr:to>
    <xdr:pic>
      <xdr:nvPicPr>
        <xdr:cNvPr id="3" name="Picture 2">
          <a:extLst>
            <a:ext uri="{FF2B5EF4-FFF2-40B4-BE49-F238E27FC236}">
              <a16:creationId xmlns:a16="http://schemas.microsoft.com/office/drawing/2014/main" id="{2023E642-D6D0-9E43-AA36-D88D2DAC252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153900" y="355600"/>
          <a:ext cx="7543800" cy="10058400"/>
        </a:xfrm>
        <a:prstGeom prst="rect">
          <a:avLst/>
        </a:prstGeom>
      </xdr:spPr>
    </xdr:pic>
    <xdr:clientData/>
  </xdr:twoCellAnchor>
  <xdr:twoCellAnchor editAs="oneCell">
    <xdr:from>
      <xdr:col>27</xdr:col>
      <xdr:colOff>495300</xdr:colOff>
      <xdr:row>1</xdr:row>
      <xdr:rowOff>114300</xdr:rowOff>
    </xdr:from>
    <xdr:to>
      <xdr:col>74</xdr:col>
      <xdr:colOff>609600</xdr:colOff>
      <xdr:row>64</xdr:row>
      <xdr:rowOff>152400</xdr:rowOff>
    </xdr:to>
    <xdr:pic>
      <xdr:nvPicPr>
        <xdr:cNvPr id="4" name="Picture 3" descr="Image result for exxon valdez">
          <a:extLst>
            <a:ext uri="{FF2B5EF4-FFF2-40B4-BE49-F238E27FC236}">
              <a16:creationId xmlns:a16="http://schemas.microsoft.com/office/drawing/2014/main" id="{63BEED63-AFFF-694C-ADAF-2E0ED19B90C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939000" y="355600"/>
          <a:ext cx="31750000" cy="1525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7</xdr:col>
      <xdr:colOff>0</xdr:colOff>
      <xdr:row>22</xdr:row>
      <xdr:rowOff>0</xdr:rowOff>
    </xdr:from>
    <xdr:ext cx="1816100" cy="2794000"/>
    <xdr:pic>
      <xdr:nvPicPr>
        <xdr:cNvPr id="2" name="Picture 1" descr="mage result for stress test geithner">
          <a:hlinkClick xmlns:r="http://schemas.openxmlformats.org/officeDocument/2006/relationships" r:id="rId1" tgtFrame="_blank"/>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78500" y="4470400"/>
          <a:ext cx="1816100" cy="27940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0</xdr:colOff>
      <xdr:row>5</xdr:row>
      <xdr:rowOff>1</xdr:rowOff>
    </xdr:from>
    <xdr:ext cx="1805725" cy="2717800"/>
    <xdr:pic>
      <xdr:nvPicPr>
        <xdr:cNvPr id="3" name="Picture 2" descr="mage result for global risk agility and decision making">
          <a:hlinkClick xmlns:r="http://schemas.openxmlformats.org/officeDocument/2006/relationships" r:id="rId3" tgtFrame="_blank"/>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78500" y="1016001"/>
          <a:ext cx="1805725" cy="27178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10</xdr:col>
      <xdr:colOff>0</xdr:colOff>
      <xdr:row>5</xdr:row>
      <xdr:rowOff>0</xdr:rowOff>
    </xdr:from>
    <xdr:ext cx="1825647" cy="2743200"/>
    <xdr:pic>
      <xdr:nvPicPr>
        <xdr:cNvPr id="4" name="Picture 3" descr="mage result for all the devils are here">
          <a:hlinkClick xmlns:r="http://schemas.openxmlformats.org/officeDocument/2006/relationships" r:id="rId5" tgtFrame="_blank"/>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255000" y="1016000"/>
          <a:ext cx="1825647" cy="27432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Users/davidromoff/Google%20Drive/FRM/Fall17/FRMClass1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Downloads/OldFRM/FRMClass1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djr2132/Downloads/Class7.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davidromoff/Google%20Drive/FRM/Fall17/FRMClass6.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dromoff/Desktop/FRM_Class3/FRM_1_VaR.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RMClass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quidity_VaR"/>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11"/>
      <sheetName val="Liquidity_VaR"/>
      <sheetName val="Liquidty"/>
      <sheetName val="LiquidityOtherThougths"/>
      <sheetName val="Homework"/>
      <sheetName val="O_Material"/>
      <sheetName val="O_Discussion"/>
    </sheetNames>
    <sheetDataSet>
      <sheetData sheetId="0"/>
      <sheetData sheetId="1">
        <row r="7">
          <cell r="B7">
            <v>7496</v>
          </cell>
          <cell r="C7">
            <v>118.37012198141548</v>
          </cell>
          <cell r="D7">
            <v>119.53509682578719</v>
          </cell>
          <cell r="E7">
            <v>118.95260940360134</v>
          </cell>
          <cell r="F7">
            <v>1.1649748443717129</v>
          </cell>
          <cell r="G7">
            <v>9.7936047827164585E-3</v>
          </cell>
          <cell r="H7">
            <v>3.8169099909411921</v>
          </cell>
          <cell r="I7">
            <v>63.016692425521988</v>
          </cell>
          <cell r="J7">
            <v>240.52904291504302</v>
          </cell>
        </row>
        <row r="8">
          <cell r="B8">
            <v>2862</v>
          </cell>
          <cell r="C8">
            <v>82.687195324977267</v>
          </cell>
          <cell r="D8">
            <v>83.56007510257713</v>
          </cell>
          <cell r="E8">
            <v>83.123635213777192</v>
          </cell>
          <cell r="F8">
            <v>0.8728797775998629</v>
          </cell>
          <cell r="G8">
            <v>1.0500981764753099E-2</v>
          </cell>
          <cell r="H8">
            <v>2.667242318781883</v>
          </cell>
          <cell r="I8">
            <v>34.430640486782302</v>
          </cell>
          <cell r="J8">
            <v>91.834861369110612</v>
          </cell>
        </row>
        <row r="9">
          <cell r="B9">
            <v>9729</v>
          </cell>
          <cell r="C9">
            <v>10.823358572373195</v>
          </cell>
          <cell r="D9">
            <v>11.413546347445717</v>
          </cell>
          <cell r="E9">
            <v>11.118452459909456</v>
          </cell>
          <cell r="F9">
            <v>0.59018777507252196</v>
          </cell>
          <cell r="G9">
            <v>5.3081827457607193E-2</v>
          </cell>
          <cell r="H9">
            <v>0.35676503853767705</v>
          </cell>
          <cell r="I9">
            <v>875.03184773964745</v>
          </cell>
          <cell r="J9">
            <v>312.18077088053008</v>
          </cell>
        </row>
        <row r="10">
          <cell r="B10">
            <v>3642</v>
          </cell>
          <cell r="C10">
            <v>142.60862846891442</v>
          </cell>
          <cell r="D10">
            <v>143.2524387151652</v>
          </cell>
          <cell r="E10">
            <v>142.93053359203981</v>
          </cell>
          <cell r="F10">
            <v>0.64381024625077998</v>
          </cell>
          <cell r="G10">
            <v>4.5043576769144278E-3</v>
          </cell>
          <cell r="H10">
            <v>4.5863052892515661</v>
          </cell>
          <cell r="I10">
            <v>25.480909561250201</v>
          </cell>
          <cell r="J10">
            <v>116.86323029570259</v>
          </cell>
        </row>
        <row r="11">
          <cell r="B11">
            <v>7568</v>
          </cell>
          <cell r="C11">
            <v>43.354846801191897</v>
          </cell>
          <cell r="D11">
            <v>43.981546257516065</v>
          </cell>
          <cell r="E11">
            <v>43.668196529353978</v>
          </cell>
          <cell r="F11">
            <v>0.62669945632416812</v>
          </cell>
          <cell r="G11">
            <v>1.4351393144960719E-2</v>
          </cell>
          <cell r="H11">
            <v>1.401209914225122</v>
          </cell>
          <cell r="I11">
            <v>173.30690528775909</v>
          </cell>
          <cell r="J11">
            <v>242.83935389288226</v>
          </cell>
        </row>
        <row r="12">
          <cell r="B12">
            <v>7108</v>
          </cell>
          <cell r="C12">
            <v>133.11724994797456</v>
          </cell>
          <cell r="D12">
            <v>134.16325867580534</v>
          </cell>
          <cell r="E12">
            <v>133.64025431188995</v>
          </cell>
          <cell r="F12">
            <v>1.046008727830781</v>
          </cell>
          <cell r="G12">
            <v>7.8270483187618256E-3</v>
          </cell>
          <cell r="H12">
            <v>4.2882020363609712</v>
          </cell>
          <cell r="I12">
            <v>53.18756714882727</v>
          </cell>
          <cell r="J12">
            <v>228.07903375668698</v>
          </cell>
        </row>
        <row r="13">
          <cell r="B13">
            <v>4684</v>
          </cell>
          <cell r="C13">
            <v>45.810122708731427</v>
          </cell>
          <cell r="D13">
            <v>46.333360301400774</v>
          </cell>
          <cell r="E13">
            <v>46.0717415050661</v>
          </cell>
          <cell r="F13">
            <v>0.52323759266934644</v>
          </cell>
          <cell r="G13">
            <v>1.135701789375187E-2</v>
          </cell>
          <cell r="H13">
            <v>1.4783340301017627</v>
          </cell>
          <cell r="I13">
            <v>101.66752649202422</v>
          </cell>
          <cell r="J13">
            <v>150.2985641694319</v>
          </cell>
        </row>
        <row r="14">
          <cell r="B14">
            <v>9024</v>
          </cell>
          <cell r="C14">
            <v>107.99561305590164</v>
          </cell>
          <cell r="D14">
            <v>109.27873410666952</v>
          </cell>
          <cell r="E14">
            <v>108.63717358128558</v>
          </cell>
          <cell r="F14">
            <v>1.2831210507678747</v>
          </cell>
          <cell r="G14">
            <v>1.1811068057728925E-2</v>
          </cell>
          <cell r="H14">
            <v>3.4859118711982413</v>
          </cell>
          <cell r="I14">
            <v>83.065489486874156</v>
          </cell>
          <cell r="J14">
            <v>289.55897588918731</v>
          </cell>
        </row>
        <row r="15">
          <cell r="B15">
            <v>4927</v>
          </cell>
          <cell r="C15">
            <v>175.53990115064636</v>
          </cell>
          <cell r="D15">
            <v>177.31374338418087</v>
          </cell>
          <cell r="E15">
            <v>176.42682226741363</v>
          </cell>
          <cell r="F15">
            <v>1.7738422335345092</v>
          </cell>
          <cell r="G15">
            <v>1.0054266186611134E-2</v>
          </cell>
          <cell r="H15">
            <v>5.6611225593014138</v>
          </cell>
          <cell r="I15">
            <v>27.926592661358761</v>
          </cell>
          <cell r="J15">
            <v>158.0958637196394</v>
          </cell>
        </row>
        <row r="16">
          <cell r="B16">
            <v>9366</v>
          </cell>
          <cell r="C16">
            <v>78.572439609149754</v>
          </cell>
          <cell r="D16">
            <v>79.507633024223878</v>
          </cell>
          <cell r="E16">
            <v>79.040036316686809</v>
          </cell>
          <cell r="F16">
            <v>0.93519341507412435</v>
          </cell>
          <cell r="G16">
            <v>1.1831895057931391E-2</v>
          </cell>
          <cell r="H16">
            <v>2.5362092165452133</v>
          </cell>
          <cell r="I16">
            <v>118.49690911671134</v>
          </cell>
          <cell r="J16">
            <v>300.53295303392377</v>
          </cell>
        </row>
        <row r="17">
          <cell r="B17">
            <v>4594</v>
          </cell>
          <cell r="C17">
            <v>165.53688402594722</v>
          </cell>
          <cell r="D17">
            <v>167.28425534126472</v>
          </cell>
          <cell r="E17">
            <v>166.41056968360596</v>
          </cell>
          <cell r="F17">
            <v>1.7473713153175083</v>
          </cell>
          <cell r="G17">
            <v>1.0500362558939378E-2</v>
          </cell>
          <cell r="H17">
            <v>5.3397245273405565</v>
          </cell>
          <cell r="I17">
            <v>27.606419524520028</v>
          </cell>
          <cell r="J17">
            <v>147.4106754471328</v>
          </cell>
        </row>
        <row r="18">
          <cell r="B18">
            <v>9764</v>
          </cell>
          <cell r="C18">
            <v>49.31396649686608</v>
          </cell>
          <cell r="D18">
            <v>50.079636133786565</v>
          </cell>
          <cell r="E18">
            <v>49.696801315326326</v>
          </cell>
          <cell r="F18">
            <v>0.76566963692048517</v>
          </cell>
          <cell r="G18">
            <v>1.5406819285255594E-2</v>
          </cell>
          <cell r="H18">
            <v>1.5946536894763197</v>
          </cell>
          <cell r="I18">
            <v>196.47139738526423</v>
          </cell>
          <cell r="J18">
            <v>313.30383871697973</v>
          </cell>
        </row>
        <row r="19">
          <cell r="B19">
            <v>4960</v>
          </cell>
          <cell r="C19">
            <v>13.996170418677014</v>
          </cell>
          <cell r="D19">
            <v>14.575730877700273</v>
          </cell>
          <cell r="E19">
            <v>14.285950648188644</v>
          </cell>
          <cell r="F19">
            <v>0.57956045902325926</v>
          </cell>
          <cell r="G19">
            <v>4.0568560909647507E-2</v>
          </cell>
          <cell r="H19">
            <v>0.45840261960250173</v>
          </cell>
          <cell r="I19">
            <v>347.19425554146738</v>
          </cell>
          <cell r="J19">
            <v>159.15475625114905</v>
          </cell>
        </row>
        <row r="20">
          <cell r="B20">
            <v>6616</v>
          </cell>
          <cell r="C20">
            <v>144.73063673268339</v>
          </cell>
          <cell r="D20">
            <v>146.41362561012136</v>
          </cell>
          <cell r="E20">
            <v>145.57213117140236</v>
          </cell>
          <cell r="F20">
            <v>1.682988877437964</v>
          </cell>
          <cell r="G20">
            <v>1.1561202435487783E-2</v>
          </cell>
          <cell r="H20">
            <v>4.6710679543437177</v>
          </cell>
          <cell r="I20">
            <v>45.448259545022808</v>
          </cell>
          <cell r="J20">
            <v>212.29190874145203</v>
          </cell>
        </row>
        <row r="21">
          <cell r="B21">
            <v>4300</v>
          </cell>
          <cell r="C21">
            <v>57.802855691261044</v>
          </cell>
          <cell r="D21">
            <v>58.572162251312029</v>
          </cell>
          <cell r="E21">
            <v>58.187508971286533</v>
          </cell>
          <cell r="F21">
            <v>0.76930656005098541</v>
          </cell>
          <cell r="G21">
            <v>1.322116333302068E-2</v>
          </cell>
          <cell r="H21">
            <v>1.8671005659650519</v>
          </cell>
          <cell r="I21">
            <v>73.89902190385736</v>
          </cell>
          <cell r="J21">
            <v>137.97690562095585</v>
          </cell>
        </row>
        <row r="22">
          <cell r="B22">
            <v>6589</v>
          </cell>
          <cell r="C22">
            <v>149.43529033885986</v>
          </cell>
          <cell r="D22">
            <v>150.91378760732434</v>
          </cell>
          <cell r="E22">
            <v>150.1745389730921</v>
          </cell>
          <cell r="F22">
            <v>1.4784972684644799</v>
          </cell>
          <cell r="G22">
            <v>9.8451926576541282E-3</v>
          </cell>
          <cell r="H22">
            <v>4.8187484164095071</v>
          </cell>
          <cell r="I22">
            <v>43.875613303401586</v>
          </cell>
          <cell r="J22">
            <v>211.4255421247623</v>
          </cell>
        </row>
        <row r="23">
          <cell r="B23">
            <v>2821</v>
          </cell>
          <cell r="C23">
            <v>6.8010263925316305</v>
          </cell>
          <cell r="D23">
            <v>7.3676254373529284</v>
          </cell>
          <cell r="E23">
            <v>7.0843259149422799</v>
          </cell>
          <cell r="F23">
            <v>0.56659904482129786</v>
          </cell>
          <cell r="G23">
            <v>7.99792459613166E-2</v>
          </cell>
          <cell r="H23">
            <v>0.2273193879428099</v>
          </cell>
          <cell r="I23">
            <v>398.20302367088152</v>
          </cell>
          <cell r="J23">
            <v>90.519267617841024</v>
          </cell>
        </row>
        <row r="25">
          <cell r="G25">
            <v>1.918800044017992E-2</v>
          </cell>
        </row>
        <row r="26">
          <cell r="G26">
            <v>1.9338167348831231E-2</v>
          </cell>
        </row>
        <row r="28">
          <cell r="G28">
            <v>0.01</v>
          </cell>
        </row>
        <row r="29">
          <cell r="G29">
            <v>3.2087652469989729E-2</v>
          </cell>
        </row>
      </sheetData>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sheetData sheetId="8"/>
      <sheetData sheetId="9"/>
      <sheetData sheetId="10"/>
      <sheetData sheetId="1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 val="Excel"/>
      <sheetName val="VaR0"/>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 sheetId="16" refreshError="1"/>
      <sheetData sheetId="1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p"/>
      <sheetName val="Bond"/>
      <sheetName val="InstallmentLoan"/>
      <sheetName val="Duration"/>
      <sheetName val="Dur2"/>
      <sheetName val="Dur3"/>
      <sheetName val="Curve0"/>
      <sheetName val="Remember"/>
      <sheetName val="Bond2"/>
      <sheetName val="Bond3"/>
      <sheetName val="FX_Intro"/>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 sheetId="8"/>
      <sheetData sheetId="9"/>
      <sheetData sheetId="1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1"/>
    </sheetNames>
    <sheetDataSet>
      <sheetData sheetId="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10"/>
      <sheetName val="LearningObjectives"/>
      <sheetName val="Concepts1"/>
      <sheetName val="RiskDrivers"/>
      <sheetName val="SourcesOfLiquidity"/>
      <sheetName val="Concepts2"/>
      <sheetName val="Liquidity"/>
      <sheetName val="Scenario"/>
      <sheetName val="Ratios"/>
      <sheetName val="Matz_Ch2"/>
      <sheetName val="Matz_Ch4"/>
      <sheetName val="Matz_Ch7"/>
      <sheetName val="StressTesting"/>
      <sheetName val="LCR"/>
      <sheetName val="LCR_Calc"/>
      <sheetName val="NSFR"/>
      <sheetName val="ASF"/>
      <sheetName val="RSF"/>
      <sheetName val="IMix1"/>
      <sheetName val="IMix1Calc"/>
      <sheetName val="IMix2"/>
      <sheetName val="IMix2Calc"/>
      <sheetName val="O_Discussion"/>
      <sheetName val="Bonu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ow r="31">
          <cell r="C31">
            <v>1</v>
          </cell>
          <cell r="D31" t="str">
            <v>Amount</v>
          </cell>
        </row>
        <row r="32">
          <cell r="C32">
            <v>2</v>
          </cell>
          <cell r="D32" t="str">
            <v>of</v>
          </cell>
        </row>
        <row r="33">
          <cell r="C33">
            <v>3</v>
          </cell>
          <cell r="D33" t="str">
            <v>Stable</v>
          </cell>
        </row>
        <row r="34">
          <cell r="C34">
            <v>4</v>
          </cell>
          <cell r="D34" t="str">
            <v>Funding</v>
          </cell>
        </row>
      </sheetData>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hyperlink" Target="https://youtu.be/A25EUhZGBws" TargetMode="External"/><Relationship Id="rId7" Type="http://schemas.openxmlformats.org/officeDocument/2006/relationships/drawing" Target="../drawings/drawing1.xml"/><Relationship Id="rId2" Type="http://schemas.openxmlformats.org/officeDocument/2006/relationships/hyperlink" Target="https://youtu.be/cUQiA4LtkmQ?t=48" TargetMode="External"/><Relationship Id="rId1" Type="http://schemas.openxmlformats.org/officeDocument/2006/relationships/hyperlink" Target="https://youtu.be/psCF_AHuLM4?t=88" TargetMode="External"/><Relationship Id="rId6" Type="http://schemas.openxmlformats.org/officeDocument/2006/relationships/hyperlink" Target="https://youtu.be/Hhy7JUinlu0" TargetMode="External"/><Relationship Id="rId5" Type="http://schemas.openxmlformats.org/officeDocument/2006/relationships/hyperlink" Target="https://youtu.be/f5Is6d0BfXc" TargetMode="External"/><Relationship Id="rId4" Type="http://schemas.openxmlformats.org/officeDocument/2006/relationships/hyperlink" Target="https://youtu.be/3Ho8y6Xg3SM"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s://web.stanford.edu/~jbulow/Lehmandocs/menu.html" TargetMode="External"/><Relationship Id="rId2" Type="http://schemas.openxmlformats.org/officeDocument/2006/relationships/hyperlink" Target="https://www.c-span.org/video/?293196-3/investment-banks-financial-crisis-goldman-sachs-chair-ceo" TargetMode="External"/><Relationship Id="rId1" Type="http://schemas.openxmlformats.org/officeDocument/2006/relationships/hyperlink" Target="https://www.hsgac.senate.gov/wp-content/uploads/imo/media/doc/Financial_Crisis/FinancialCrisisReport.pdf?attempt=2" TargetMode="External"/><Relationship Id="rId5" Type="http://schemas.openxmlformats.org/officeDocument/2006/relationships/hyperlink" Target="https://www.goldmansachs.com/investor-relations/financials/archived/annual-reports/attachments/entire-2007-annual-report.pdf" TargetMode="External"/><Relationship Id="rId4" Type="http://schemas.openxmlformats.org/officeDocument/2006/relationships/hyperlink" Target="https://www.bloomberg.com/news/articles/2013-09-12/how-goldman-sachs-made-money-mid-crisis?leadSource=uverify%20wall"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www.c-span.org/video/?293196-3/investment-banks-financial-crisis-goldman-sachs-chair-ceo"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web.stanford.edu/~jbulow/Lehmandocs/menu.html"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goldmansachs.com/investor-relations/financials/archived/annual-reports/attachments/entire-2007-annual-report.pdf" TargetMode="External"/><Relationship Id="rId1" Type="http://schemas.openxmlformats.org/officeDocument/2006/relationships/hyperlink" Target="https://www.bloomberg.com/news/articles/2013-09-12/how-goldman-sachs-made-money-mid-crisis?leadSource=uverify%20wall" TargetMode="External"/></Relationships>
</file>

<file path=xl/worksheets/_rels/sheet10.xml.rels><?xml version="1.0" encoding="UTF-8" standalone="yes"?>
<Relationships xmlns="http://schemas.openxmlformats.org/package/2006/relationships"><Relationship Id="rId2" Type="http://schemas.openxmlformats.org/officeDocument/2006/relationships/hyperlink" Target="https://en.wikipedia.org/wiki/Vampire_squid" TargetMode="External"/><Relationship Id="rId1" Type="http://schemas.openxmlformats.org/officeDocument/2006/relationships/hyperlink" Target="http://www.rollingstone.com/politics/news/the-great-american-bubble-machine-20100405"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papers.ssrn.com/sol3/papers.cfm?abstract_id=2041579" TargetMode="External"/><Relationship Id="rId1" Type="http://schemas.openxmlformats.org/officeDocument/2006/relationships/hyperlink" Target="http://www.bis.org/review/r120905a.pdf"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13"/>
  <sheetViews>
    <sheetView tabSelected="1" workbookViewId="0"/>
  </sheetViews>
  <sheetFormatPr baseColWidth="10" defaultRowHeight="29" x14ac:dyDescent="0.35"/>
  <cols>
    <col min="1" max="16384" width="10.83203125" style="1"/>
  </cols>
  <sheetData>
    <row r="2" spans="2:3" x14ac:dyDescent="0.35">
      <c r="B2" s="1" t="s">
        <v>0</v>
      </c>
    </row>
    <row r="3" spans="2:3" x14ac:dyDescent="0.35">
      <c r="C3" s="1" t="s">
        <v>170</v>
      </c>
    </row>
    <row r="5" spans="2:3" x14ac:dyDescent="0.35">
      <c r="B5" s="1" t="s">
        <v>171</v>
      </c>
    </row>
    <row r="6" spans="2:3" x14ac:dyDescent="0.35">
      <c r="C6" s="1" t="s">
        <v>172</v>
      </c>
    </row>
    <row r="7" spans="2:3" x14ac:dyDescent="0.35">
      <c r="C7" s="1" t="s">
        <v>173</v>
      </c>
    </row>
    <row r="8" spans="2:3" x14ac:dyDescent="0.35">
      <c r="C8" s="1" t="s">
        <v>174</v>
      </c>
    </row>
    <row r="9" spans="2:3" x14ac:dyDescent="0.35">
      <c r="C9" s="1" t="s">
        <v>175</v>
      </c>
    </row>
    <row r="11" spans="2:3" x14ac:dyDescent="0.35">
      <c r="B11" s="1" t="s">
        <v>1</v>
      </c>
    </row>
    <row r="12" spans="2:3" x14ac:dyDescent="0.35">
      <c r="C12" s="3" t="s">
        <v>36</v>
      </c>
    </row>
    <row r="13" spans="2:3" x14ac:dyDescent="0.35">
      <c r="C13" s="3" t="s">
        <v>35</v>
      </c>
    </row>
  </sheetData>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371A3-CE88-004E-BD39-B770A676B0FB}">
  <dimension ref="B2:C20"/>
  <sheetViews>
    <sheetView workbookViewId="0"/>
  </sheetViews>
  <sheetFormatPr baseColWidth="10" defaultRowHeight="26" x14ac:dyDescent="0.3"/>
  <cols>
    <col min="1" max="16384" width="10.83203125" style="153"/>
  </cols>
  <sheetData>
    <row r="2" spans="2:3" x14ac:dyDescent="0.3">
      <c r="B2" s="153" t="s">
        <v>323</v>
      </c>
    </row>
    <row r="4" spans="2:3" x14ac:dyDescent="0.3">
      <c r="B4" s="153" t="s">
        <v>324</v>
      </c>
    </row>
    <row r="6" spans="2:3" x14ac:dyDescent="0.3">
      <c r="B6" s="153" t="s">
        <v>325</v>
      </c>
    </row>
    <row r="7" spans="2:3" x14ac:dyDescent="0.3">
      <c r="C7" s="153" t="s">
        <v>326</v>
      </c>
    </row>
    <row r="8" spans="2:3" x14ac:dyDescent="0.3">
      <c r="C8" s="153" t="s">
        <v>327</v>
      </c>
    </row>
    <row r="9" spans="2:3" x14ac:dyDescent="0.3">
      <c r="C9" s="153" t="s">
        <v>328</v>
      </c>
    </row>
    <row r="11" spans="2:3" x14ac:dyDescent="0.3">
      <c r="B11" s="153" t="s">
        <v>390</v>
      </c>
    </row>
    <row r="12" spans="2:3" x14ac:dyDescent="0.3">
      <c r="C12" s="153" t="s">
        <v>329</v>
      </c>
    </row>
    <row r="13" spans="2:3" x14ac:dyDescent="0.3">
      <c r="C13" s="153" t="s">
        <v>330</v>
      </c>
    </row>
    <row r="14" spans="2:3" x14ac:dyDescent="0.3">
      <c r="C14" s="153" t="s">
        <v>331</v>
      </c>
    </row>
    <row r="15" spans="2:3" x14ac:dyDescent="0.3">
      <c r="C15" s="153" t="s">
        <v>332</v>
      </c>
    </row>
    <row r="17" spans="2:3" x14ac:dyDescent="0.3">
      <c r="B17" s="153" t="s">
        <v>391</v>
      </c>
    </row>
    <row r="18" spans="2:3" x14ac:dyDescent="0.3">
      <c r="C18" s="153" t="s">
        <v>333</v>
      </c>
    </row>
    <row r="19" spans="2:3" x14ac:dyDescent="0.3">
      <c r="C19" s="153" t="s">
        <v>334</v>
      </c>
    </row>
    <row r="20" spans="2:3" x14ac:dyDescent="0.3">
      <c r="C20" s="153" t="s">
        <v>335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611453-4880-7541-B688-1D9541E51D60}">
  <dimension ref="A2:B30"/>
  <sheetViews>
    <sheetView workbookViewId="0"/>
  </sheetViews>
  <sheetFormatPr baseColWidth="10" defaultRowHeight="21" x14ac:dyDescent="0.2"/>
  <cols>
    <col min="1" max="1" width="3.83203125" style="161" bestFit="1" customWidth="1"/>
    <col min="2" max="2" width="196" style="154" bestFit="1" customWidth="1"/>
    <col min="3" max="16384" width="10.83203125" style="155"/>
  </cols>
  <sheetData>
    <row r="2" spans="1:2" ht="22" x14ac:dyDescent="0.2">
      <c r="A2" s="160">
        <v>1</v>
      </c>
      <c r="B2" s="154" t="s">
        <v>336</v>
      </c>
    </row>
    <row r="4" spans="1:2" ht="22" x14ac:dyDescent="0.2">
      <c r="A4" s="160">
        <v>2</v>
      </c>
      <c r="B4" s="154" t="s">
        <v>337</v>
      </c>
    </row>
    <row r="6" spans="1:2" ht="22" x14ac:dyDescent="0.2">
      <c r="A6" s="160">
        <v>3</v>
      </c>
      <c r="B6" s="154" t="s">
        <v>338</v>
      </c>
    </row>
    <row r="8" spans="1:2" ht="22" x14ac:dyDescent="0.2">
      <c r="A8" s="160">
        <v>4</v>
      </c>
      <c r="B8" s="154" t="s">
        <v>339</v>
      </c>
    </row>
    <row r="10" spans="1:2" ht="22" x14ac:dyDescent="0.2">
      <c r="A10" s="160">
        <v>5</v>
      </c>
      <c r="B10" s="154" t="s">
        <v>340</v>
      </c>
    </row>
    <row r="12" spans="1:2" ht="22" x14ac:dyDescent="0.2">
      <c r="A12" s="160">
        <v>6</v>
      </c>
      <c r="B12" s="154" t="s">
        <v>341</v>
      </c>
    </row>
    <row r="14" spans="1:2" ht="22" x14ac:dyDescent="0.2">
      <c r="A14" s="160">
        <v>7</v>
      </c>
      <c r="B14" s="154" t="s">
        <v>342</v>
      </c>
    </row>
    <row r="16" spans="1:2" ht="44" x14ac:dyDescent="0.2">
      <c r="A16" s="160">
        <v>8</v>
      </c>
      <c r="B16" s="154" t="s">
        <v>343</v>
      </c>
    </row>
    <row r="18" spans="1:2" ht="22" x14ac:dyDescent="0.2">
      <c r="B18" s="154" t="s">
        <v>344</v>
      </c>
    </row>
    <row r="19" spans="1:2" ht="44" x14ac:dyDescent="0.2">
      <c r="B19" s="154" t="s">
        <v>345</v>
      </c>
    </row>
    <row r="21" spans="1:2" ht="22" x14ac:dyDescent="0.2">
      <c r="A21" s="160">
        <v>9</v>
      </c>
      <c r="B21" s="154" t="s">
        <v>346</v>
      </c>
    </row>
    <row r="22" spans="1:2" ht="22" x14ac:dyDescent="0.2">
      <c r="B22" s="154" t="s">
        <v>392</v>
      </c>
    </row>
    <row r="23" spans="1:2" ht="22" x14ac:dyDescent="0.2">
      <c r="B23" s="154" t="s">
        <v>393</v>
      </c>
    </row>
    <row r="24" spans="1:2" ht="22" x14ac:dyDescent="0.2">
      <c r="B24" s="154" t="s">
        <v>347</v>
      </c>
    </row>
    <row r="26" spans="1:2" ht="22" x14ac:dyDescent="0.2">
      <c r="A26" s="160">
        <v>10</v>
      </c>
      <c r="B26" s="154" t="s">
        <v>348</v>
      </c>
    </row>
    <row r="28" spans="1:2" ht="22" x14ac:dyDescent="0.2">
      <c r="A28" s="160">
        <v>11</v>
      </c>
      <c r="B28" s="154" t="s">
        <v>349</v>
      </c>
    </row>
    <row r="30" spans="1:2" ht="22" x14ac:dyDescent="0.2">
      <c r="A30" s="160">
        <v>12</v>
      </c>
      <c r="B30" s="154" t="s">
        <v>350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F4D41F-D681-C349-BC0E-839B6A1F915B}">
  <sheetPr>
    <tabColor rgb="FFC00000"/>
  </sheetPr>
  <dimension ref="B2:G38"/>
  <sheetViews>
    <sheetView workbookViewId="0"/>
  </sheetViews>
  <sheetFormatPr baseColWidth="10" defaultColWidth="8.83203125" defaultRowHeight="19" x14ac:dyDescent="0.25"/>
  <cols>
    <col min="1" max="1" width="8.83203125" style="156"/>
    <col min="2" max="2" width="25.5" style="156" bestFit="1" customWidth="1"/>
    <col min="3" max="16384" width="8.83203125" style="156"/>
  </cols>
  <sheetData>
    <row r="2" spans="2:3" x14ac:dyDescent="0.25">
      <c r="B2" s="156" t="s">
        <v>351</v>
      </c>
    </row>
    <row r="3" spans="2:3" x14ac:dyDescent="0.25">
      <c r="B3" s="156" t="s">
        <v>352</v>
      </c>
    </row>
    <row r="4" spans="2:3" x14ac:dyDescent="0.25">
      <c r="B4" s="156" t="s">
        <v>353</v>
      </c>
    </row>
    <row r="5" spans="2:3" x14ac:dyDescent="0.25">
      <c r="C5" s="156" t="s">
        <v>354</v>
      </c>
    </row>
    <row r="6" spans="2:3" x14ac:dyDescent="0.25">
      <c r="B6" s="156" t="s">
        <v>355</v>
      </c>
    </row>
    <row r="7" spans="2:3" x14ac:dyDescent="0.25">
      <c r="B7" s="156" t="s">
        <v>356</v>
      </c>
    </row>
    <row r="8" spans="2:3" x14ac:dyDescent="0.25">
      <c r="C8" s="156" t="s">
        <v>357</v>
      </c>
    </row>
    <row r="9" spans="2:3" x14ac:dyDescent="0.25">
      <c r="B9" s="156" t="s">
        <v>358</v>
      </c>
    </row>
    <row r="10" spans="2:3" x14ac:dyDescent="0.25">
      <c r="B10" s="156" t="s">
        <v>359</v>
      </c>
    </row>
    <row r="11" spans="2:3" x14ac:dyDescent="0.25">
      <c r="B11" s="156" t="s">
        <v>360</v>
      </c>
    </row>
    <row r="12" spans="2:3" x14ac:dyDescent="0.25">
      <c r="B12" s="156" t="s">
        <v>361</v>
      </c>
    </row>
    <row r="13" spans="2:3" x14ac:dyDescent="0.25">
      <c r="B13" s="156" t="s">
        <v>362</v>
      </c>
    </row>
    <row r="14" spans="2:3" x14ac:dyDescent="0.25">
      <c r="C14" s="157" t="s">
        <v>363</v>
      </c>
    </row>
    <row r="15" spans="2:3" x14ac:dyDescent="0.25">
      <c r="C15" s="156" t="s">
        <v>364</v>
      </c>
    </row>
    <row r="16" spans="2:3" x14ac:dyDescent="0.25">
      <c r="C16" s="156" t="s">
        <v>365</v>
      </c>
    </row>
    <row r="17" spans="2:7" x14ac:dyDescent="0.25">
      <c r="B17" s="156" t="s">
        <v>146</v>
      </c>
    </row>
    <row r="18" spans="2:7" x14ac:dyDescent="0.25">
      <c r="C18" s="157" t="s">
        <v>366</v>
      </c>
    </row>
    <row r="19" spans="2:7" x14ac:dyDescent="0.25">
      <c r="C19" s="157" t="s">
        <v>367</v>
      </c>
    </row>
    <row r="20" spans="2:7" x14ac:dyDescent="0.25">
      <c r="B20" s="156" t="s">
        <v>141</v>
      </c>
    </row>
    <row r="21" spans="2:7" x14ac:dyDescent="0.25">
      <c r="C21" s="156" t="s">
        <v>368</v>
      </c>
    </row>
    <row r="22" spans="2:7" x14ac:dyDescent="0.25">
      <c r="B22" s="156" t="s">
        <v>369</v>
      </c>
      <c r="D22" s="157"/>
    </row>
    <row r="24" spans="2:7" x14ac:dyDescent="0.25">
      <c r="B24" s="156" t="s">
        <v>370</v>
      </c>
    </row>
    <row r="25" spans="2:7" x14ac:dyDescent="0.25">
      <c r="C25" s="157" t="s">
        <v>371</v>
      </c>
    </row>
    <row r="26" spans="2:7" x14ac:dyDescent="0.25">
      <c r="B26" s="156" t="s">
        <v>372</v>
      </c>
    </row>
    <row r="27" spans="2:7" x14ac:dyDescent="0.25">
      <c r="C27" s="156" t="s">
        <v>373</v>
      </c>
    </row>
    <row r="28" spans="2:7" x14ac:dyDescent="0.25">
      <c r="C28" s="156" t="s">
        <v>374</v>
      </c>
    </row>
    <row r="29" spans="2:7" x14ac:dyDescent="0.25">
      <c r="C29" s="156" t="s">
        <v>375</v>
      </c>
    </row>
    <row r="30" spans="2:7" x14ac:dyDescent="0.25">
      <c r="B30" s="158" t="s">
        <v>376</v>
      </c>
      <c r="C30" s="157" t="s">
        <v>377</v>
      </c>
    </row>
    <row r="31" spans="2:7" ht="20" customHeight="1" x14ac:dyDescent="0.25">
      <c r="B31" s="158" t="s">
        <v>378</v>
      </c>
      <c r="C31" s="157" t="s">
        <v>379</v>
      </c>
    </row>
    <row r="32" spans="2:7" x14ac:dyDescent="0.25">
      <c r="B32" s="158" t="s">
        <v>380</v>
      </c>
      <c r="C32" s="157" t="s">
        <v>381</v>
      </c>
      <c r="G32" s="159" t="s">
        <v>388</v>
      </c>
    </row>
    <row r="33" spans="2:3" x14ac:dyDescent="0.25">
      <c r="B33" s="156" t="s">
        <v>382</v>
      </c>
    </row>
    <row r="34" spans="2:3" x14ac:dyDescent="0.25">
      <c r="C34" s="156" t="s">
        <v>383</v>
      </c>
    </row>
    <row r="35" spans="2:3" x14ac:dyDescent="0.25">
      <c r="B35" s="156" t="s">
        <v>384</v>
      </c>
    </row>
    <row r="36" spans="2:3" x14ac:dyDescent="0.25">
      <c r="C36" s="156" t="s">
        <v>385</v>
      </c>
    </row>
    <row r="37" spans="2:3" x14ac:dyDescent="0.25">
      <c r="C37" s="156" t="s">
        <v>386</v>
      </c>
    </row>
    <row r="38" spans="2:3" x14ac:dyDescent="0.25">
      <c r="B38" s="156" t="s">
        <v>387</v>
      </c>
    </row>
  </sheetData>
  <hyperlinks>
    <hyperlink ref="C14" r:id="rId1" xr:uid="{17D8AFF7-9BCA-EB49-9FDF-7A539637647B}"/>
    <hyperlink ref="C32" r:id="rId2" xr:uid="{309BC868-E9FE-2348-A9FF-E538C15790C6}"/>
    <hyperlink ref="C19" r:id="rId3" xr:uid="{B9CD4AAE-C398-EC48-ADAE-BFE0A68D132E}"/>
    <hyperlink ref="C18" r:id="rId4" xr:uid="{EE5B6975-5A4D-C741-8962-0718777B8426}"/>
    <hyperlink ref="C25" r:id="rId5" xr:uid="{6E60DD68-FCB2-0643-8BC3-D549C9C578C9}"/>
    <hyperlink ref="C30" r:id="rId6" xr:uid="{CAFE0EA1-FB0F-1A4A-B571-5F848D2A3637}"/>
  </hyperlinks>
  <pageMargins left="0.7" right="0.7" top="0.75" bottom="0.75" header="0.3" footer="0.3"/>
  <drawing r:id="rId7"/>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DE632A-720E-9945-9A0F-58554AE33EB4}">
  <sheetPr>
    <tabColor rgb="FFFF0000"/>
  </sheetPr>
  <dimension ref="B2:B18"/>
  <sheetViews>
    <sheetView workbookViewId="0"/>
  </sheetViews>
  <sheetFormatPr baseColWidth="10" defaultRowHeight="26" x14ac:dyDescent="0.3"/>
  <cols>
    <col min="1" max="16384" width="10.83203125" style="153"/>
  </cols>
  <sheetData>
    <row r="2" spans="2:2" x14ac:dyDescent="0.3">
      <c r="B2" s="153" t="s">
        <v>404</v>
      </c>
    </row>
    <row r="5" spans="2:2" x14ac:dyDescent="0.3">
      <c r="B5" s="153" t="s">
        <v>399</v>
      </c>
    </row>
    <row r="6" spans="2:2" x14ac:dyDescent="0.3">
      <c r="B6" s="184" t="s">
        <v>398</v>
      </c>
    </row>
    <row r="8" spans="2:2" x14ac:dyDescent="0.3">
      <c r="B8" s="153" t="s">
        <v>34</v>
      </c>
    </row>
    <row r="9" spans="2:2" x14ac:dyDescent="0.3">
      <c r="B9" s="184" t="s">
        <v>33</v>
      </c>
    </row>
    <row r="11" spans="2:2" x14ac:dyDescent="0.3">
      <c r="B11" s="153" t="s">
        <v>37</v>
      </c>
    </row>
    <row r="12" spans="2:2" x14ac:dyDescent="0.3">
      <c r="B12" s="184" t="s">
        <v>394</v>
      </c>
    </row>
    <row r="14" spans="2:2" x14ac:dyDescent="0.3">
      <c r="B14" s="153" t="s">
        <v>403</v>
      </c>
    </row>
    <row r="15" spans="2:2" x14ac:dyDescent="0.3">
      <c r="B15" s="184" t="s">
        <v>400</v>
      </c>
    </row>
    <row r="16" spans="2:2" x14ac:dyDescent="0.3">
      <c r="B16" s="184"/>
    </row>
    <row r="17" spans="2:2" x14ac:dyDescent="0.3">
      <c r="B17" s="153" t="s">
        <v>402</v>
      </c>
    </row>
    <row r="18" spans="2:2" x14ac:dyDescent="0.3">
      <c r="B18" s="184" t="s">
        <v>396</v>
      </c>
    </row>
  </sheetData>
  <hyperlinks>
    <hyperlink ref="B6" r:id="rId1" xr:uid="{4C48C933-FC8C-CB41-869B-7A7C45B4493C}"/>
    <hyperlink ref="B9" r:id="rId2" xr:uid="{0D7A2E15-CE41-E849-A163-21664B50B75A}"/>
    <hyperlink ref="B12" r:id="rId3" xr:uid="{9F7169AA-5E19-F34B-B4F5-CE5C5B75246A}"/>
    <hyperlink ref="B18" r:id="rId4" xr:uid="{EA0CF8FE-392A-3A4F-8F4B-E74593E73089}"/>
    <hyperlink ref="B15" r:id="rId5" xr:uid="{E4BAE40B-6E3B-9C48-AA65-5AB85A9177F1}"/>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sheetPr>
  <dimension ref="B3:B21"/>
  <sheetViews>
    <sheetView workbookViewId="0">
      <selection activeCell="B3" sqref="B3:B4"/>
    </sheetView>
  </sheetViews>
  <sheetFormatPr baseColWidth="10" defaultRowHeight="26" x14ac:dyDescent="0.3"/>
  <cols>
    <col min="1" max="16384" width="10.83203125" style="3"/>
  </cols>
  <sheetData>
    <row r="3" spans="2:2" x14ac:dyDescent="0.3">
      <c r="B3" s="3" t="s">
        <v>34</v>
      </c>
    </row>
    <row r="4" spans="2:2" x14ac:dyDescent="0.3">
      <c r="B4" s="5" t="s">
        <v>33</v>
      </c>
    </row>
    <row r="6" spans="2:2" x14ac:dyDescent="0.3">
      <c r="B6" s="3" t="s">
        <v>32</v>
      </c>
    </row>
    <row r="7" spans="2:2" x14ac:dyDescent="0.3">
      <c r="B7" s="3" t="s">
        <v>31</v>
      </c>
    </row>
    <row r="8" spans="2:2" x14ac:dyDescent="0.3">
      <c r="B8" s="3" t="s">
        <v>30</v>
      </c>
    </row>
    <row r="9" spans="2:2" x14ac:dyDescent="0.3">
      <c r="B9" s="3" t="s">
        <v>29</v>
      </c>
    </row>
    <row r="10" spans="2:2" x14ac:dyDescent="0.3">
      <c r="B10" s="3" t="s">
        <v>28</v>
      </c>
    </row>
    <row r="11" spans="2:2" x14ac:dyDescent="0.3">
      <c r="B11" s="3" t="s">
        <v>27</v>
      </c>
    </row>
    <row r="12" spans="2:2" x14ac:dyDescent="0.3">
      <c r="B12" s="3" t="s">
        <v>26</v>
      </c>
    </row>
    <row r="13" spans="2:2" x14ac:dyDescent="0.3">
      <c r="B13" s="3" t="s">
        <v>25</v>
      </c>
    </row>
    <row r="14" spans="2:2" x14ac:dyDescent="0.3">
      <c r="B14" s="3" t="s">
        <v>24</v>
      </c>
    </row>
    <row r="15" spans="2:2" x14ac:dyDescent="0.3">
      <c r="B15" s="3" t="s">
        <v>23</v>
      </c>
    </row>
    <row r="16" spans="2:2" x14ac:dyDescent="0.3">
      <c r="B16" s="3" t="s">
        <v>22</v>
      </c>
    </row>
    <row r="17" spans="2:2" x14ac:dyDescent="0.3">
      <c r="B17" s="3" t="s">
        <v>21</v>
      </c>
    </row>
    <row r="18" spans="2:2" x14ac:dyDescent="0.3">
      <c r="B18" s="3" t="s">
        <v>20</v>
      </c>
    </row>
    <row r="19" spans="2:2" x14ac:dyDescent="0.3">
      <c r="B19" s="3" t="s">
        <v>19</v>
      </c>
    </row>
    <row r="20" spans="2:2" x14ac:dyDescent="0.3">
      <c r="B20" s="3" t="s">
        <v>18</v>
      </c>
    </row>
    <row r="21" spans="2:2" x14ac:dyDescent="0.3">
      <c r="B21" s="3" t="s">
        <v>17</v>
      </c>
    </row>
  </sheetData>
  <hyperlinks>
    <hyperlink ref="B4" r:id="rId1" xr:uid="{00000000-0004-0000-0100-000000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B2:B93"/>
  <sheetViews>
    <sheetView workbookViewId="0">
      <selection activeCell="B2" sqref="B2:B3"/>
    </sheetView>
  </sheetViews>
  <sheetFormatPr baseColWidth="10" defaultColWidth="8.83203125" defaultRowHeight="15" x14ac:dyDescent="0.2"/>
  <cols>
    <col min="1" max="16384" width="8.83203125" style="7"/>
  </cols>
  <sheetData>
    <row r="2" spans="2:2" ht="47" x14ac:dyDescent="0.55000000000000004">
      <c r="B2" s="6" t="s">
        <v>37</v>
      </c>
    </row>
    <row r="3" spans="2:2" ht="16" x14ac:dyDescent="0.2">
      <c r="B3" s="184" t="s">
        <v>394</v>
      </c>
    </row>
    <row r="4" spans="2:2" x14ac:dyDescent="0.2">
      <c r="B4" s="7" t="s">
        <v>395</v>
      </c>
    </row>
    <row r="6" spans="2:2" s="8" customFormat="1" x14ac:dyDescent="0.2">
      <c r="B6" s="8" t="s">
        <v>38</v>
      </c>
    </row>
    <row r="7" spans="2:2" x14ac:dyDescent="0.2">
      <c r="B7" s="7" t="s">
        <v>39</v>
      </c>
    </row>
    <row r="8" spans="2:2" x14ac:dyDescent="0.2">
      <c r="B8" s="7" t="s">
        <v>40</v>
      </c>
    </row>
    <row r="10" spans="2:2" s="8" customFormat="1" x14ac:dyDescent="0.2">
      <c r="B10" s="8" t="s">
        <v>41</v>
      </c>
    </row>
    <row r="11" spans="2:2" x14ac:dyDescent="0.2">
      <c r="B11" s="7" t="s">
        <v>42</v>
      </c>
    </row>
    <row r="12" spans="2:2" x14ac:dyDescent="0.2">
      <c r="B12" s="7" t="s">
        <v>43</v>
      </c>
    </row>
    <row r="13" spans="2:2" x14ac:dyDescent="0.2">
      <c r="B13" s="7" t="s">
        <v>44</v>
      </c>
    </row>
    <row r="14" spans="2:2" x14ac:dyDescent="0.2">
      <c r="B14" s="7" t="s">
        <v>45</v>
      </c>
    </row>
    <row r="16" spans="2:2" s="8" customFormat="1" x14ac:dyDescent="0.2">
      <c r="B16" s="8" t="s">
        <v>46</v>
      </c>
    </row>
    <row r="17" spans="2:2" x14ac:dyDescent="0.2">
      <c r="B17" s="7" t="s">
        <v>47</v>
      </c>
    </row>
    <row r="18" spans="2:2" x14ac:dyDescent="0.2">
      <c r="B18" s="7" t="s">
        <v>48</v>
      </c>
    </row>
    <row r="19" spans="2:2" x14ac:dyDescent="0.2">
      <c r="B19" s="7" t="s">
        <v>49</v>
      </c>
    </row>
    <row r="20" spans="2:2" x14ac:dyDescent="0.2">
      <c r="B20" s="7" t="s">
        <v>50</v>
      </c>
    </row>
    <row r="21" spans="2:2" x14ac:dyDescent="0.2">
      <c r="B21" s="7" t="s">
        <v>51</v>
      </c>
    </row>
    <row r="22" spans="2:2" x14ac:dyDescent="0.2">
      <c r="B22" s="7" t="s">
        <v>52</v>
      </c>
    </row>
    <row r="24" spans="2:2" s="8" customFormat="1" x14ac:dyDescent="0.2">
      <c r="B24" s="8" t="s">
        <v>53</v>
      </c>
    </row>
    <row r="25" spans="2:2" x14ac:dyDescent="0.2">
      <c r="B25" s="7" t="s">
        <v>54</v>
      </c>
    </row>
    <row r="26" spans="2:2" x14ac:dyDescent="0.2">
      <c r="B26" s="7" t="s">
        <v>55</v>
      </c>
    </row>
    <row r="27" spans="2:2" x14ac:dyDescent="0.2">
      <c r="B27" s="7" t="s">
        <v>56</v>
      </c>
    </row>
    <row r="28" spans="2:2" x14ac:dyDescent="0.2">
      <c r="B28" s="7" t="s">
        <v>57</v>
      </c>
    </row>
    <row r="29" spans="2:2" x14ac:dyDescent="0.2">
      <c r="B29" s="7" t="s">
        <v>58</v>
      </c>
    </row>
    <row r="30" spans="2:2" x14ac:dyDescent="0.2">
      <c r="B30" s="7" t="s">
        <v>59</v>
      </c>
    </row>
    <row r="32" spans="2:2" s="8" customFormat="1" x14ac:dyDescent="0.2">
      <c r="B32" s="8" t="s">
        <v>60</v>
      </c>
    </row>
    <row r="33" spans="2:2" x14ac:dyDescent="0.2">
      <c r="B33" s="7" t="s">
        <v>61</v>
      </c>
    </row>
    <row r="34" spans="2:2" x14ac:dyDescent="0.2">
      <c r="B34" s="7" t="s">
        <v>62</v>
      </c>
    </row>
    <row r="35" spans="2:2" x14ac:dyDescent="0.2">
      <c r="B35" s="7" t="s">
        <v>63</v>
      </c>
    </row>
    <row r="36" spans="2:2" x14ac:dyDescent="0.2">
      <c r="B36" s="7" t="s">
        <v>64</v>
      </c>
    </row>
    <row r="37" spans="2:2" x14ac:dyDescent="0.2">
      <c r="B37" s="7" t="s">
        <v>65</v>
      </c>
    </row>
    <row r="38" spans="2:2" x14ac:dyDescent="0.2">
      <c r="B38" s="7" t="s">
        <v>66</v>
      </c>
    </row>
    <row r="39" spans="2:2" x14ac:dyDescent="0.2">
      <c r="B39" s="7" t="s">
        <v>67</v>
      </c>
    </row>
    <row r="40" spans="2:2" x14ac:dyDescent="0.2">
      <c r="B40" s="7" t="s">
        <v>68</v>
      </c>
    </row>
    <row r="41" spans="2:2" x14ac:dyDescent="0.2">
      <c r="B41" s="7" t="s">
        <v>69</v>
      </c>
    </row>
    <row r="43" spans="2:2" s="8" customFormat="1" x14ac:dyDescent="0.2">
      <c r="B43" s="8" t="s">
        <v>70</v>
      </c>
    </row>
    <row r="44" spans="2:2" x14ac:dyDescent="0.2">
      <c r="B44" s="7" t="s">
        <v>71</v>
      </c>
    </row>
    <row r="45" spans="2:2" x14ac:dyDescent="0.2">
      <c r="B45" s="7" t="s">
        <v>72</v>
      </c>
    </row>
    <row r="46" spans="2:2" x14ac:dyDescent="0.2">
      <c r="B46" s="7" t="s">
        <v>73</v>
      </c>
    </row>
    <row r="47" spans="2:2" x14ac:dyDescent="0.2">
      <c r="B47" s="7" t="s">
        <v>74</v>
      </c>
    </row>
    <row r="48" spans="2:2" x14ac:dyDescent="0.2">
      <c r="B48" s="7" t="s">
        <v>75</v>
      </c>
    </row>
    <row r="50" spans="2:2" s="8" customFormat="1" x14ac:dyDescent="0.2">
      <c r="B50" s="8" t="s">
        <v>76</v>
      </c>
    </row>
    <row r="51" spans="2:2" x14ac:dyDescent="0.2">
      <c r="B51" s="7" t="s">
        <v>77</v>
      </c>
    </row>
    <row r="52" spans="2:2" x14ac:dyDescent="0.2">
      <c r="B52" s="7" t="s">
        <v>78</v>
      </c>
    </row>
    <row r="53" spans="2:2" x14ac:dyDescent="0.2">
      <c r="B53" s="7" t="s">
        <v>79</v>
      </c>
    </row>
    <row r="54" spans="2:2" x14ac:dyDescent="0.2">
      <c r="B54" s="7" t="s">
        <v>80</v>
      </c>
    </row>
    <row r="55" spans="2:2" x14ac:dyDescent="0.2">
      <c r="B55" s="7" t="s">
        <v>81</v>
      </c>
    </row>
    <row r="56" spans="2:2" x14ac:dyDescent="0.2">
      <c r="B56" s="7" t="s">
        <v>82</v>
      </c>
    </row>
    <row r="58" spans="2:2" s="8" customFormat="1" x14ac:dyDescent="0.2">
      <c r="B58" s="8" t="s">
        <v>83</v>
      </c>
    </row>
    <row r="59" spans="2:2" x14ac:dyDescent="0.2">
      <c r="B59" s="7" t="s">
        <v>84</v>
      </c>
    </row>
    <row r="60" spans="2:2" x14ac:dyDescent="0.2">
      <c r="B60" s="7" t="s">
        <v>85</v>
      </c>
    </row>
    <row r="61" spans="2:2" x14ac:dyDescent="0.2">
      <c r="B61" s="7" t="s">
        <v>86</v>
      </c>
    </row>
    <row r="62" spans="2:2" x14ac:dyDescent="0.2">
      <c r="B62" s="7" t="s">
        <v>87</v>
      </c>
    </row>
    <row r="64" spans="2:2" s="8" customFormat="1" x14ac:dyDescent="0.2">
      <c r="B64" s="8" t="s">
        <v>88</v>
      </c>
    </row>
    <row r="65" spans="2:2" x14ac:dyDescent="0.2">
      <c r="B65" s="7" t="s">
        <v>89</v>
      </c>
    </row>
    <row r="66" spans="2:2" x14ac:dyDescent="0.2">
      <c r="B66" s="7" t="s">
        <v>90</v>
      </c>
    </row>
    <row r="67" spans="2:2" x14ac:dyDescent="0.2">
      <c r="B67" s="7" t="s">
        <v>91</v>
      </c>
    </row>
    <row r="69" spans="2:2" s="8" customFormat="1" x14ac:dyDescent="0.2">
      <c r="B69" s="8" t="s">
        <v>92</v>
      </c>
    </row>
    <row r="70" spans="2:2" x14ac:dyDescent="0.2">
      <c r="B70" s="7" t="s">
        <v>93</v>
      </c>
    </row>
    <row r="72" spans="2:2" s="8" customFormat="1" x14ac:dyDescent="0.2">
      <c r="B72" s="8" t="s">
        <v>94</v>
      </c>
    </row>
    <row r="73" spans="2:2" x14ac:dyDescent="0.2">
      <c r="B73" s="7" t="s">
        <v>95</v>
      </c>
    </row>
    <row r="74" spans="2:2" x14ac:dyDescent="0.2">
      <c r="B74" s="7" t="s">
        <v>96</v>
      </c>
    </row>
    <row r="75" spans="2:2" x14ac:dyDescent="0.2">
      <c r="B75" s="7" t="s">
        <v>97</v>
      </c>
    </row>
    <row r="76" spans="2:2" x14ac:dyDescent="0.2">
      <c r="B76" s="7" t="s">
        <v>98</v>
      </c>
    </row>
    <row r="77" spans="2:2" x14ac:dyDescent="0.2">
      <c r="B77" s="7" t="s">
        <v>99</v>
      </c>
    </row>
    <row r="78" spans="2:2" x14ac:dyDescent="0.2">
      <c r="B78" s="7" t="s">
        <v>100</v>
      </c>
    </row>
    <row r="79" spans="2:2" x14ac:dyDescent="0.2">
      <c r="B79" s="7" t="s">
        <v>101</v>
      </c>
    </row>
    <row r="80" spans="2:2" x14ac:dyDescent="0.2">
      <c r="B80" s="7" t="s">
        <v>102</v>
      </c>
    </row>
    <row r="82" spans="2:2" s="8" customFormat="1" x14ac:dyDescent="0.2">
      <c r="B82" s="8" t="s">
        <v>103</v>
      </c>
    </row>
    <row r="83" spans="2:2" x14ac:dyDescent="0.2">
      <c r="B83" s="7" t="s">
        <v>104</v>
      </c>
    </row>
    <row r="84" spans="2:2" x14ac:dyDescent="0.2">
      <c r="B84" s="7" t="s">
        <v>105</v>
      </c>
    </row>
    <row r="85" spans="2:2" x14ac:dyDescent="0.2">
      <c r="B85" s="7" t="s">
        <v>106</v>
      </c>
    </row>
    <row r="86" spans="2:2" x14ac:dyDescent="0.2">
      <c r="B86" s="7" t="s">
        <v>107</v>
      </c>
    </row>
    <row r="87" spans="2:2" x14ac:dyDescent="0.2">
      <c r="B87" s="7" t="s">
        <v>108</v>
      </c>
    </row>
    <row r="88" spans="2:2" x14ac:dyDescent="0.2">
      <c r="B88" s="7" t="s">
        <v>109</v>
      </c>
    </row>
    <row r="89" spans="2:2" x14ac:dyDescent="0.2">
      <c r="B89" s="7" t="s">
        <v>110</v>
      </c>
    </row>
    <row r="91" spans="2:2" s="8" customFormat="1" x14ac:dyDescent="0.2">
      <c r="B91" s="8" t="s">
        <v>111</v>
      </c>
    </row>
    <row r="92" spans="2:2" x14ac:dyDescent="0.2">
      <c r="B92" s="7" t="s">
        <v>112</v>
      </c>
    </row>
    <row r="93" spans="2:2" x14ac:dyDescent="0.2">
      <c r="B93" s="7" t="s">
        <v>113</v>
      </c>
    </row>
  </sheetData>
  <hyperlinks>
    <hyperlink ref="B3" r:id="rId1" xr:uid="{9B25E305-75E5-A343-B75A-1C3555F3EDE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B2:E38"/>
  <sheetViews>
    <sheetView workbookViewId="0"/>
  </sheetViews>
  <sheetFormatPr baseColWidth="10" defaultColWidth="8.83203125" defaultRowHeight="19" x14ac:dyDescent="0.25"/>
  <cols>
    <col min="1" max="16384" width="8.83203125" style="9"/>
  </cols>
  <sheetData>
    <row r="2" spans="2:4" x14ac:dyDescent="0.25">
      <c r="B2" s="9" t="s">
        <v>114</v>
      </c>
    </row>
    <row r="3" spans="2:4" x14ac:dyDescent="0.25">
      <c r="C3" s="9" t="s">
        <v>115</v>
      </c>
    </row>
    <row r="4" spans="2:4" x14ac:dyDescent="0.25">
      <c r="D4" s="9" t="s">
        <v>116</v>
      </c>
    </row>
    <row r="5" spans="2:4" x14ac:dyDescent="0.25">
      <c r="D5" s="9" t="s">
        <v>117</v>
      </c>
    </row>
    <row r="6" spans="2:4" x14ac:dyDescent="0.25">
      <c r="D6" s="9" t="s">
        <v>118</v>
      </c>
    </row>
    <row r="7" spans="2:4" x14ac:dyDescent="0.25">
      <c r="D7" s="9" t="s">
        <v>119</v>
      </c>
    </row>
    <row r="8" spans="2:4" x14ac:dyDescent="0.25">
      <c r="D8" s="9" t="s">
        <v>120</v>
      </c>
    </row>
    <row r="9" spans="2:4" x14ac:dyDescent="0.25">
      <c r="C9" s="9" t="s">
        <v>121</v>
      </c>
    </row>
    <row r="10" spans="2:4" x14ac:dyDescent="0.25">
      <c r="D10" s="9" t="s">
        <v>122</v>
      </c>
    </row>
    <row r="11" spans="2:4" x14ac:dyDescent="0.25">
      <c r="D11" s="9" t="s">
        <v>123</v>
      </c>
    </row>
    <row r="12" spans="2:4" x14ac:dyDescent="0.25">
      <c r="D12" s="9" t="s">
        <v>124</v>
      </c>
    </row>
    <row r="13" spans="2:4" x14ac:dyDescent="0.25">
      <c r="D13" s="9" t="s">
        <v>125</v>
      </c>
    </row>
    <row r="14" spans="2:4" x14ac:dyDescent="0.25">
      <c r="C14" s="9" t="s">
        <v>126</v>
      </c>
    </row>
    <row r="15" spans="2:4" x14ac:dyDescent="0.25">
      <c r="D15" s="9" t="s">
        <v>127</v>
      </c>
    </row>
    <row r="16" spans="2:4" x14ac:dyDescent="0.25">
      <c r="D16" s="9" t="s">
        <v>128</v>
      </c>
    </row>
    <row r="17" spans="2:4" x14ac:dyDescent="0.25">
      <c r="D17" s="9" t="s">
        <v>129</v>
      </c>
    </row>
    <row r="18" spans="2:4" x14ac:dyDescent="0.25">
      <c r="D18" s="9" t="s">
        <v>130</v>
      </c>
    </row>
    <row r="20" spans="2:4" x14ac:dyDescent="0.25">
      <c r="B20" s="9" t="s">
        <v>131</v>
      </c>
    </row>
    <row r="21" spans="2:4" x14ac:dyDescent="0.25">
      <c r="B21" s="9" t="s">
        <v>401</v>
      </c>
    </row>
    <row r="22" spans="2:4" x14ac:dyDescent="0.25">
      <c r="B22" s="184" t="s">
        <v>400</v>
      </c>
    </row>
    <row r="23" spans="2:4" x14ac:dyDescent="0.25">
      <c r="B23" s="9" t="s">
        <v>402</v>
      </c>
    </row>
    <row r="24" spans="2:4" x14ac:dyDescent="0.25">
      <c r="B24" s="184" t="s">
        <v>396</v>
      </c>
    </row>
    <row r="25" spans="2:4" x14ac:dyDescent="0.25">
      <c r="B25" s="9" t="s">
        <v>397</v>
      </c>
    </row>
    <row r="26" spans="2:4" x14ac:dyDescent="0.25">
      <c r="C26" s="9" t="s">
        <v>132</v>
      </c>
    </row>
    <row r="27" spans="2:4" x14ac:dyDescent="0.25">
      <c r="D27" s="9" t="s">
        <v>133</v>
      </c>
    </row>
    <row r="28" spans="2:4" x14ac:dyDescent="0.25">
      <c r="C28" s="9" t="s">
        <v>126</v>
      </c>
    </row>
    <row r="29" spans="2:4" x14ac:dyDescent="0.25">
      <c r="D29" s="9" t="s">
        <v>134</v>
      </c>
    </row>
    <row r="30" spans="2:4" x14ac:dyDescent="0.25">
      <c r="D30" s="9" t="s">
        <v>135</v>
      </c>
    </row>
    <row r="31" spans="2:4" x14ac:dyDescent="0.25">
      <c r="C31" s="9" t="s">
        <v>136</v>
      </c>
    </row>
    <row r="32" spans="2:4" x14ac:dyDescent="0.25">
      <c r="D32" s="9" t="s">
        <v>137</v>
      </c>
    </row>
    <row r="33" spans="4:5" x14ac:dyDescent="0.25">
      <c r="D33" s="9" t="s">
        <v>138</v>
      </c>
    </row>
    <row r="34" spans="4:5" x14ac:dyDescent="0.25">
      <c r="E34" s="9" t="s">
        <v>139</v>
      </c>
    </row>
    <row r="35" spans="4:5" x14ac:dyDescent="0.25">
      <c r="D35" s="9" t="s">
        <v>140</v>
      </c>
    </row>
    <row r="36" spans="4:5" x14ac:dyDescent="0.25">
      <c r="E36" s="9" t="s">
        <v>141</v>
      </c>
    </row>
    <row r="37" spans="4:5" x14ac:dyDescent="0.25">
      <c r="E37" s="9" t="s">
        <v>142</v>
      </c>
    </row>
    <row r="38" spans="4:5" x14ac:dyDescent="0.25">
      <c r="D38" s="9" t="s">
        <v>143</v>
      </c>
    </row>
  </sheetData>
  <hyperlinks>
    <hyperlink ref="B24" r:id="rId1" xr:uid="{6C46DFE2-05A3-E844-93C4-3D261B8FEBDC}"/>
    <hyperlink ref="B22" r:id="rId2" xr:uid="{C4A34D9C-7C61-FC40-9082-F7EE6FA8A731}"/>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E17"/>
  <sheetViews>
    <sheetView workbookViewId="0"/>
  </sheetViews>
  <sheetFormatPr baseColWidth="10" defaultColWidth="8.83203125" defaultRowHeight="19" x14ac:dyDescent="0.25"/>
  <cols>
    <col min="1" max="16384" width="8.83203125" style="9"/>
  </cols>
  <sheetData>
    <row r="2" spans="2:5" x14ac:dyDescent="0.25">
      <c r="B2" s="9" t="s">
        <v>144</v>
      </c>
    </row>
    <row r="3" spans="2:5" x14ac:dyDescent="0.25">
      <c r="C3" s="9" t="s">
        <v>145</v>
      </c>
    </row>
    <row r="4" spans="2:5" x14ac:dyDescent="0.25">
      <c r="D4" s="9" t="s">
        <v>140</v>
      </c>
    </row>
    <row r="5" spans="2:5" x14ac:dyDescent="0.25">
      <c r="D5" s="9" t="s">
        <v>139</v>
      </c>
    </row>
    <row r="6" spans="2:5" x14ac:dyDescent="0.25">
      <c r="D6" s="9" t="s">
        <v>146</v>
      </c>
    </row>
    <row r="7" spans="2:5" x14ac:dyDescent="0.25">
      <c r="E7" s="9" t="s">
        <v>147</v>
      </c>
    </row>
    <row r="8" spans="2:5" x14ac:dyDescent="0.25">
      <c r="E8" s="9" t="s">
        <v>148</v>
      </c>
    </row>
    <row r="9" spans="2:5" x14ac:dyDescent="0.25">
      <c r="C9" s="9" t="s">
        <v>149</v>
      </c>
    </row>
    <row r="10" spans="2:5" x14ac:dyDescent="0.25">
      <c r="C10" s="9" t="s">
        <v>150</v>
      </c>
    </row>
    <row r="11" spans="2:5" x14ac:dyDescent="0.25">
      <c r="C11" s="9" t="s">
        <v>151</v>
      </c>
    </row>
    <row r="12" spans="2:5" x14ac:dyDescent="0.25">
      <c r="C12" s="9" t="s">
        <v>389</v>
      </c>
    </row>
    <row r="13" spans="2:5" x14ac:dyDescent="0.25">
      <c r="C13" s="9" t="s">
        <v>152</v>
      </c>
    </row>
    <row r="15" spans="2:5" x14ac:dyDescent="0.25">
      <c r="B15" s="9" t="s">
        <v>153</v>
      </c>
    </row>
    <row r="16" spans="2:5" x14ac:dyDescent="0.25">
      <c r="C16" s="9" t="s">
        <v>154</v>
      </c>
    </row>
    <row r="17" spans="4:4" x14ac:dyDescent="0.25">
      <c r="D17" s="9" t="s">
        <v>155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B2:D16"/>
  <sheetViews>
    <sheetView workbookViewId="0"/>
  </sheetViews>
  <sheetFormatPr baseColWidth="10" defaultColWidth="8.83203125" defaultRowHeight="19" x14ac:dyDescent="0.25"/>
  <cols>
    <col min="1" max="16384" width="8.83203125" style="9"/>
  </cols>
  <sheetData>
    <row r="2" spans="2:4" x14ac:dyDescent="0.25">
      <c r="B2" s="9" t="s">
        <v>156</v>
      </c>
    </row>
    <row r="3" spans="2:4" x14ac:dyDescent="0.25">
      <c r="C3" s="9" t="s">
        <v>157</v>
      </c>
    </row>
    <row r="4" spans="2:4" x14ac:dyDescent="0.25">
      <c r="C4" s="9" t="s">
        <v>158</v>
      </c>
    </row>
    <row r="5" spans="2:4" x14ac:dyDescent="0.25">
      <c r="C5" s="9" t="s">
        <v>159</v>
      </c>
    </row>
    <row r="6" spans="2:4" x14ac:dyDescent="0.25">
      <c r="C6" s="9" t="s">
        <v>160</v>
      </c>
    </row>
    <row r="7" spans="2:4" x14ac:dyDescent="0.25">
      <c r="C7" s="9" t="s">
        <v>161</v>
      </c>
    </row>
    <row r="9" spans="2:4" x14ac:dyDescent="0.25">
      <c r="B9" s="9" t="s">
        <v>162</v>
      </c>
    </row>
    <row r="10" spans="2:4" x14ac:dyDescent="0.25">
      <c r="C10" s="9" t="s">
        <v>163</v>
      </c>
    </row>
    <row r="11" spans="2:4" x14ac:dyDescent="0.25">
      <c r="C11" s="9" t="s">
        <v>164</v>
      </c>
    </row>
    <row r="12" spans="2:4" x14ac:dyDescent="0.25">
      <c r="D12" s="9" t="s">
        <v>165</v>
      </c>
    </row>
    <row r="13" spans="2:4" x14ac:dyDescent="0.25">
      <c r="D13" s="9" t="s">
        <v>166</v>
      </c>
    </row>
    <row r="14" spans="2:4" x14ac:dyDescent="0.25">
      <c r="D14" s="10" t="s">
        <v>167</v>
      </c>
    </row>
    <row r="15" spans="2:4" x14ac:dyDescent="0.25">
      <c r="D15" s="10" t="s">
        <v>168</v>
      </c>
    </row>
    <row r="16" spans="2:4" x14ac:dyDescent="0.25">
      <c r="C16" s="9" t="s">
        <v>169</v>
      </c>
    </row>
  </sheetData>
  <hyperlinks>
    <hyperlink ref="D14" r:id="rId1" xr:uid="{00000000-0004-0000-0500-000000000000}"/>
    <hyperlink ref="D15" r:id="rId2" xr:uid="{00000000-0004-0000-0500-000001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B2:K29"/>
  <sheetViews>
    <sheetView workbookViewId="0"/>
  </sheetViews>
  <sheetFormatPr baseColWidth="10" defaultColWidth="10.83203125" defaultRowHeight="16" x14ac:dyDescent="0.2"/>
  <cols>
    <col min="1" max="16384" width="10.83203125" style="2"/>
  </cols>
  <sheetData>
    <row r="2" spans="2:11" x14ac:dyDescent="0.2">
      <c r="B2" s="2" t="s">
        <v>16</v>
      </c>
    </row>
    <row r="3" spans="2:11" x14ac:dyDescent="0.2">
      <c r="B3" s="5" t="s">
        <v>322</v>
      </c>
    </row>
    <row r="4" spans="2:11" x14ac:dyDescent="0.2">
      <c r="C4" s="2" t="s">
        <v>15</v>
      </c>
    </row>
    <row r="5" spans="2:11" x14ac:dyDescent="0.2">
      <c r="C5" s="2" t="s">
        <v>14</v>
      </c>
    </row>
    <row r="6" spans="2:11" x14ac:dyDescent="0.2">
      <c r="H6"/>
      <c r="K6"/>
    </row>
    <row r="7" spans="2:11" x14ac:dyDescent="0.2">
      <c r="B7" s="2" t="s">
        <v>13</v>
      </c>
    </row>
    <row r="8" spans="2:11" x14ac:dyDescent="0.2">
      <c r="B8" s="5" t="s">
        <v>321</v>
      </c>
    </row>
    <row r="9" spans="2:11" x14ac:dyDescent="0.2">
      <c r="C9" s="2" t="s">
        <v>12</v>
      </c>
    </row>
    <row r="10" spans="2:11" x14ac:dyDescent="0.2">
      <c r="D10" s="2" t="s">
        <v>11</v>
      </c>
    </row>
    <row r="11" spans="2:11" x14ac:dyDescent="0.2">
      <c r="E11" s="2" t="s">
        <v>6</v>
      </c>
    </row>
    <row r="12" spans="2:11" x14ac:dyDescent="0.2">
      <c r="D12" s="2" t="s">
        <v>10</v>
      </c>
    </row>
    <row r="13" spans="2:11" x14ac:dyDescent="0.2">
      <c r="C13" s="2" t="s">
        <v>9</v>
      </c>
    </row>
    <row r="14" spans="2:11" x14ac:dyDescent="0.2">
      <c r="D14" s="2" t="s">
        <v>8</v>
      </c>
    </row>
    <row r="15" spans="2:11" x14ac:dyDescent="0.2">
      <c r="C15" s="2" t="s">
        <v>7</v>
      </c>
    </row>
    <row r="16" spans="2:11" x14ac:dyDescent="0.2">
      <c r="D16" s="2" t="s">
        <v>6</v>
      </c>
    </row>
    <row r="17" spans="3:8" x14ac:dyDescent="0.2">
      <c r="D17" s="2" t="s">
        <v>5</v>
      </c>
    </row>
    <row r="18" spans="3:8" x14ac:dyDescent="0.2">
      <c r="C18" s="2" t="s">
        <v>4</v>
      </c>
    </row>
    <row r="19" spans="3:8" x14ac:dyDescent="0.2">
      <c r="D19" s="2" t="s">
        <v>3</v>
      </c>
    </row>
    <row r="20" spans="3:8" x14ac:dyDescent="0.2">
      <c r="D20" s="2" t="s">
        <v>2</v>
      </c>
    </row>
    <row r="29" spans="3:8" x14ac:dyDescent="0.2">
      <c r="H29"/>
    </row>
  </sheetData>
  <hyperlinks>
    <hyperlink ref="B8" r:id="rId1" xr:uid="{CB12F73A-7C48-5B41-AFDF-B94F201F9506}"/>
    <hyperlink ref="B3" r:id="rId2" xr:uid="{3B502ED1-6840-794F-8180-D1D697F06FEB}"/>
  </hyperlinks>
  <pageMargins left="0.7" right="0.7" top="0.75" bottom="0.75" header="0.3" footer="0.3"/>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C3:C4"/>
  <sheetViews>
    <sheetView workbookViewId="0"/>
  </sheetViews>
  <sheetFormatPr baseColWidth="10" defaultRowHeight="29" x14ac:dyDescent="0.35"/>
  <cols>
    <col min="1" max="16384" width="10.83203125" style="4"/>
  </cols>
  <sheetData>
    <row r="3" spans="3:3" x14ac:dyDescent="0.35">
      <c r="C3" s="3"/>
    </row>
    <row r="4" spans="3:3" x14ac:dyDescent="0.35">
      <c r="C4"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1073F-0074-D44C-BA83-BA1B7AB5DFF9}">
  <sheetPr>
    <tabColor rgb="FFFFFF00"/>
  </sheetPr>
  <dimension ref="B1:C28"/>
  <sheetViews>
    <sheetView workbookViewId="0"/>
  </sheetViews>
  <sheetFormatPr baseColWidth="10" defaultRowHeight="26" x14ac:dyDescent="0.3"/>
  <cols>
    <col min="1" max="1" width="10.83203125" style="11"/>
    <col min="2" max="2" width="19.1640625" style="11" customWidth="1"/>
    <col min="3" max="3" width="131.33203125" style="11" customWidth="1"/>
    <col min="4" max="16384" width="10.83203125" style="11"/>
  </cols>
  <sheetData>
    <row r="1" spans="2:3" x14ac:dyDescent="0.3">
      <c r="B1" s="17"/>
      <c r="C1" s="17"/>
    </row>
    <row r="2" spans="2:3" ht="27" thickBot="1" x14ac:dyDescent="0.35">
      <c r="B2" s="16" t="s">
        <v>189</v>
      </c>
      <c r="C2" s="12" t="s">
        <v>188</v>
      </c>
    </row>
    <row r="3" spans="2:3" ht="46" customHeight="1" x14ac:dyDescent="0.3">
      <c r="B3" s="162" t="s">
        <v>187</v>
      </c>
      <c r="C3" s="164" t="s">
        <v>186</v>
      </c>
    </row>
    <row r="4" spans="2:3" ht="54" customHeight="1" thickBot="1" x14ac:dyDescent="0.35">
      <c r="B4" s="163"/>
      <c r="C4" s="165"/>
    </row>
    <row r="5" spans="2:3" ht="68" x14ac:dyDescent="0.3">
      <c r="B5" s="162" t="s">
        <v>185</v>
      </c>
      <c r="C5" s="15" t="s">
        <v>184</v>
      </c>
    </row>
    <row r="6" spans="2:3" x14ac:dyDescent="0.3">
      <c r="B6" s="166"/>
      <c r="C6" s="14" t="s">
        <v>183</v>
      </c>
    </row>
    <row r="7" spans="2:3" x14ac:dyDescent="0.3">
      <c r="B7" s="166"/>
      <c r="C7" s="14" t="s">
        <v>182</v>
      </c>
    </row>
    <row r="8" spans="2:3" x14ac:dyDescent="0.3">
      <c r="B8" s="166"/>
      <c r="C8" s="14" t="s">
        <v>181</v>
      </c>
    </row>
    <row r="9" spans="2:3" x14ac:dyDescent="0.3">
      <c r="B9" s="166"/>
      <c r="C9" s="13" t="s">
        <v>180</v>
      </c>
    </row>
    <row r="10" spans="2:3" ht="27" thickBot="1" x14ac:dyDescent="0.35">
      <c r="B10" s="163"/>
      <c r="C10" s="12"/>
    </row>
    <row r="11" spans="2:3" x14ac:dyDescent="0.3">
      <c r="B11" s="162" t="s">
        <v>179</v>
      </c>
      <c r="C11" s="162" t="s">
        <v>178</v>
      </c>
    </row>
    <row r="12" spans="2:3" x14ac:dyDescent="0.3">
      <c r="B12" s="166"/>
      <c r="C12" s="166"/>
    </row>
    <row r="13" spans="2:3" x14ac:dyDescent="0.3">
      <c r="B13" s="166"/>
      <c r="C13" s="166"/>
    </row>
    <row r="14" spans="2:3" x14ac:dyDescent="0.3">
      <c r="B14" s="166"/>
      <c r="C14" s="166"/>
    </row>
    <row r="15" spans="2:3" x14ac:dyDescent="0.3">
      <c r="B15" s="166"/>
      <c r="C15" s="166"/>
    </row>
    <row r="16" spans="2:3" ht="27" thickBot="1" x14ac:dyDescent="0.35">
      <c r="B16" s="166"/>
      <c r="C16" s="163"/>
    </row>
    <row r="17" spans="2:3" x14ac:dyDescent="0.3">
      <c r="B17" s="166"/>
      <c r="C17" s="162" t="s">
        <v>177</v>
      </c>
    </row>
    <row r="18" spans="2:3" x14ac:dyDescent="0.3">
      <c r="B18" s="166"/>
      <c r="C18" s="166"/>
    </row>
    <row r="19" spans="2:3" x14ac:dyDescent="0.3">
      <c r="B19" s="166"/>
      <c r="C19" s="166"/>
    </row>
    <row r="20" spans="2:3" x14ac:dyDescent="0.3">
      <c r="B20" s="166"/>
      <c r="C20" s="166"/>
    </row>
    <row r="21" spans="2:3" x14ac:dyDescent="0.3">
      <c r="B21" s="166"/>
      <c r="C21" s="166"/>
    </row>
    <row r="22" spans="2:3" x14ac:dyDescent="0.3">
      <c r="B22" s="166"/>
      <c r="C22" s="166"/>
    </row>
    <row r="23" spans="2:3" ht="27" thickBot="1" x14ac:dyDescent="0.35">
      <c r="B23" s="166"/>
      <c r="C23" s="163"/>
    </row>
    <row r="24" spans="2:3" x14ac:dyDescent="0.3">
      <c r="B24" s="166"/>
      <c r="C24" s="162" t="s">
        <v>176</v>
      </c>
    </row>
    <row r="25" spans="2:3" x14ac:dyDescent="0.3">
      <c r="B25" s="166"/>
      <c r="C25" s="166"/>
    </row>
    <row r="26" spans="2:3" x14ac:dyDescent="0.3">
      <c r="B26" s="166"/>
      <c r="C26" s="166"/>
    </row>
    <row r="27" spans="2:3" x14ac:dyDescent="0.3">
      <c r="B27" s="166"/>
      <c r="C27" s="166"/>
    </row>
    <row r="28" spans="2:3" ht="27" thickBot="1" x14ac:dyDescent="0.35">
      <c r="B28" s="163"/>
      <c r="C28" s="163"/>
    </row>
  </sheetData>
  <mergeCells count="7">
    <mergeCell ref="B3:B4"/>
    <mergeCell ref="C3:C4"/>
    <mergeCell ref="B5:B10"/>
    <mergeCell ref="B11:B28"/>
    <mergeCell ref="C11:C16"/>
    <mergeCell ref="C17:C23"/>
    <mergeCell ref="C24:C28"/>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903D1-66EC-574A-9F0C-E7A18AE9BC54}">
  <sheetPr>
    <tabColor rgb="FFFFFF00"/>
    <pageSetUpPr fitToPage="1"/>
  </sheetPr>
  <dimension ref="A1:X67"/>
  <sheetViews>
    <sheetView zoomScale="80" zoomScaleNormal="80" workbookViewId="0">
      <pane ySplit="5" topLeftCell="A14" activePane="bottomLeft" state="frozen"/>
      <selection pane="bottomLeft"/>
    </sheetView>
  </sheetViews>
  <sheetFormatPr baseColWidth="10" defaultColWidth="8.83203125" defaultRowHeight="15" x14ac:dyDescent="0.2"/>
  <cols>
    <col min="1" max="1" width="5" style="18" customWidth="1"/>
    <col min="2" max="2" width="37.5" style="18" customWidth="1"/>
    <col min="3" max="4" width="10.5" style="18" customWidth="1"/>
    <col min="5" max="5" width="7.5" style="18" customWidth="1"/>
    <col min="6" max="6" width="14" style="18" customWidth="1"/>
    <col min="7" max="7" width="2" style="18" customWidth="1"/>
    <col min="8" max="8" width="10" style="18" customWidth="1"/>
    <col min="9" max="9" width="6.33203125" style="18" customWidth="1"/>
    <col min="10" max="12" width="6.1640625" style="18" customWidth="1"/>
    <col min="13" max="13" width="6.33203125" style="18" customWidth="1"/>
    <col min="14" max="14" width="6.5" style="18" customWidth="1"/>
    <col min="15" max="15" width="7.33203125" style="18" customWidth="1"/>
    <col min="16" max="16" width="7.5" style="18" customWidth="1"/>
    <col min="17" max="17" width="9.1640625" style="18" hidden="1" customWidth="1"/>
    <col min="18" max="18" width="9.83203125" style="18" hidden="1" customWidth="1"/>
    <col min="19" max="20" width="9.1640625" style="18" hidden="1" customWidth="1"/>
    <col min="21" max="21" width="9.83203125" style="18" hidden="1" customWidth="1"/>
    <col min="22" max="22" width="19.6640625" style="18" customWidth="1"/>
    <col min="23" max="23" width="17.5" style="18" customWidth="1"/>
    <col min="24" max="24" width="70.5" style="18" hidden="1" customWidth="1"/>
    <col min="25" max="16384" width="8.83203125" style="18"/>
  </cols>
  <sheetData>
    <row r="1" spans="1:24" x14ac:dyDescent="0.2">
      <c r="A1" s="146" t="s">
        <v>296</v>
      </c>
    </row>
    <row r="2" spans="1:24" x14ac:dyDescent="0.2">
      <c r="A2" s="145" t="s">
        <v>295</v>
      </c>
      <c r="F2" s="34"/>
      <c r="I2" s="105"/>
    </row>
    <row r="3" spans="1:24" x14ac:dyDescent="0.2">
      <c r="B3" s="107"/>
      <c r="J3" s="105"/>
    </row>
    <row r="4" spans="1:24" x14ac:dyDescent="0.2">
      <c r="A4" s="170"/>
      <c r="B4" s="171"/>
      <c r="C4" s="171"/>
      <c r="D4" s="172">
        <v>43555</v>
      </c>
      <c r="E4" s="173"/>
      <c r="F4" s="174"/>
      <c r="G4" s="7"/>
      <c r="H4" s="104" t="s">
        <v>217</v>
      </c>
      <c r="I4" s="182" t="s">
        <v>218</v>
      </c>
      <c r="J4" s="182"/>
      <c r="K4" s="182"/>
      <c r="L4" s="182"/>
      <c r="M4" s="182"/>
      <c r="N4" s="182"/>
      <c r="O4" s="182"/>
      <c r="P4" s="183"/>
      <c r="Q4" s="177" t="s">
        <v>217</v>
      </c>
      <c r="R4" s="178"/>
      <c r="S4" s="179"/>
      <c r="T4" s="177" t="s">
        <v>216</v>
      </c>
      <c r="U4" s="179"/>
      <c r="V4" s="103"/>
      <c r="W4" s="103"/>
      <c r="X4" s="144"/>
    </row>
    <row r="5" spans="1:24" x14ac:dyDescent="0.2">
      <c r="A5" s="180" t="s">
        <v>187</v>
      </c>
      <c r="B5" s="181"/>
      <c r="C5" s="101" t="s">
        <v>215</v>
      </c>
      <c r="D5" s="100" t="s">
        <v>214</v>
      </c>
      <c r="E5" s="101" t="s">
        <v>213</v>
      </c>
      <c r="F5" s="99" t="s">
        <v>212</v>
      </c>
      <c r="G5" s="7"/>
      <c r="H5" s="102" t="s">
        <v>211</v>
      </c>
      <c r="I5" s="143">
        <v>1</v>
      </c>
      <c r="J5" s="143">
        <v>2</v>
      </c>
      <c r="K5" s="143">
        <v>5</v>
      </c>
      <c r="L5" s="143">
        <v>10</v>
      </c>
      <c r="M5" s="143">
        <v>30</v>
      </c>
      <c r="N5" s="143">
        <v>60</v>
      </c>
      <c r="O5" s="143">
        <v>180</v>
      </c>
      <c r="P5" s="142">
        <v>360</v>
      </c>
      <c r="Q5" s="100" t="s">
        <v>211</v>
      </c>
      <c r="R5" s="101" t="s">
        <v>210</v>
      </c>
      <c r="S5" s="99" t="s">
        <v>209</v>
      </c>
      <c r="T5" s="100" t="s">
        <v>208</v>
      </c>
      <c r="U5" s="99" t="s">
        <v>207</v>
      </c>
      <c r="V5" s="98" t="s">
        <v>206</v>
      </c>
      <c r="W5" s="98" t="s">
        <v>205</v>
      </c>
      <c r="X5" s="141" t="s">
        <v>294</v>
      </c>
    </row>
    <row r="6" spans="1:24" x14ac:dyDescent="0.2">
      <c r="A6" s="96"/>
      <c r="B6" s="95"/>
      <c r="C6" s="87"/>
      <c r="D6" s="84"/>
      <c r="E6" s="84"/>
      <c r="F6" s="83"/>
      <c r="G6" s="7"/>
      <c r="H6" s="81"/>
      <c r="I6" s="138"/>
      <c r="J6" s="138"/>
      <c r="K6" s="138"/>
      <c r="L6" s="138"/>
      <c r="M6" s="138"/>
      <c r="N6" s="138"/>
      <c r="O6" s="138"/>
      <c r="P6" s="140"/>
      <c r="Q6" s="77"/>
      <c r="R6" s="76"/>
      <c r="S6" s="78"/>
      <c r="T6" s="77"/>
      <c r="U6" s="87"/>
      <c r="V6" s="56"/>
      <c r="W6" s="126"/>
      <c r="X6" s="139"/>
    </row>
    <row r="7" spans="1:24" x14ac:dyDescent="0.2">
      <c r="A7" s="68" t="s">
        <v>204</v>
      </c>
      <c r="C7" s="76"/>
      <c r="D7" s="84"/>
      <c r="E7" s="84"/>
      <c r="F7" s="83"/>
      <c r="G7" s="82"/>
      <c r="H7" s="81"/>
      <c r="I7" s="138"/>
      <c r="J7" s="138"/>
      <c r="K7" s="138"/>
      <c r="L7" s="138"/>
      <c r="M7" s="138"/>
      <c r="N7" s="138"/>
      <c r="O7" s="138"/>
      <c r="P7" s="137"/>
      <c r="Q7" s="77"/>
      <c r="R7" s="76"/>
      <c r="S7" s="78"/>
      <c r="T7" s="77"/>
      <c r="U7" s="76"/>
      <c r="V7" s="56"/>
      <c r="W7" s="126"/>
      <c r="X7" s="54"/>
    </row>
    <row r="8" spans="1:24" ht="32" x14ac:dyDescent="0.2">
      <c r="A8" s="70"/>
      <c r="B8" s="67" t="s">
        <v>293</v>
      </c>
      <c r="C8" s="66">
        <v>3</v>
      </c>
      <c r="D8" s="65">
        <v>102.122</v>
      </c>
      <c r="E8" s="65">
        <v>1.0906</v>
      </c>
      <c r="F8" s="64">
        <f>10000*D8*E8*C8</f>
        <v>3341227.5960000004</v>
      </c>
      <c r="G8" s="48"/>
      <c r="H8" s="63">
        <v>1.2500000000000001E-2</v>
      </c>
      <c r="I8" s="128">
        <f>F8/1000000</f>
        <v>3.3412275960000004</v>
      </c>
      <c r="J8" s="128"/>
      <c r="K8" s="128"/>
      <c r="L8" s="128"/>
      <c r="M8" s="128"/>
      <c r="N8" s="128"/>
      <c r="O8" s="128"/>
      <c r="P8" s="127"/>
      <c r="Q8" s="58">
        <v>1.2500000000000001E-2</v>
      </c>
      <c r="R8" s="75">
        <v>7.4999999999999997E-3</v>
      </c>
      <c r="S8" s="59">
        <v>1</v>
      </c>
      <c r="T8" s="58">
        <v>3.0000000000000001E-3</v>
      </c>
      <c r="U8" s="57">
        <v>0.03</v>
      </c>
      <c r="V8" s="71" t="s">
        <v>292</v>
      </c>
      <c r="W8" s="130" t="s">
        <v>291</v>
      </c>
      <c r="X8" s="136" t="s">
        <v>290</v>
      </c>
    </row>
    <row r="9" spans="1:24" ht="56.25" customHeight="1" x14ac:dyDescent="0.2">
      <c r="A9" s="70"/>
      <c r="B9" s="67" t="s">
        <v>289</v>
      </c>
      <c r="C9" s="66">
        <v>3</v>
      </c>
      <c r="D9" s="65">
        <v>101.19199999999999</v>
      </c>
      <c r="E9" s="65">
        <v>1</v>
      </c>
      <c r="F9" s="64">
        <f>20000*D9*E9*C9</f>
        <v>6071519.9999999991</v>
      </c>
      <c r="G9" s="48"/>
      <c r="H9" s="63">
        <v>1.7500000000000002E-2</v>
      </c>
      <c r="I9" s="128">
        <v>1</v>
      </c>
      <c r="J9" s="128">
        <v>4</v>
      </c>
      <c r="K9" s="128">
        <f>F9/1000000-I9-J9</f>
        <v>1.0715199999999987</v>
      </c>
      <c r="L9" s="128"/>
      <c r="M9" s="128"/>
      <c r="N9" s="128"/>
      <c r="O9" s="128"/>
      <c r="P9" s="127"/>
      <c r="Q9" s="58">
        <v>1.7500000000000002E-2</v>
      </c>
      <c r="R9" s="75">
        <v>3.5000000000000001E-3</v>
      </c>
      <c r="S9" s="59">
        <v>2</v>
      </c>
      <c r="T9" s="58">
        <v>2.5000000000000001E-3</v>
      </c>
      <c r="U9" s="57">
        <v>0.05</v>
      </c>
      <c r="V9" s="71" t="s">
        <v>288</v>
      </c>
      <c r="W9" s="130" t="s">
        <v>287</v>
      </c>
      <c r="X9" s="54" t="s">
        <v>286</v>
      </c>
    </row>
    <row r="10" spans="1:24" ht="32" x14ac:dyDescent="0.2">
      <c r="A10" s="70"/>
      <c r="B10" s="67" t="s">
        <v>285</v>
      </c>
      <c r="C10" s="66">
        <v>1</v>
      </c>
      <c r="D10" s="65">
        <v>0.97</v>
      </c>
      <c r="E10" s="65">
        <v>1</v>
      </c>
      <c r="F10" s="64">
        <f>5000000*D10*E10*C10</f>
        <v>4850000</v>
      </c>
      <c r="G10" s="48"/>
      <c r="H10" s="63">
        <v>6.25E-2</v>
      </c>
      <c r="I10" s="125"/>
      <c r="J10" s="125"/>
      <c r="K10" s="125"/>
      <c r="L10" s="62">
        <v>2</v>
      </c>
      <c r="M10" s="62">
        <f>F10/1000000-L10</f>
        <v>2.8499999999999996</v>
      </c>
      <c r="N10" s="62"/>
      <c r="O10" s="62"/>
      <c r="P10" s="61"/>
      <c r="Q10" s="58"/>
      <c r="R10" s="75"/>
      <c r="S10" s="59"/>
      <c r="T10" s="58"/>
      <c r="U10" s="57"/>
      <c r="V10" s="71" t="s">
        <v>284</v>
      </c>
      <c r="W10" s="130" t="s">
        <v>283</v>
      </c>
      <c r="X10" s="54" t="s">
        <v>282</v>
      </c>
    </row>
    <row r="11" spans="1:24" ht="32" x14ac:dyDescent="0.2">
      <c r="A11" s="70"/>
      <c r="B11" s="67" t="s">
        <v>281</v>
      </c>
      <c r="C11" s="66">
        <v>5</v>
      </c>
      <c r="D11" s="65">
        <v>0.95750000000000002</v>
      </c>
      <c r="E11" s="65">
        <v>1.39</v>
      </c>
      <c r="F11" s="64">
        <f>1500000*D11/E11*C11</f>
        <v>5166366.9064748203</v>
      </c>
      <c r="G11" s="48"/>
      <c r="H11" s="63">
        <v>3.5000000000000003E-2</v>
      </c>
      <c r="I11" s="125"/>
      <c r="J11" s="125"/>
      <c r="K11" s="62">
        <f>F11/1000000</f>
        <v>5.1663669064748206</v>
      </c>
      <c r="L11" s="62"/>
      <c r="M11" s="62"/>
      <c r="N11" s="62"/>
      <c r="O11" s="62"/>
      <c r="P11" s="61"/>
      <c r="Q11" s="58">
        <v>3.5000000000000003E-2</v>
      </c>
      <c r="R11" s="75">
        <v>2.6499999999999999E-2</v>
      </c>
      <c r="S11" s="59">
        <v>5</v>
      </c>
      <c r="T11" s="135">
        <v>6.4999999999999997E-3</v>
      </c>
      <c r="U11" s="134">
        <v>-0.1</v>
      </c>
      <c r="V11" s="71" t="s">
        <v>280</v>
      </c>
      <c r="W11" s="130" t="s">
        <v>279</v>
      </c>
      <c r="X11" s="54" t="s">
        <v>278</v>
      </c>
    </row>
    <row r="12" spans="1:24" ht="28.5" customHeight="1" x14ac:dyDescent="0.2">
      <c r="A12" s="70"/>
      <c r="B12" s="67" t="s">
        <v>277</v>
      </c>
      <c r="C12" s="66">
        <v>5</v>
      </c>
      <c r="D12" s="65">
        <v>0.59267999999999998</v>
      </c>
      <c r="E12" s="65">
        <v>1</v>
      </c>
      <c r="F12" s="64">
        <f>3000000*D12*C12</f>
        <v>8890200</v>
      </c>
      <c r="G12" s="48"/>
      <c r="H12" s="63">
        <v>2.6499999999999999E-2</v>
      </c>
      <c r="I12" s="62">
        <v>5</v>
      </c>
      <c r="J12" s="62">
        <f>F12/1000000-I12</f>
        <v>3.8902000000000001</v>
      </c>
      <c r="K12" s="62"/>
      <c r="L12" s="62"/>
      <c r="M12" s="62"/>
      <c r="N12" s="62"/>
      <c r="O12" s="62"/>
      <c r="P12" s="61"/>
      <c r="Q12" s="58">
        <v>2.6499999999999999E-2</v>
      </c>
      <c r="R12" s="75">
        <v>5.4999999999999997E-3</v>
      </c>
      <c r="S12" s="59">
        <v>1</v>
      </c>
      <c r="T12" s="58">
        <v>1.5E-3</v>
      </c>
      <c r="U12" s="72">
        <v>2.5000000000000001E-2</v>
      </c>
      <c r="V12" s="71" t="s">
        <v>276</v>
      </c>
      <c r="W12" s="130" t="s">
        <v>275</v>
      </c>
      <c r="X12" s="54" t="s">
        <v>274</v>
      </c>
    </row>
    <row r="13" spans="1:24" ht="52.5" customHeight="1" x14ac:dyDescent="0.2">
      <c r="A13" s="70"/>
      <c r="B13" s="67" t="s">
        <v>273</v>
      </c>
      <c r="C13" s="66">
        <v>4</v>
      </c>
      <c r="D13" s="65">
        <v>100.471</v>
      </c>
      <c r="E13" s="65">
        <v>1</v>
      </c>
      <c r="F13" s="64">
        <f>10000*D13*E13*C13</f>
        <v>4018840</v>
      </c>
      <c r="G13" s="48"/>
      <c r="H13" s="63">
        <v>2.75E-2</v>
      </c>
      <c r="I13" s="129"/>
      <c r="J13" s="128">
        <v>1</v>
      </c>
      <c r="K13" s="128">
        <f>F13/1000000-J13</f>
        <v>3.01884</v>
      </c>
      <c r="L13" s="128"/>
      <c r="M13" s="128"/>
      <c r="N13" s="128"/>
      <c r="O13" s="128"/>
      <c r="P13" s="127"/>
      <c r="Q13" s="58"/>
      <c r="R13" s="75"/>
      <c r="S13" s="59"/>
      <c r="T13" s="58"/>
      <c r="U13" s="57"/>
      <c r="V13" s="71" t="s">
        <v>267</v>
      </c>
      <c r="W13" s="130" t="s">
        <v>272</v>
      </c>
      <c r="X13" s="54" t="s">
        <v>271</v>
      </c>
    </row>
    <row r="14" spans="1:24" ht="58.5" customHeight="1" x14ac:dyDescent="0.2">
      <c r="A14" s="70"/>
      <c r="B14" s="67" t="s">
        <v>270</v>
      </c>
      <c r="C14" s="66">
        <v>4</v>
      </c>
      <c r="D14" s="65">
        <v>1.0995999999999999</v>
      </c>
      <c r="E14" s="65">
        <v>1</v>
      </c>
      <c r="F14" s="64">
        <f>1000000*D14/E14*C14</f>
        <v>4398400</v>
      </c>
      <c r="G14" s="48"/>
      <c r="H14" s="63">
        <v>4.4999999999999998E-2</v>
      </c>
      <c r="I14" s="125"/>
      <c r="J14" s="62">
        <v>1</v>
      </c>
      <c r="K14" s="62">
        <f>F14/1000000-J14</f>
        <v>3.3983999999999996</v>
      </c>
      <c r="L14" s="62"/>
      <c r="M14" s="62"/>
      <c r="N14" s="62"/>
      <c r="O14" s="62"/>
      <c r="P14" s="61"/>
      <c r="Q14" s="58"/>
      <c r="R14" s="75"/>
      <c r="S14" s="59"/>
      <c r="T14" s="58"/>
      <c r="U14" s="72"/>
      <c r="V14" s="71" t="s">
        <v>267</v>
      </c>
      <c r="W14" s="130" t="s">
        <v>269</v>
      </c>
      <c r="X14" s="54" t="s">
        <v>265</v>
      </c>
    </row>
    <row r="15" spans="1:24" ht="51" customHeight="1" x14ac:dyDescent="0.2">
      <c r="A15" s="70"/>
      <c r="B15" s="67" t="s">
        <v>268</v>
      </c>
      <c r="C15" s="66">
        <v>4</v>
      </c>
      <c r="D15" s="65">
        <v>1.0761000000000001</v>
      </c>
      <c r="E15" s="65">
        <v>1</v>
      </c>
      <c r="F15" s="64">
        <f>1000000*D15/E15*C15</f>
        <v>4304400</v>
      </c>
      <c r="G15" s="48"/>
      <c r="H15" s="63">
        <v>4.4999999999999998E-2</v>
      </c>
      <c r="I15" s="125"/>
      <c r="J15" s="62">
        <v>1</v>
      </c>
      <c r="K15" s="62">
        <f>F15/1000000-J15</f>
        <v>3.3044000000000002</v>
      </c>
      <c r="L15" s="62"/>
      <c r="M15" s="62"/>
      <c r="N15" s="62"/>
      <c r="O15" s="62"/>
      <c r="P15" s="61"/>
      <c r="Q15" s="58"/>
      <c r="R15" s="75"/>
      <c r="S15" s="59"/>
      <c r="T15" s="58"/>
      <c r="U15" s="72"/>
      <c r="V15" s="71" t="s">
        <v>267</v>
      </c>
      <c r="W15" s="130" t="s">
        <v>266</v>
      </c>
      <c r="X15" s="54" t="s">
        <v>265</v>
      </c>
    </row>
    <row r="16" spans="1:24" x14ac:dyDescent="0.2">
      <c r="A16" s="70"/>
      <c r="B16" s="74"/>
      <c r="C16" s="66"/>
      <c r="D16" s="65"/>
      <c r="E16" s="65"/>
      <c r="F16" s="64"/>
      <c r="G16" s="48"/>
      <c r="H16" s="63"/>
      <c r="I16" s="128"/>
      <c r="J16" s="128"/>
      <c r="K16" s="128"/>
      <c r="L16" s="128"/>
      <c r="M16" s="128"/>
      <c r="N16" s="128"/>
      <c r="O16" s="128"/>
      <c r="P16" s="127"/>
      <c r="Q16" s="60"/>
      <c r="R16" s="66"/>
      <c r="S16" s="59"/>
      <c r="T16" s="60"/>
      <c r="U16" s="66"/>
      <c r="V16" s="71"/>
      <c r="W16" s="126"/>
      <c r="X16" s="54"/>
    </row>
    <row r="17" spans="1:24" x14ac:dyDescent="0.2">
      <c r="A17" s="68" t="s">
        <v>203</v>
      </c>
      <c r="B17" s="74"/>
      <c r="C17" s="66"/>
      <c r="D17" s="65"/>
      <c r="E17" s="65"/>
      <c r="F17" s="64"/>
      <c r="G17" s="48"/>
      <c r="H17" s="63"/>
      <c r="I17" s="128"/>
      <c r="J17" s="128"/>
      <c r="K17" s="128"/>
      <c r="L17" s="128"/>
      <c r="M17" s="128"/>
      <c r="N17" s="128"/>
      <c r="O17" s="128"/>
      <c r="P17" s="127"/>
      <c r="Q17" s="60"/>
      <c r="R17" s="66"/>
      <c r="S17" s="59"/>
      <c r="T17" s="60"/>
      <c r="U17" s="66"/>
      <c r="V17" s="71"/>
      <c r="W17" s="126"/>
      <c r="X17" s="54"/>
    </row>
    <row r="18" spans="1:24" ht="45" x14ac:dyDescent="0.2">
      <c r="A18" s="70"/>
      <c r="B18" s="74" t="s">
        <v>264</v>
      </c>
      <c r="C18" s="73">
        <v>175000</v>
      </c>
      <c r="D18" s="65">
        <v>39.42</v>
      </c>
      <c r="E18" s="65">
        <v>1</v>
      </c>
      <c r="F18" s="64">
        <f>C18*D18/E18</f>
        <v>6898500</v>
      </c>
      <c r="G18" s="48"/>
      <c r="H18" s="63">
        <v>0</v>
      </c>
      <c r="I18" s="128">
        <v>5</v>
      </c>
      <c r="J18" s="128">
        <f>F18/1000000-I18</f>
        <v>1.8985000000000003</v>
      </c>
      <c r="K18" s="128"/>
      <c r="L18" s="128"/>
      <c r="M18" s="128"/>
      <c r="N18" s="128"/>
      <c r="O18" s="128"/>
      <c r="P18" s="127"/>
      <c r="Q18" s="58">
        <v>0</v>
      </c>
      <c r="R18" s="57">
        <v>0.22</v>
      </c>
      <c r="S18" s="59">
        <v>1</v>
      </c>
      <c r="T18" s="58">
        <v>4.2500000000000003E-2</v>
      </c>
      <c r="U18" s="57">
        <v>-0.15</v>
      </c>
      <c r="V18" s="71" t="s">
        <v>263</v>
      </c>
      <c r="W18" s="126"/>
      <c r="X18" s="54" t="s">
        <v>262</v>
      </c>
    </row>
    <row r="19" spans="1:24" ht="60" x14ac:dyDescent="0.2">
      <c r="A19" s="70"/>
      <c r="B19" s="74" t="s">
        <v>261</v>
      </c>
      <c r="C19" s="73">
        <v>470000</v>
      </c>
      <c r="D19" s="65">
        <v>24.94</v>
      </c>
      <c r="E19" s="65">
        <v>1.39</v>
      </c>
      <c r="F19" s="64">
        <f>C19*D19/E19</f>
        <v>8432949.64028777</v>
      </c>
      <c r="G19" s="48"/>
      <c r="H19" s="63">
        <v>1.4999999999999999E-2</v>
      </c>
      <c r="I19" s="128">
        <v>1</v>
      </c>
      <c r="J19" s="128">
        <f>2-I19</f>
        <v>1</v>
      </c>
      <c r="K19" s="128">
        <f>F19/1000000-I19-J19</f>
        <v>6.4329496402877702</v>
      </c>
      <c r="L19" s="128"/>
      <c r="M19" s="128"/>
      <c r="N19" s="128"/>
      <c r="O19" s="128"/>
      <c r="P19" s="127"/>
      <c r="Q19" s="58">
        <v>1.4999999999999999E-2</v>
      </c>
      <c r="R19" s="57">
        <v>0.12</v>
      </c>
      <c r="S19" s="59">
        <v>2</v>
      </c>
      <c r="T19" s="58">
        <v>2.5000000000000001E-2</v>
      </c>
      <c r="U19" s="72">
        <v>-7.4999999999999997E-2</v>
      </c>
      <c r="V19" s="71" t="s">
        <v>260</v>
      </c>
      <c r="W19" s="126"/>
      <c r="X19" s="54" t="s">
        <v>259</v>
      </c>
    </row>
    <row r="20" spans="1:24" ht="30" x14ac:dyDescent="0.2">
      <c r="A20" s="70"/>
      <c r="B20" s="74" t="s">
        <v>258</v>
      </c>
      <c r="C20" s="73">
        <v>175000</v>
      </c>
      <c r="D20" s="73">
        <v>6233</v>
      </c>
      <c r="E20" s="65">
        <v>120.36</v>
      </c>
      <c r="F20" s="64">
        <f>C20*D20/E20</f>
        <v>9062603.8551013619</v>
      </c>
      <c r="G20" s="48"/>
      <c r="H20" s="63">
        <v>2.5000000000000001E-2</v>
      </c>
      <c r="I20" s="125"/>
      <c r="J20" s="125"/>
      <c r="K20" s="62">
        <v>5</v>
      </c>
      <c r="L20" s="62">
        <f>F20/1000000-K20</f>
        <v>4.0626038551013615</v>
      </c>
      <c r="M20" s="62"/>
      <c r="N20" s="62"/>
      <c r="O20" s="62"/>
      <c r="P20" s="61"/>
      <c r="Q20" s="58">
        <v>2.5000000000000001E-2</v>
      </c>
      <c r="R20" s="57">
        <v>0.34</v>
      </c>
      <c r="S20" s="59">
        <v>4</v>
      </c>
      <c r="T20" s="135">
        <v>6.7500000000000004E-2</v>
      </c>
      <c r="U20" s="134">
        <v>-0.15</v>
      </c>
      <c r="V20" s="71" t="s">
        <v>257</v>
      </c>
      <c r="W20" s="55"/>
      <c r="X20" s="54" t="s">
        <v>256</v>
      </c>
    </row>
    <row r="21" spans="1:24" ht="45" x14ac:dyDescent="0.2">
      <c r="A21" s="70"/>
      <c r="B21" s="74" t="s">
        <v>255</v>
      </c>
      <c r="C21" s="73">
        <v>125000</v>
      </c>
      <c r="D21" s="65">
        <v>46.3</v>
      </c>
      <c r="E21" s="65">
        <v>1.0906</v>
      </c>
      <c r="F21" s="64">
        <f>C21*D21*E21</f>
        <v>6311847.5</v>
      </c>
      <c r="G21" s="48"/>
      <c r="H21" s="63">
        <v>2.5000000000000001E-3</v>
      </c>
      <c r="I21" s="125"/>
      <c r="J21" s="62">
        <v>5</v>
      </c>
      <c r="K21" s="62">
        <f>F21/1000000-J21</f>
        <v>1.3118474999999998</v>
      </c>
      <c r="L21" s="62"/>
      <c r="M21" s="62"/>
      <c r="N21" s="62"/>
      <c r="O21" s="62"/>
      <c r="P21" s="61"/>
      <c r="Q21" s="58">
        <v>2.5000000000000001E-3</v>
      </c>
      <c r="R21" s="57">
        <v>0.15</v>
      </c>
      <c r="S21" s="59">
        <v>2</v>
      </c>
      <c r="T21" s="58">
        <v>3.5000000000000003E-2</v>
      </c>
      <c r="U21" s="72">
        <v>-7.4999999999999997E-2</v>
      </c>
      <c r="V21" s="71" t="s">
        <v>254</v>
      </c>
      <c r="W21" s="55"/>
      <c r="X21" s="54" t="s">
        <v>253</v>
      </c>
    </row>
    <row r="22" spans="1:24" x14ac:dyDescent="0.2">
      <c r="A22" s="70"/>
      <c r="B22" s="74"/>
      <c r="C22" s="73"/>
      <c r="D22" s="65"/>
      <c r="E22" s="65"/>
      <c r="F22" s="64"/>
      <c r="G22" s="48"/>
      <c r="H22" s="63"/>
      <c r="I22" s="62"/>
      <c r="J22" s="62"/>
      <c r="K22" s="62"/>
      <c r="L22" s="62"/>
      <c r="M22" s="62"/>
      <c r="N22" s="62"/>
      <c r="O22" s="62"/>
      <c r="P22" s="61"/>
      <c r="Q22" s="58"/>
      <c r="R22" s="57"/>
      <c r="S22" s="59"/>
      <c r="T22" s="58"/>
      <c r="U22" s="72"/>
      <c r="V22" s="71"/>
      <c r="W22" s="55"/>
      <c r="X22" s="54"/>
    </row>
    <row r="23" spans="1:24" x14ac:dyDescent="0.2">
      <c r="A23" s="68" t="s">
        <v>252</v>
      </c>
      <c r="B23" s="74"/>
      <c r="C23" s="66"/>
      <c r="D23" s="65"/>
      <c r="E23" s="65"/>
      <c r="F23" s="64"/>
      <c r="G23" s="48"/>
      <c r="H23" s="63"/>
      <c r="I23" s="62"/>
      <c r="J23" s="62"/>
      <c r="K23" s="62"/>
      <c r="L23" s="62"/>
      <c r="M23" s="62"/>
      <c r="N23" s="62"/>
      <c r="O23" s="62"/>
      <c r="P23" s="61"/>
      <c r="Q23" s="60"/>
      <c r="R23" s="66"/>
      <c r="S23" s="59"/>
      <c r="T23" s="133" t="s">
        <v>247</v>
      </c>
      <c r="U23" s="66"/>
      <c r="V23" s="56"/>
      <c r="W23" s="55"/>
      <c r="X23" s="54"/>
    </row>
    <row r="24" spans="1:24" x14ac:dyDescent="0.2">
      <c r="A24" s="70"/>
      <c r="B24" s="74" t="s">
        <v>251</v>
      </c>
      <c r="C24" s="73">
        <v>3000000</v>
      </c>
      <c r="D24" s="65">
        <v>1.079</v>
      </c>
      <c r="E24" s="65">
        <v>1</v>
      </c>
      <c r="F24" s="64">
        <f>(D24-1.05)*-C24</f>
        <v>-86999.999999999738</v>
      </c>
      <c r="G24" s="48"/>
      <c r="H24" s="63" t="s">
        <v>193</v>
      </c>
      <c r="I24" s="62"/>
      <c r="J24" s="62"/>
      <c r="K24" s="62"/>
      <c r="L24" s="62"/>
      <c r="M24" s="62"/>
      <c r="N24" s="62"/>
      <c r="O24" s="62"/>
      <c r="P24" s="61"/>
      <c r="Q24" s="58">
        <v>5.0000000000000001E-3</v>
      </c>
      <c r="R24" s="75">
        <v>2.75E-2</v>
      </c>
      <c r="S24" s="59">
        <v>1</v>
      </c>
      <c r="T24" s="58">
        <v>1.2500000000000001E-2</v>
      </c>
      <c r="U24" s="57">
        <v>-0.05</v>
      </c>
      <c r="V24" s="71" t="s">
        <v>249</v>
      </c>
      <c r="W24" s="55"/>
      <c r="X24" s="54"/>
    </row>
    <row r="25" spans="1:24" x14ac:dyDescent="0.2">
      <c r="A25" s="70"/>
      <c r="B25" s="74" t="s">
        <v>250</v>
      </c>
      <c r="C25" s="73">
        <v>5000000</v>
      </c>
      <c r="D25" s="65">
        <v>1.3759999999999999</v>
      </c>
      <c r="E25" s="65">
        <v>1</v>
      </c>
      <c r="F25" s="64">
        <f>(D25-1.35)*-C25</f>
        <v>-129999.99999999901</v>
      </c>
      <c r="G25" s="48"/>
      <c r="H25" s="63" t="s">
        <v>193</v>
      </c>
      <c r="I25" s="62"/>
      <c r="J25" s="62"/>
      <c r="K25" s="62"/>
      <c r="L25" s="62"/>
      <c r="M25" s="62"/>
      <c r="N25" s="62"/>
      <c r="O25" s="62"/>
      <c r="P25" s="61"/>
      <c r="Q25" s="58">
        <v>2E-3</v>
      </c>
      <c r="R25" s="75">
        <v>1.7500000000000002E-2</v>
      </c>
      <c r="S25" s="59">
        <v>1</v>
      </c>
      <c r="T25" s="58">
        <v>1.2999999999999999E-2</v>
      </c>
      <c r="U25" s="57">
        <v>-0.05</v>
      </c>
      <c r="V25" s="71" t="s">
        <v>249</v>
      </c>
      <c r="W25" s="55"/>
      <c r="X25" s="54"/>
    </row>
    <row r="26" spans="1:24" ht="13.5" customHeight="1" x14ac:dyDescent="0.2">
      <c r="A26" s="70"/>
      <c r="B26" s="74"/>
      <c r="C26" s="66"/>
      <c r="D26" s="65"/>
      <c r="E26" s="65"/>
      <c r="F26" s="64"/>
      <c r="G26" s="48"/>
      <c r="H26" s="63"/>
      <c r="I26" s="62"/>
      <c r="J26" s="62"/>
      <c r="K26" s="62"/>
      <c r="L26" s="62"/>
      <c r="M26" s="62"/>
      <c r="N26" s="62"/>
      <c r="O26" s="62"/>
      <c r="P26" s="61"/>
      <c r="Q26" s="60"/>
      <c r="R26" s="66"/>
      <c r="S26" s="59"/>
      <c r="T26" s="60"/>
      <c r="U26" s="66"/>
      <c r="V26" s="56"/>
      <c r="W26" s="55"/>
      <c r="X26" s="54"/>
    </row>
    <row r="27" spans="1:24" x14ac:dyDescent="0.2">
      <c r="A27" s="68" t="s">
        <v>248</v>
      </c>
      <c r="B27" s="74"/>
      <c r="C27" s="66"/>
      <c r="D27" s="65"/>
      <c r="E27" s="65"/>
      <c r="F27" s="64"/>
      <c r="G27" s="48"/>
      <c r="H27" s="63"/>
      <c r="I27" s="62"/>
      <c r="J27" s="62"/>
      <c r="K27" s="62"/>
      <c r="L27" s="62"/>
      <c r="M27" s="62"/>
      <c r="N27" s="62"/>
      <c r="O27" s="62"/>
      <c r="P27" s="61"/>
      <c r="Q27" s="60"/>
      <c r="R27" s="66"/>
      <c r="S27" s="59"/>
      <c r="T27" s="133" t="s">
        <v>247</v>
      </c>
      <c r="U27" s="66"/>
      <c r="V27" s="56"/>
      <c r="W27" s="55"/>
      <c r="X27" s="54"/>
    </row>
    <row r="28" spans="1:24" ht="15.75" customHeight="1" x14ac:dyDescent="0.2">
      <c r="A28" s="70"/>
      <c r="B28" s="74" t="s">
        <v>246</v>
      </c>
      <c r="C28" s="66">
        <v>60</v>
      </c>
      <c r="D28" s="132">
        <f>1021.97</f>
        <v>1021.97</v>
      </c>
      <c r="E28" s="65">
        <v>1</v>
      </c>
      <c r="F28" s="64">
        <f>C28*D28*-E28</f>
        <v>-61318.200000000004</v>
      </c>
      <c r="G28" s="48"/>
      <c r="H28" s="63" t="s">
        <v>193</v>
      </c>
      <c r="I28" s="62"/>
      <c r="J28" s="62"/>
      <c r="K28" s="62"/>
      <c r="L28" s="62"/>
      <c r="M28" s="62"/>
      <c r="N28" s="62"/>
      <c r="O28" s="62"/>
      <c r="P28" s="61"/>
      <c r="Q28" s="60" t="s">
        <v>193</v>
      </c>
      <c r="R28" s="57">
        <v>0.66</v>
      </c>
      <c r="S28" s="59">
        <v>1</v>
      </c>
      <c r="T28" s="58">
        <v>8.3000000000000004E-2</v>
      </c>
      <c r="U28" s="57">
        <v>0.3</v>
      </c>
      <c r="V28" s="71" t="s">
        <v>242</v>
      </c>
      <c r="W28" s="55"/>
      <c r="X28" s="54"/>
    </row>
    <row r="29" spans="1:24" ht="18" customHeight="1" x14ac:dyDescent="0.2">
      <c r="A29" s="70"/>
      <c r="B29" s="74" t="s">
        <v>245</v>
      </c>
      <c r="C29" s="66">
        <v>150</v>
      </c>
      <c r="D29" s="65">
        <f>441.82</f>
        <v>441.82</v>
      </c>
      <c r="E29" s="65">
        <v>1.0906</v>
      </c>
      <c r="F29" s="64">
        <f>C29*D29*-E29</f>
        <v>-72277.333800000008</v>
      </c>
      <c r="G29" s="48"/>
      <c r="H29" s="63" t="s">
        <v>193</v>
      </c>
      <c r="I29" s="62"/>
      <c r="J29" s="62"/>
      <c r="K29" s="62"/>
      <c r="L29" s="62"/>
      <c r="M29" s="62"/>
      <c r="N29" s="62"/>
      <c r="O29" s="62"/>
      <c r="P29" s="61"/>
      <c r="Q29" s="60" t="s">
        <v>193</v>
      </c>
      <c r="R29" s="57">
        <v>0.28000000000000003</v>
      </c>
      <c r="S29" s="59">
        <v>1</v>
      </c>
      <c r="T29" s="58">
        <v>6.9500000000000006E-2</v>
      </c>
      <c r="U29" s="57">
        <v>0.25</v>
      </c>
      <c r="V29" s="71" t="s">
        <v>242</v>
      </c>
      <c r="W29" s="55"/>
      <c r="X29" s="54"/>
    </row>
    <row r="30" spans="1:24" ht="16.5" customHeight="1" x14ac:dyDescent="0.2">
      <c r="A30" s="70"/>
      <c r="B30" s="74" t="s">
        <v>244</v>
      </c>
      <c r="C30" s="66">
        <v>90</v>
      </c>
      <c r="D30" s="132">
        <v>72500</v>
      </c>
      <c r="E30" s="65">
        <v>120.36</v>
      </c>
      <c r="F30" s="64">
        <f>C30*-D30/E30</f>
        <v>-54212.362911266202</v>
      </c>
      <c r="G30" s="48"/>
      <c r="H30" s="63" t="s">
        <v>193</v>
      </c>
      <c r="I30" s="62"/>
      <c r="J30" s="62"/>
      <c r="K30" s="62"/>
      <c r="L30" s="62"/>
      <c r="M30" s="62"/>
      <c r="N30" s="62"/>
      <c r="O30" s="62"/>
      <c r="P30" s="61"/>
      <c r="Q30" s="60" t="s">
        <v>193</v>
      </c>
      <c r="R30" s="57">
        <v>0.32</v>
      </c>
      <c r="S30" s="59">
        <v>1</v>
      </c>
      <c r="T30" s="58">
        <v>5.7500000000000002E-2</v>
      </c>
      <c r="U30" s="57">
        <v>0.25</v>
      </c>
      <c r="V30" s="71" t="s">
        <v>242</v>
      </c>
      <c r="W30" s="55"/>
      <c r="X30" s="54"/>
    </row>
    <row r="31" spans="1:24" ht="16.5" customHeight="1" x14ac:dyDescent="0.2">
      <c r="A31" s="70"/>
      <c r="B31" s="74" t="s">
        <v>243</v>
      </c>
      <c r="C31" s="66">
        <v>125</v>
      </c>
      <c r="D31" s="65">
        <v>764.54</v>
      </c>
      <c r="E31" s="65">
        <v>1.39</v>
      </c>
      <c r="F31" s="64">
        <f>C31*-D31/E31</f>
        <v>-68753.597122302162</v>
      </c>
      <c r="G31" s="48"/>
      <c r="H31" s="63" t="s">
        <v>193</v>
      </c>
      <c r="I31" s="62"/>
      <c r="J31" s="62"/>
      <c r="K31" s="62"/>
      <c r="L31" s="62"/>
      <c r="M31" s="62"/>
      <c r="N31" s="62"/>
      <c r="O31" s="62"/>
      <c r="P31" s="61"/>
      <c r="Q31" s="60"/>
      <c r="R31" s="57"/>
      <c r="S31" s="59"/>
      <c r="T31" s="58"/>
      <c r="U31" s="57"/>
      <c r="V31" s="71" t="s">
        <v>242</v>
      </c>
      <c r="W31" s="55"/>
      <c r="X31" s="54"/>
    </row>
    <row r="32" spans="1:24" x14ac:dyDescent="0.2">
      <c r="A32" s="70"/>
      <c r="B32" s="74"/>
      <c r="C32" s="66"/>
      <c r="D32" s="65"/>
      <c r="E32" s="65"/>
      <c r="F32" s="64"/>
      <c r="G32" s="48"/>
      <c r="H32" s="63"/>
      <c r="I32" s="62"/>
      <c r="J32" s="62"/>
      <c r="K32" s="62"/>
      <c r="L32" s="62"/>
      <c r="M32" s="62"/>
      <c r="N32" s="62"/>
      <c r="O32" s="62"/>
      <c r="P32" s="61"/>
      <c r="Q32" s="60"/>
      <c r="R32" s="66"/>
      <c r="S32" s="59"/>
      <c r="T32" s="60"/>
      <c r="U32" s="66"/>
      <c r="V32" s="56"/>
      <c r="W32" s="55"/>
      <c r="X32" s="54"/>
    </row>
    <row r="33" spans="1:24" ht="15.75" customHeight="1" x14ac:dyDescent="0.2">
      <c r="A33" s="68" t="s">
        <v>202</v>
      </c>
      <c r="B33" s="74"/>
      <c r="C33" s="66"/>
      <c r="D33" s="65"/>
      <c r="E33" s="65"/>
      <c r="F33" s="64"/>
      <c r="G33" s="48"/>
      <c r="H33" s="63"/>
      <c r="I33" s="128"/>
      <c r="J33" s="128"/>
      <c r="K33" s="128"/>
      <c r="L33" s="128"/>
      <c r="M33" s="128"/>
      <c r="N33" s="128"/>
      <c r="O33" s="128"/>
      <c r="P33" s="127"/>
      <c r="Q33" s="60"/>
      <c r="R33" s="57"/>
      <c r="S33" s="59"/>
      <c r="T33" s="58"/>
      <c r="U33" s="57"/>
      <c r="V33" s="56"/>
      <c r="W33" s="126"/>
      <c r="X33" s="54"/>
    </row>
    <row r="34" spans="1:24" ht="33" customHeight="1" x14ac:dyDescent="0.2">
      <c r="A34" s="131"/>
      <c r="B34" s="67" t="s">
        <v>241</v>
      </c>
      <c r="C34" s="65">
        <v>0.3</v>
      </c>
      <c r="D34" s="73">
        <v>30000000</v>
      </c>
      <c r="E34" s="65">
        <v>1</v>
      </c>
      <c r="F34" s="64">
        <f>D34*C34</f>
        <v>9000000</v>
      </c>
      <c r="G34" s="48"/>
      <c r="H34" s="63">
        <v>4.7500000000000001E-2</v>
      </c>
      <c r="I34" s="129"/>
      <c r="J34" s="129"/>
      <c r="K34" s="129"/>
      <c r="L34" s="129"/>
      <c r="M34" s="129"/>
      <c r="N34" s="129"/>
      <c r="O34" s="128">
        <f>F34/1000000</f>
        <v>9</v>
      </c>
      <c r="P34" s="127"/>
      <c r="Q34" s="60"/>
      <c r="R34" s="57"/>
      <c r="S34" s="59"/>
      <c r="T34" s="58"/>
      <c r="U34" s="57"/>
      <c r="V34" s="71" t="s">
        <v>240</v>
      </c>
      <c r="W34" s="130" t="s">
        <v>239</v>
      </c>
      <c r="X34" s="54" t="s">
        <v>238</v>
      </c>
    </row>
    <row r="35" spans="1:24" ht="33" customHeight="1" x14ac:dyDescent="0.2">
      <c r="A35" s="131"/>
      <c r="B35" s="67" t="s">
        <v>237</v>
      </c>
      <c r="C35" s="65">
        <f>F35/D35</f>
        <v>0.1111111111111111</v>
      </c>
      <c r="D35" s="73">
        <v>45000000</v>
      </c>
      <c r="E35" s="65">
        <v>1</v>
      </c>
      <c r="F35" s="64">
        <v>5000000</v>
      </c>
      <c r="G35" s="48"/>
      <c r="H35" s="63">
        <v>5.2499999999999998E-2</v>
      </c>
      <c r="I35" s="125"/>
      <c r="J35" s="125"/>
      <c r="K35" s="125"/>
      <c r="L35" s="125"/>
      <c r="M35" s="125"/>
      <c r="N35" s="125"/>
      <c r="O35" s="62">
        <f>F35/1000000</f>
        <v>5</v>
      </c>
      <c r="P35" s="61"/>
      <c r="Q35" s="60"/>
      <c r="R35" s="57"/>
      <c r="S35" s="59"/>
      <c r="T35" s="58"/>
      <c r="U35" s="57"/>
      <c r="V35" s="71" t="s">
        <v>234</v>
      </c>
      <c r="W35" s="130" t="s">
        <v>233</v>
      </c>
      <c r="X35" s="54" t="s">
        <v>236</v>
      </c>
    </row>
    <row r="36" spans="1:24" ht="33" customHeight="1" x14ac:dyDescent="0.2">
      <c r="A36" s="131"/>
      <c r="B36" s="67" t="s">
        <v>235</v>
      </c>
      <c r="C36" s="65">
        <f>F36/D36</f>
        <v>6.6666666666666666E-2</v>
      </c>
      <c r="D36" s="73">
        <v>75000000</v>
      </c>
      <c r="E36" s="65">
        <v>1</v>
      </c>
      <c r="F36" s="64">
        <v>5000000</v>
      </c>
      <c r="G36" s="48"/>
      <c r="H36" s="63">
        <v>5.8500000000000003E-2</v>
      </c>
      <c r="I36" s="125"/>
      <c r="J36" s="125"/>
      <c r="K36" s="125"/>
      <c r="L36" s="125"/>
      <c r="M36" s="125"/>
      <c r="N36" s="125"/>
      <c r="O36" s="62">
        <f>F36/1000000</f>
        <v>5</v>
      </c>
      <c r="P36" s="61"/>
      <c r="Q36" s="60"/>
      <c r="R36" s="57"/>
      <c r="S36" s="59"/>
      <c r="T36" s="58"/>
      <c r="U36" s="57"/>
      <c r="V36" s="71" t="s">
        <v>234</v>
      </c>
      <c r="W36" s="130" t="s">
        <v>233</v>
      </c>
      <c r="X36" s="54" t="s">
        <v>232</v>
      </c>
    </row>
    <row r="37" spans="1:24" ht="14.25" customHeight="1" x14ac:dyDescent="0.2">
      <c r="A37" s="70"/>
      <c r="B37" s="67"/>
      <c r="C37" s="66"/>
      <c r="D37" s="65"/>
      <c r="E37" s="65"/>
      <c r="F37" s="64"/>
      <c r="G37" s="48"/>
      <c r="H37" s="63"/>
      <c r="I37" s="128"/>
      <c r="J37" s="128"/>
      <c r="K37" s="128"/>
      <c r="L37" s="128"/>
      <c r="M37" s="128"/>
      <c r="N37" s="128"/>
      <c r="O37" s="128"/>
      <c r="P37" s="127"/>
      <c r="Q37" s="60"/>
      <c r="R37" s="57"/>
      <c r="S37" s="59"/>
      <c r="T37" s="58"/>
      <c r="U37" s="57"/>
      <c r="V37" s="56"/>
      <c r="W37" s="126"/>
      <c r="X37" s="54"/>
    </row>
    <row r="38" spans="1:24" ht="17.25" customHeight="1" x14ac:dyDescent="0.2">
      <c r="A38" s="68" t="s">
        <v>201</v>
      </c>
      <c r="B38" s="67"/>
      <c r="C38" s="66"/>
      <c r="D38" s="65"/>
      <c r="E38" s="65"/>
      <c r="F38" s="64"/>
      <c r="G38" s="48"/>
      <c r="H38" s="63"/>
      <c r="I38" s="128"/>
      <c r="J38" s="128"/>
      <c r="K38" s="128"/>
      <c r="L38" s="128"/>
      <c r="M38" s="128"/>
      <c r="N38" s="128"/>
      <c r="O38" s="128"/>
      <c r="P38" s="127"/>
      <c r="Q38" s="60"/>
      <c r="R38" s="57"/>
      <c r="S38" s="59"/>
      <c r="T38" s="58"/>
      <c r="U38" s="57"/>
      <c r="V38" s="56"/>
      <c r="W38" s="126"/>
      <c r="X38" s="54"/>
    </row>
    <row r="39" spans="1:24" ht="20.25" customHeight="1" x14ac:dyDescent="0.2">
      <c r="A39" s="70"/>
      <c r="B39" s="67" t="s">
        <v>231</v>
      </c>
      <c r="C39" s="73">
        <v>5000000</v>
      </c>
      <c r="D39" s="65">
        <v>0.95</v>
      </c>
      <c r="E39" s="65">
        <v>1</v>
      </c>
      <c r="F39" s="64">
        <f>D39*C39</f>
        <v>4750000</v>
      </c>
      <c r="G39" s="48"/>
      <c r="H39" s="63">
        <v>3.7499999999999999E-2</v>
      </c>
      <c r="I39" s="129"/>
      <c r="J39" s="129"/>
      <c r="K39" s="129"/>
      <c r="L39" s="129"/>
      <c r="M39" s="129"/>
      <c r="N39" s="128">
        <f>F39/1000000</f>
        <v>4.75</v>
      </c>
      <c r="O39" s="128"/>
      <c r="P39" s="127"/>
      <c r="Q39" s="60"/>
      <c r="R39" s="57"/>
      <c r="S39" s="59"/>
      <c r="T39" s="58"/>
      <c r="U39" s="57"/>
      <c r="V39" s="71" t="s">
        <v>230</v>
      </c>
      <c r="W39" s="126"/>
      <c r="X39" s="54" t="s">
        <v>229</v>
      </c>
    </row>
    <row r="40" spans="1:24" ht="23.25" customHeight="1" x14ac:dyDescent="0.2">
      <c r="A40" s="70"/>
      <c r="B40" s="67" t="s">
        <v>228</v>
      </c>
      <c r="C40" s="73">
        <v>3000000</v>
      </c>
      <c r="D40" s="65">
        <v>1.02</v>
      </c>
      <c r="E40" s="65">
        <v>1</v>
      </c>
      <c r="F40" s="64">
        <f>D40*C40</f>
        <v>3060000</v>
      </c>
      <c r="G40" s="48"/>
      <c r="H40" s="63">
        <v>5.8000000000000003E-2</v>
      </c>
      <c r="I40" s="125"/>
      <c r="J40" s="125"/>
      <c r="K40" s="125"/>
      <c r="L40" s="125"/>
      <c r="M40" s="125"/>
      <c r="N40" s="125"/>
      <c r="O40" s="62">
        <f>F40/1000000</f>
        <v>3.06</v>
      </c>
      <c r="P40" s="61"/>
      <c r="Q40" s="60"/>
      <c r="R40" s="57"/>
      <c r="S40" s="59"/>
      <c r="T40" s="58"/>
      <c r="U40" s="57"/>
      <c r="V40" s="71" t="s">
        <v>227</v>
      </c>
      <c r="W40" s="55"/>
      <c r="X40" s="54" t="s">
        <v>226</v>
      </c>
    </row>
    <row r="41" spans="1:24" ht="26.25" customHeight="1" x14ac:dyDescent="0.2">
      <c r="A41" s="70"/>
      <c r="B41" s="67" t="s">
        <v>225</v>
      </c>
      <c r="C41" s="73">
        <v>2000000</v>
      </c>
      <c r="D41" s="65">
        <v>1</v>
      </c>
      <c r="E41" s="65">
        <v>1</v>
      </c>
      <c r="F41" s="64">
        <f>D41*C41</f>
        <v>2000000</v>
      </c>
      <c r="G41" s="48"/>
      <c r="H41" s="63">
        <v>4.9500000000000002E-2</v>
      </c>
      <c r="I41" s="125"/>
      <c r="J41" s="125"/>
      <c r="K41" s="125"/>
      <c r="L41" s="125"/>
      <c r="M41" s="125"/>
      <c r="N41" s="125"/>
      <c r="O41" s="62">
        <f>F41/1000000</f>
        <v>2</v>
      </c>
      <c r="P41" s="61"/>
      <c r="Q41" s="60"/>
      <c r="R41" s="57"/>
      <c r="S41" s="59"/>
      <c r="T41" s="58"/>
      <c r="U41" s="57"/>
      <c r="V41" s="71" t="s">
        <v>224</v>
      </c>
      <c r="W41" s="55"/>
      <c r="X41" s="54" t="s">
        <v>223</v>
      </c>
    </row>
    <row r="42" spans="1:24" x14ac:dyDescent="0.2">
      <c r="A42" s="53"/>
      <c r="B42" s="52"/>
      <c r="C42" s="122"/>
      <c r="D42" s="50"/>
      <c r="E42" s="50"/>
      <c r="F42" s="49"/>
      <c r="G42" s="7"/>
      <c r="H42" s="47"/>
      <c r="I42" s="124"/>
      <c r="J42" s="124"/>
      <c r="K42" s="124"/>
      <c r="L42" s="124"/>
      <c r="M42" s="124"/>
      <c r="N42" s="124"/>
      <c r="O42" s="124"/>
      <c r="P42" s="123"/>
      <c r="Q42" s="44"/>
      <c r="R42" s="122"/>
      <c r="S42" s="43"/>
      <c r="T42" s="44"/>
      <c r="U42" s="122"/>
      <c r="V42" s="121"/>
      <c r="W42" s="120"/>
      <c r="X42" s="54"/>
    </row>
    <row r="43" spans="1:24" x14ac:dyDescent="0.2">
      <c r="H43" s="106"/>
      <c r="I43" s="106"/>
      <c r="J43" s="106"/>
      <c r="K43" s="106"/>
      <c r="L43" s="106"/>
      <c r="M43" s="106"/>
      <c r="N43" s="106"/>
      <c r="O43" s="106"/>
      <c r="P43" s="106"/>
      <c r="X43" s="54"/>
    </row>
    <row r="44" spans="1:24" x14ac:dyDescent="0.2">
      <c r="A44" s="117"/>
      <c r="B44" s="119"/>
      <c r="C44" s="34" t="s">
        <v>200</v>
      </c>
      <c r="D44" s="34"/>
      <c r="E44" s="34"/>
      <c r="F44" s="37">
        <f>SUM(F7:F42)</f>
        <v>100083294.00403038</v>
      </c>
      <c r="H44" s="36">
        <f>SUM(F8*H8+F9*H9+F13*H13+F10*H10+F11*H11+F12*H12+F14*H14+F15*H15+F18*H18+F19*H19+F20*H20+F21*H21+F34*H34+F35*H35+F36*H36+F39*H39+F40*H40+F41*H41)/F44</f>
        <v>3.1730002274711157E-2</v>
      </c>
      <c r="I44" s="35">
        <f t="shared" ref="I44:P44" si="0">SUM(I6:I42)</f>
        <v>15.341227596</v>
      </c>
      <c r="J44" s="35">
        <f t="shared" si="0"/>
        <v>18.788699999999999</v>
      </c>
      <c r="K44" s="35">
        <f t="shared" si="0"/>
        <v>28.70432404676259</v>
      </c>
      <c r="L44" s="35">
        <f t="shared" si="0"/>
        <v>6.0626038551013615</v>
      </c>
      <c r="M44" s="35">
        <f t="shared" si="0"/>
        <v>2.8499999999999996</v>
      </c>
      <c r="N44" s="35">
        <f t="shared" si="0"/>
        <v>4.75</v>
      </c>
      <c r="O44" s="35">
        <f t="shared" si="0"/>
        <v>24.06</v>
      </c>
      <c r="P44" s="35">
        <f t="shared" si="0"/>
        <v>0</v>
      </c>
      <c r="S44" s="34" t="s">
        <v>200</v>
      </c>
      <c r="T44" s="33" t="e">
        <f>SUM(F8*T8,F9*T9,F12*T12,F18*T18,F19*T19,#REF!*#REF!,-C24*R24,-F28*T28,-F29*T29,-F30*T30)*85%</f>
        <v>#REF!</v>
      </c>
      <c r="U44" s="33" t="e">
        <f>SUM(F8*U8,F9*U9,F12*U12,F18*U18,F19*U19,#REF!*#REF!,C24*U24,F28*U28,F29*U29,F30*U30)</f>
        <v>#REF!</v>
      </c>
      <c r="V44" s="118">
        <f>SUM(I44:P44)</f>
        <v>100.55685549786395</v>
      </c>
      <c r="X44" s="54"/>
    </row>
    <row r="45" spans="1:24" x14ac:dyDescent="0.2">
      <c r="A45" s="117"/>
      <c r="B45" s="116"/>
      <c r="H45" s="30" t="s">
        <v>222</v>
      </c>
      <c r="R45" s="29"/>
      <c r="T45" s="28" t="s">
        <v>198</v>
      </c>
      <c r="X45" s="54"/>
    </row>
    <row r="46" spans="1:24" x14ac:dyDescent="0.2">
      <c r="A46" s="115"/>
      <c r="B46" s="114"/>
      <c r="E46" s="27"/>
      <c r="F46" s="26" t="s">
        <v>221</v>
      </c>
      <c r="G46" s="26"/>
      <c r="H46" s="26"/>
      <c r="I46" s="24">
        <f>I44*1000000/$F$44</f>
        <v>0.15328459907986447</v>
      </c>
      <c r="J46" s="24">
        <f>SUM(I44:J44)*1000000/$F$44</f>
        <v>0.34101523071997991</v>
      </c>
      <c r="K46" s="24">
        <f>SUM(I44:K44)*1000000/$F$44</f>
        <v>0.62781958036105656</v>
      </c>
      <c r="L46" s="24">
        <f>SUM(I44:L44)*1000000/$F$44</f>
        <v>0.68839516308375559</v>
      </c>
      <c r="M46" s="24">
        <f>SUM(I44:M44)*1000000/$F$44</f>
        <v>0.7168714440491406</v>
      </c>
      <c r="N46" s="24">
        <f>SUM(I44:N44)*1000000/$F$44</f>
        <v>0.76433191232478226</v>
      </c>
      <c r="O46" s="24">
        <f>SUM(I44:O44)*1000000/$F$44</f>
        <v>1.0047316737378218</v>
      </c>
      <c r="P46" s="24">
        <f>SUM(I44:P44)*1000000/$F$44</f>
        <v>1.0047316737378218</v>
      </c>
      <c r="X46" s="54"/>
    </row>
    <row r="47" spans="1:24" hidden="1" x14ac:dyDescent="0.2">
      <c r="A47" s="113"/>
      <c r="B47" s="112"/>
      <c r="C47" s="108"/>
      <c r="D47" s="108"/>
      <c r="E47" s="111"/>
      <c r="F47" s="110"/>
      <c r="G47" s="110"/>
      <c r="H47" s="110"/>
      <c r="I47" s="109"/>
      <c r="J47" s="109"/>
      <c r="K47" s="109"/>
      <c r="L47" s="109"/>
      <c r="M47" s="109"/>
      <c r="N47" s="109"/>
      <c r="O47" s="109"/>
      <c r="P47" s="109"/>
      <c r="Q47" s="108"/>
      <c r="R47" s="108"/>
      <c r="S47" s="108"/>
      <c r="T47" s="108"/>
      <c r="U47" s="108"/>
      <c r="V47" s="108"/>
      <c r="W47" s="108"/>
      <c r="X47" s="54"/>
    </row>
    <row r="48" spans="1:24" hidden="1" x14ac:dyDescent="0.2">
      <c r="B48" s="34"/>
      <c r="H48" s="106"/>
      <c r="X48" s="54"/>
    </row>
    <row r="49" spans="1:24" hidden="1" x14ac:dyDescent="0.2">
      <c r="B49" s="107" t="s">
        <v>220</v>
      </c>
      <c r="H49" s="106"/>
      <c r="J49" s="105" t="s">
        <v>219</v>
      </c>
      <c r="X49" s="54"/>
    </row>
    <row r="50" spans="1:24" hidden="1" x14ac:dyDescent="0.2">
      <c r="A50" s="170"/>
      <c r="B50" s="171"/>
      <c r="C50" s="171"/>
      <c r="D50" s="172">
        <v>42460</v>
      </c>
      <c r="E50" s="173"/>
      <c r="F50" s="174"/>
      <c r="G50" s="7"/>
      <c r="H50" s="104" t="s">
        <v>217</v>
      </c>
      <c r="I50" s="175" t="s">
        <v>218</v>
      </c>
      <c r="J50" s="175"/>
      <c r="K50" s="175"/>
      <c r="L50" s="175"/>
      <c r="M50" s="175"/>
      <c r="N50" s="175"/>
      <c r="O50" s="175"/>
      <c r="P50" s="176"/>
      <c r="Q50" s="177" t="s">
        <v>217</v>
      </c>
      <c r="R50" s="178"/>
      <c r="S50" s="179"/>
      <c r="T50" s="177" t="s">
        <v>216</v>
      </c>
      <c r="U50" s="179"/>
      <c r="V50" s="103"/>
      <c r="W50" s="85"/>
      <c r="X50" s="54"/>
    </row>
    <row r="51" spans="1:24" ht="16" hidden="1" x14ac:dyDescent="0.2">
      <c r="A51" s="180" t="s">
        <v>187</v>
      </c>
      <c r="B51" s="181"/>
      <c r="C51" s="101" t="s">
        <v>215</v>
      </c>
      <c r="D51" s="100" t="s">
        <v>214</v>
      </c>
      <c r="E51" s="101" t="s">
        <v>213</v>
      </c>
      <c r="F51" s="99" t="s">
        <v>212</v>
      </c>
      <c r="G51" s="7"/>
      <c r="H51" s="102" t="s">
        <v>211</v>
      </c>
      <c r="I51" s="101">
        <v>1</v>
      </c>
      <c r="J51" s="101">
        <v>2</v>
      </c>
      <c r="K51" s="101">
        <v>5</v>
      </c>
      <c r="L51" s="101">
        <v>10</v>
      </c>
      <c r="M51" s="101">
        <v>30</v>
      </c>
      <c r="N51" s="101">
        <v>60</v>
      </c>
      <c r="O51" s="101">
        <v>180</v>
      </c>
      <c r="P51" s="99">
        <v>360</v>
      </c>
      <c r="Q51" s="100" t="s">
        <v>211</v>
      </c>
      <c r="R51" s="101" t="s">
        <v>210</v>
      </c>
      <c r="S51" s="99" t="s">
        <v>209</v>
      </c>
      <c r="T51" s="100" t="s">
        <v>208</v>
      </c>
      <c r="U51" s="99" t="s">
        <v>207</v>
      </c>
      <c r="V51" s="98" t="s">
        <v>206</v>
      </c>
      <c r="W51" s="97" t="s">
        <v>205</v>
      </c>
      <c r="X51" s="54"/>
    </row>
    <row r="52" spans="1:24" hidden="1" x14ac:dyDescent="0.2">
      <c r="A52" s="96"/>
      <c r="B52" s="95"/>
      <c r="C52" s="87"/>
      <c r="D52" s="94"/>
      <c r="E52" s="94"/>
      <c r="F52" s="93"/>
      <c r="G52" s="7"/>
      <c r="H52" s="92"/>
      <c r="I52" s="91"/>
      <c r="J52" s="91"/>
      <c r="K52" s="91"/>
      <c r="L52" s="91"/>
      <c r="M52" s="91"/>
      <c r="N52" s="91"/>
      <c r="O52" s="91"/>
      <c r="P52" s="90"/>
      <c r="Q52" s="88"/>
      <c r="R52" s="87"/>
      <c r="S52" s="89"/>
      <c r="T52" s="88"/>
      <c r="U52" s="87"/>
      <c r="V52" s="86"/>
      <c r="W52" s="85"/>
      <c r="X52" s="54"/>
    </row>
    <row r="53" spans="1:24" hidden="1" x14ac:dyDescent="0.2">
      <c r="A53" s="68" t="s">
        <v>204</v>
      </c>
      <c r="C53" s="76"/>
      <c r="D53" s="84"/>
      <c r="E53" s="84"/>
      <c r="F53" s="83"/>
      <c r="G53" s="82"/>
      <c r="H53" s="81"/>
      <c r="I53" s="80"/>
      <c r="J53" s="80"/>
      <c r="K53" s="80"/>
      <c r="L53" s="80"/>
      <c r="M53" s="80"/>
      <c r="N53" s="80"/>
      <c r="O53" s="80"/>
      <c r="P53" s="79"/>
      <c r="Q53" s="77"/>
      <c r="R53" s="76"/>
      <c r="S53" s="78"/>
      <c r="T53" s="77"/>
      <c r="U53" s="76"/>
      <c r="V53" s="56"/>
      <c r="W53" s="55"/>
      <c r="X53" s="54"/>
    </row>
    <row r="54" spans="1:24" hidden="1" x14ac:dyDescent="0.2">
      <c r="A54" s="70"/>
      <c r="B54" s="67"/>
      <c r="C54" s="66"/>
      <c r="D54" s="65"/>
      <c r="E54" s="65"/>
      <c r="F54" s="64"/>
      <c r="G54" s="48"/>
      <c r="H54" s="63"/>
      <c r="I54" s="62"/>
      <c r="J54" s="62"/>
      <c r="K54" s="62"/>
      <c r="L54" s="62"/>
      <c r="M54" s="62"/>
      <c r="N54" s="62"/>
      <c r="O54" s="62"/>
      <c r="P54" s="61"/>
      <c r="Q54" s="58"/>
      <c r="R54" s="75"/>
      <c r="S54" s="59"/>
      <c r="T54" s="58"/>
      <c r="U54" s="57"/>
      <c r="V54" s="71"/>
      <c r="W54" s="55"/>
      <c r="X54" s="54"/>
    </row>
    <row r="55" spans="1:24" hidden="1" x14ac:dyDescent="0.2">
      <c r="A55" s="68" t="s">
        <v>203</v>
      </c>
      <c r="B55" s="74"/>
      <c r="C55" s="66"/>
      <c r="D55" s="65"/>
      <c r="E55" s="65"/>
      <c r="F55" s="64"/>
      <c r="G55" s="48"/>
      <c r="H55" s="63"/>
      <c r="I55" s="62"/>
      <c r="J55" s="62"/>
      <c r="K55" s="62"/>
      <c r="L55" s="62"/>
      <c r="M55" s="62"/>
      <c r="N55" s="62"/>
      <c r="O55" s="62"/>
      <c r="P55" s="61"/>
      <c r="Q55" s="60"/>
      <c r="R55" s="66"/>
      <c r="S55" s="59"/>
      <c r="T55" s="60"/>
      <c r="U55" s="66"/>
      <c r="V55" s="71"/>
      <c r="W55" s="55"/>
      <c r="X55" s="54"/>
    </row>
    <row r="56" spans="1:24" hidden="1" x14ac:dyDescent="0.2">
      <c r="A56" s="68" t="s">
        <v>202</v>
      </c>
      <c r="B56" s="74"/>
      <c r="C56" s="73"/>
      <c r="D56" s="65"/>
      <c r="E56" s="65"/>
      <c r="F56" s="64"/>
      <c r="G56" s="48"/>
      <c r="H56" s="63"/>
      <c r="I56" s="62"/>
      <c r="J56" s="62"/>
      <c r="K56" s="62"/>
      <c r="L56" s="62"/>
      <c r="M56" s="62"/>
      <c r="N56" s="62"/>
      <c r="O56" s="62"/>
      <c r="P56" s="61"/>
      <c r="Q56" s="58"/>
      <c r="R56" s="57"/>
      <c r="S56" s="59"/>
      <c r="T56" s="58"/>
      <c r="U56" s="72"/>
      <c r="V56" s="71"/>
      <c r="W56" s="55"/>
      <c r="X56" s="54"/>
    </row>
    <row r="57" spans="1:24" hidden="1" x14ac:dyDescent="0.2">
      <c r="A57" s="70"/>
      <c r="C57" s="66"/>
      <c r="D57" s="65"/>
      <c r="E57" s="65"/>
      <c r="F57" s="69"/>
      <c r="G57" s="48"/>
      <c r="H57" s="63"/>
      <c r="I57" s="62"/>
      <c r="J57" s="62"/>
      <c r="K57" s="62"/>
      <c r="L57" s="62"/>
      <c r="M57" s="62"/>
      <c r="N57" s="62"/>
      <c r="O57" s="62"/>
      <c r="P57" s="61"/>
      <c r="Q57" s="60"/>
      <c r="R57" s="57"/>
      <c r="S57" s="59"/>
      <c r="T57" s="58"/>
      <c r="U57" s="57"/>
      <c r="V57" s="56"/>
      <c r="W57" s="55"/>
      <c r="X57" s="54"/>
    </row>
    <row r="58" spans="1:24" hidden="1" x14ac:dyDescent="0.2">
      <c r="A58" s="68" t="s">
        <v>201</v>
      </c>
      <c r="B58" s="67"/>
      <c r="C58" s="66"/>
      <c r="D58" s="65"/>
      <c r="E58" s="65"/>
      <c r="F58" s="64"/>
      <c r="G58" s="48"/>
      <c r="H58" s="63"/>
      <c r="I58" s="62"/>
      <c r="J58" s="62"/>
      <c r="K58" s="62"/>
      <c r="L58" s="62"/>
      <c r="M58" s="62"/>
      <c r="N58" s="62"/>
      <c r="O58" s="62"/>
      <c r="P58" s="61"/>
      <c r="Q58" s="60"/>
      <c r="R58" s="57"/>
      <c r="S58" s="59"/>
      <c r="T58" s="58"/>
      <c r="U58" s="57"/>
      <c r="V58" s="56"/>
      <c r="W58" s="55"/>
      <c r="X58" s="54"/>
    </row>
    <row r="59" spans="1:24" hidden="1" x14ac:dyDescent="0.2">
      <c r="A59" s="53"/>
      <c r="B59" s="52"/>
      <c r="C59" s="51"/>
      <c r="D59" s="50"/>
      <c r="E59" s="50"/>
      <c r="F59" s="49"/>
      <c r="G59" s="48"/>
      <c r="H59" s="47"/>
      <c r="I59" s="46"/>
      <c r="J59" s="46"/>
      <c r="K59" s="46"/>
      <c r="L59" s="46"/>
      <c r="M59" s="46"/>
      <c r="N59" s="46"/>
      <c r="O59" s="46"/>
      <c r="P59" s="45"/>
      <c r="Q59" s="44"/>
      <c r="R59" s="41"/>
      <c r="S59" s="43"/>
      <c r="T59" s="42"/>
      <c r="U59" s="41"/>
      <c r="V59" s="40"/>
      <c r="W59" s="39"/>
      <c r="X59" s="38"/>
    </row>
    <row r="60" spans="1:24" hidden="1" x14ac:dyDescent="0.2"/>
    <row r="61" spans="1:24" hidden="1" x14ac:dyDescent="0.2">
      <c r="C61" s="34" t="s">
        <v>200</v>
      </c>
      <c r="D61" s="34"/>
      <c r="E61" s="34"/>
      <c r="F61" s="37">
        <f>SUM(F44,F10:F60)</f>
        <v>290837134.41609108</v>
      </c>
      <c r="H61" s="36">
        <f>SUM(F8*H8+F9*H9+F13*H13+F18*H18+F19*H19+F34*H34+F39*H39+F10*H10+F11*H11+F12*H12+F14*H14+F15*H15+F20*H20+F21*H21+F35*H35+F36*H36+F40*H40+F41*H41)/F61</f>
        <v>1.0918974128885416E-2</v>
      </c>
      <c r="I61" s="35">
        <f t="shared" ref="I61:P61" si="1">SUM(I10:I58,I44)</f>
        <v>42.83573979107986</v>
      </c>
      <c r="J61" s="35">
        <f t="shared" si="1"/>
        <v>54.707115230719978</v>
      </c>
      <c r="K61" s="35">
        <f t="shared" si="1"/>
        <v>90.669271720648823</v>
      </c>
      <c r="L61" s="35">
        <f t="shared" si="1"/>
        <v>28.876206728387839</v>
      </c>
      <c r="M61" s="35">
        <f t="shared" si="1"/>
        <v>39.266871444049144</v>
      </c>
      <c r="N61" s="35">
        <f t="shared" si="1"/>
        <v>75.014331912324778</v>
      </c>
      <c r="O61" s="35">
        <f t="shared" si="1"/>
        <v>253.18473167373782</v>
      </c>
      <c r="P61" s="35">
        <f t="shared" si="1"/>
        <v>361.00473167373781</v>
      </c>
      <c r="S61" s="34" t="s">
        <v>200</v>
      </c>
      <c r="T61" s="33" t="e">
        <f>SUM(F26*T26,F27*T27,F76*T76,F31*T31,F32*T32,#REF!*#REF!,-C85*R85,-F89*T89,-F90*T90,-F91*T91)*85%</f>
        <v>#VALUE!</v>
      </c>
      <c r="U61" s="33" t="e">
        <f>SUM(F26*U26,F27*U27,F76*U76,F31*U31,F32*U32,#REF!*#REF!,C85*U85,F89*U89,F90*U90,F91*U91)</f>
        <v>#REF!</v>
      </c>
      <c r="V61" s="32"/>
      <c r="W61" s="31">
        <f>F61-SUM(F24:F31)</f>
        <v>291310695.90992463</v>
      </c>
    </row>
    <row r="62" spans="1:24" hidden="1" x14ac:dyDescent="0.2">
      <c r="H62" s="30" t="s">
        <v>199</v>
      </c>
      <c r="R62" s="29"/>
      <c r="T62" s="28" t="s">
        <v>198</v>
      </c>
    </row>
    <row r="63" spans="1:24" hidden="1" x14ac:dyDescent="0.2">
      <c r="E63" s="27"/>
      <c r="F63" s="26" t="s">
        <v>197</v>
      </c>
      <c r="G63" s="26"/>
      <c r="H63" s="25" t="s">
        <v>196</v>
      </c>
      <c r="I63" s="24">
        <f>I61*1000000/$W$61</f>
        <v>0.14704485757819541</v>
      </c>
      <c r="J63" s="24">
        <f>SUM(I61:J61)*1000000/$W$61</f>
        <v>0.33484130995300215</v>
      </c>
      <c r="K63" s="24">
        <f>SUM(I61:K61)*1000000/$W$61</f>
        <v>0.64608725112051923</v>
      </c>
      <c r="L63" s="24">
        <f>SUM(I61:L61)*1000000/$W$61</f>
        <v>0.74521236782174938</v>
      </c>
      <c r="M63" s="24">
        <f>SUM(I61:M61)*1000000/$W$61</f>
        <v>0.88000615327269882</v>
      </c>
      <c r="N63" s="24">
        <f>SUM(I61:N61)*1000000/$W$61</f>
        <v>1.1375124273832786</v>
      </c>
      <c r="O63" s="24">
        <f>SUM(I61:O61)*1000000/$W$61</f>
        <v>2.0066351037165373</v>
      </c>
      <c r="P63" s="24">
        <f>SUM(I61:P61)*1000000/$W$61</f>
        <v>3.2458780726233956</v>
      </c>
    </row>
    <row r="64" spans="1:24" hidden="1" x14ac:dyDescent="0.2">
      <c r="D64" s="21"/>
      <c r="E64" s="21"/>
      <c r="F64" s="23" t="s">
        <v>195</v>
      </c>
      <c r="G64" s="21"/>
      <c r="H64" s="22">
        <v>1.8871091869209333E-2</v>
      </c>
      <c r="I64" s="21">
        <v>0.16999652836372298</v>
      </c>
      <c r="J64" s="21">
        <v>0.36932868808084701</v>
      </c>
      <c r="K64" s="21">
        <v>0.59700403853880257</v>
      </c>
      <c r="L64" s="21">
        <v>0.78165665896554992</v>
      </c>
      <c r="M64" s="21">
        <v>0.86250280794110623</v>
      </c>
      <c r="N64" s="21">
        <v>0.91000183792508771</v>
      </c>
      <c r="O64" s="21">
        <v>0.99999999999999989</v>
      </c>
      <c r="P64" s="21">
        <v>0.99999999999999989</v>
      </c>
    </row>
    <row r="65" spans="4:16" hidden="1" x14ac:dyDescent="0.2">
      <c r="I65" s="20" t="s">
        <v>193</v>
      </c>
      <c r="J65" s="20" t="s">
        <v>193</v>
      </c>
      <c r="K65" s="20" t="s">
        <v>194</v>
      </c>
      <c r="L65" s="20" t="s">
        <v>193</v>
      </c>
      <c r="M65" s="20" t="s">
        <v>193</v>
      </c>
      <c r="N65" s="20" t="s">
        <v>193</v>
      </c>
      <c r="O65" s="20" t="s">
        <v>192</v>
      </c>
      <c r="P65" s="20" t="s">
        <v>192</v>
      </c>
    </row>
    <row r="66" spans="4:16" hidden="1" x14ac:dyDescent="0.2">
      <c r="D66" s="19" t="s">
        <v>191</v>
      </c>
      <c r="E66" s="19"/>
      <c r="F66" s="19"/>
      <c r="G66" s="19"/>
      <c r="H66" s="19"/>
      <c r="I66" s="19"/>
    </row>
    <row r="67" spans="4:16" ht="30" hidden="1" customHeight="1" x14ac:dyDescent="0.2">
      <c r="D67" s="167" t="s">
        <v>190</v>
      </c>
      <c r="E67" s="168"/>
      <c r="F67" s="168"/>
      <c r="G67" s="168"/>
      <c r="H67" s="168"/>
      <c r="I67" s="168"/>
      <c r="J67" s="168"/>
      <c r="K67" s="168"/>
      <c r="L67" s="168"/>
      <c r="M67" s="168"/>
      <c r="N67" s="168"/>
      <c r="O67" s="168"/>
      <c r="P67" s="169"/>
    </row>
  </sheetData>
  <mergeCells count="13">
    <mergeCell ref="T50:U50"/>
    <mergeCell ref="A51:B51"/>
    <mergeCell ref="A4:C4"/>
    <mergeCell ref="D4:F4"/>
    <mergeCell ref="I4:P4"/>
    <mergeCell ref="Q4:S4"/>
    <mergeCell ref="T4:U4"/>
    <mergeCell ref="A5:B5"/>
    <mergeCell ref="D67:P67"/>
    <mergeCell ref="A50:C50"/>
    <mergeCell ref="D50:F50"/>
    <mergeCell ref="I50:P50"/>
    <mergeCell ref="Q50:S50"/>
  </mergeCells>
  <pageMargins left="0.45" right="0.45" top="0.5" bottom="0.5" header="0.3" footer="0.3"/>
  <pageSetup scale="57" orientation="landscape" horizontalDpi="4294967294"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972E7-0DF4-2949-8C8E-412943C14603}">
  <sheetPr>
    <tabColor rgb="FFFFFF00"/>
    <pageSetUpPr fitToPage="1"/>
  </sheetPr>
  <dimension ref="A1:X67"/>
  <sheetViews>
    <sheetView zoomScale="80" zoomScaleNormal="80" workbookViewId="0">
      <pane ySplit="5" topLeftCell="A6" activePane="bottomLeft" state="frozen"/>
      <selection pane="bottomLeft"/>
    </sheetView>
  </sheetViews>
  <sheetFormatPr baseColWidth="10" defaultColWidth="8.83203125" defaultRowHeight="15" x14ac:dyDescent="0.2"/>
  <cols>
    <col min="1" max="1" width="5" style="18" customWidth="1"/>
    <col min="2" max="2" width="37.5" style="18" customWidth="1"/>
    <col min="3" max="4" width="10.5" style="18" customWidth="1"/>
    <col min="5" max="5" width="7.5" style="18" customWidth="1"/>
    <col min="6" max="6" width="11.5" style="18" customWidth="1"/>
    <col min="7" max="7" width="2" style="18" customWidth="1"/>
    <col min="8" max="8" width="10" style="18" customWidth="1"/>
    <col min="9" max="9" width="6.33203125" style="18" customWidth="1"/>
    <col min="10" max="12" width="6.1640625" style="18" customWidth="1"/>
    <col min="13" max="13" width="6.33203125" style="18" customWidth="1"/>
    <col min="14" max="14" width="6.5" style="18" customWidth="1"/>
    <col min="15" max="15" width="7.33203125" style="18" customWidth="1"/>
    <col min="16" max="16" width="7.5" style="18" customWidth="1"/>
    <col min="17" max="17" width="9.1640625" style="18" hidden="1" customWidth="1"/>
    <col min="18" max="18" width="9.83203125" style="18" hidden="1" customWidth="1"/>
    <col min="19" max="20" width="9.1640625" style="18" hidden="1" customWidth="1"/>
    <col min="21" max="21" width="9.83203125" style="18" hidden="1" customWidth="1"/>
    <col min="22" max="22" width="18.83203125" style="18" customWidth="1"/>
    <col min="23" max="23" width="15.83203125" style="18" customWidth="1"/>
    <col min="24" max="24" width="70.5" style="18" customWidth="1"/>
    <col min="25" max="16384" width="8.83203125" style="18"/>
  </cols>
  <sheetData>
    <row r="1" spans="1:24" x14ac:dyDescent="0.2">
      <c r="A1" s="146" t="s">
        <v>296</v>
      </c>
    </row>
    <row r="2" spans="1:24" x14ac:dyDescent="0.2">
      <c r="A2" s="145" t="s">
        <v>299</v>
      </c>
      <c r="H2" s="34" t="s">
        <v>298</v>
      </c>
      <c r="I2" s="105" t="s">
        <v>297</v>
      </c>
    </row>
    <row r="3" spans="1:24" x14ac:dyDescent="0.2">
      <c r="B3" s="107"/>
      <c r="J3" s="105"/>
    </row>
    <row r="4" spans="1:24" x14ac:dyDescent="0.2">
      <c r="A4" s="170"/>
      <c r="B4" s="171"/>
      <c r="C4" s="171"/>
      <c r="D4" s="172">
        <v>43646</v>
      </c>
      <c r="E4" s="173"/>
      <c r="F4" s="174"/>
      <c r="G4" s="7"/>
      <c r="H4" s="104" t="s">
        <v>217</v>
      </c>
      <c r="I4" s="182" t="s">
        <v>218</v>
      </c>
      <c r="J4" s="182"/>
      <c r="K4" s="182"/>
      <c r="L4" s="182"/>
      <c r="M4" s="182"/>
      <c r="N4" s="182"/>
      <c r="O4" s="182"/>
      <c r="P4" s="183"/>
      <c r="Q4" s="177" t="s">
        <v>217</v>
      </c>
      <c r="R4" s="178"/>
      <c r="S4" s="179"/>
      <c r="T4" s="177" t="s">
        <v>216</v>
      </c>
      <c r="U4" s="179"/>
      <c r="V4" s="103"/>
      <c r="W4" s="103"/>
      <c r="X4" s="144"/>
    </row>
    <row r="5" spans="1:24" x14ac:dyDescent="0.2">
      <c r="A5" s="180" t="s">
        <v>187</v>
      </c>
      <c r="B5" s="181"/>
      <c r="C5" s="101" t="s">
        <v>215</v>
      </c>
      <c r="D5" s="100" t="s">
        <v>214</v>
      </c>
      <c r="E5" s="101" t="s">
        <v>213</v>
      </c>
      <c r="F5" s="99" t="s">
        <v>212</v>
      </c>
      <c r="G5" s="7"/>
      <c r="H5" s="102" t="s">
        <v>211</v>
      </c>
      <c r="I5" s="143">
        <v>1</v>
      </c>
      <c r="J5" s="143">
        <v>2</v>
      </c>
      <c r="K5" s="143">
        <v>5</v>
      </c>
      <c r="L5" s="143">
        <v>10</v>
      </c>
      <c r="M5" s="143">
        <v>30</v>
      </c>
      <c r="N5" s="143">
        <v>60</v>
      </c>
      <c r="O5" s="143">
        <v>180</v>
      </c>
      <c r="P5" s="142">
        <v>360</v>
      </c>
      <c r="Q5" s="100" t="s">
        <v>211</v>
      </c>
      <c r="R5" s="101" t="s">
        <v>210</v>
      </c>
      <c r="S5" s="99" t="s">
        <v>209</v>
      </c>
      <c r="T5" s="100" t="s">
        <v>208</v>
      </c>
      <c r="U5" s="99" t="s">
        <v>207</v>
      </c>
      <c r="V5" s="98" t="s">
        <v>206</v>
      </c>
      <c r="W5" s="98" t="s">
        <v>205</v>
      </c>
      <c r="X5" s="141" t="s">
        <v>294</v>
      </c>
    </row>
    <row r="6" spans="1:24" x14ac:dyDescent="0.2">
      <c r="A6" s="96"/>
      <c r="B6" s="95"/>
      <c r="C6" s="87"/>
      <c r="D6" s="84"/>
      <c r="E6" s="84"/>
      <c r="F6" s="83"/>
      <c r="G6" s="7"/>
      <c r="H6" s="81"/>
      <c r="I6" s="138"/>
      <c r="J6" s="138"/>
      <c r="K6" s="138"/>
      <c r="L6" s="138"/>
      <c r="M6" s="138"/>
      <c r="N6" s="138"/>
      <c r="O6" s="138"/>
      <c r="P6" s="140"/>
      <c r="Q6" s="77"/>
      <c r="R6" s="76"/>
      <c r="S6" s="78"/>
      <c r="T6" s="77"/>
      <c r="U6" s="87"/>
      <c r="V6" s="56"/>
      <c r="W6" s="126"/>
      <c r="X6" s="139"/>
    </row>
    <row r="7" spans="1:24" x14ac:dyDescent="0.2">
      <c r="A7" s="68" t="s">
        <v>204</v>
      </c>
      <c r="C7" s="76"/>
      <c r="D7" s="84"/>
      <c r="E7" s="84"/>
      <c r="F7" s="83"/>
      <c r="G7" s="82"/>
      <c r="H7" s="81"/>
      <c r="I7" s="138"/>
      <c r="J7" s="138"/>
      <c r="K7" s="138"/>
      <c r="L7" s="138"/>
      <c r="M7" s="138"/>
      <c r="N7" s="138"/>
      <c r="O7" s="138"/>
      <c r="P7" s="137"/>
      <c r="Q7" s="77"/>
      <c r="R7" s="76"/>
      <c r="S7" s="78"/>
      <c r="T7" s="77"/>
      <c r="U7" s="76"/>
      <c r="V7" s="56"/>
      <c r="W7" s="126"/>
      <c r="X7" s="54"/>
    </row>
    <row r="8" spans="1:24" ht="32" x14ac:dyDescent="0.2">
      <c r="A8" s="70"/>
      <c r="B8" s="67" t="s">
        <v>293</v>
      </c>
      <c r="C8" s="66">
        <v>3</v>
      </c>
      <c r="D8" s="65">
        <v>102.85</v>
      </c>
      <c r="E8" s="65">
        <v>1.02</v>
      </c>
      <c r="F8" s="64">
        <f>10000*D8*E8*C8</f>
        <v>3147210</v>
      </c>
      <c r="G8" s="48"/>
      <c r="H8" s="63">
        <v>1.2500000000000001E-2</v>
      </c>
      <c r="I8" s="128">
        <f>F8/1000000</f>
        <v>3.1472099999999998</v>
      </c>
      <c r="J8" s="128"/>
      <c r="K8" s="128"/>
      <c r="L8" s="128"/>
      <c r="M8" s="128"/>
      <c r="N8" s="128"/>
      <c r="O8" s="128"/>
      <c r="P8" s="127"/>
      <c r="Q8" s="58">
        <v>1.2500000000000001E-2</v>
      </c>
      <c r="R8" s="75">
        <v>7.4999999999999997E-3</v>
      </c>
      <c r="S8" s="59">
        <v>1</v>
      </c>
      <c r="T8" s="58">
        <v>3.0000000000000001E-3</v>
      </c>
      <c r="U8" s="57">
        <v>0.03</v>
      </c>
      <c r="V8" s="71" t="s">
        <v>292</v>
      </c>
      <c r="W8" s="130" t="s">
        <v>291</v>
      </c>
      <c r="X8" s="147"/>
    </row>
    <row r="9" spans="1:24" ht="56.25" customHeight="1" x14ac:dyDescent="0.2">
      <c r="A9" s="70"/>
      <c r="B9" s="67" t="s">
        <v>289</v>
      </c>
      <c r="C9" s="66">
        <v>3</v>
      </c>
      <c r="D9" s="65">
        <v>100.85</v>
      </c>
      <c r="E9" s="65">
        <v>1</v>
      </c>
      <c r="F9" s="64">
        <f>20000*D9*E9*C9</f>
        <v>6051000</v>
      </c>
      <c r="G9" s="48"/>
      <c r="H9" s="63">
        <v>1.7500000000000002E-2</v>
      </c>
      <c r="I9" s="128">
        <v>1</v>
      </c>
      <c r="J9" s="128">
        <v>4</v>
      </c>
      <c r="K9" s="128">
        <f>F9/1000000-I9-J9</f>
        <v>1.0510000000000002</v>
      </c>
      <c r="L9" s="128"/>
      <c r="M9" s="128"/>
      <c r="N9" s="128"/>
      <c r="O9" s="128"/>
      <c r="P9" s="127"/>
      <c r="Q9" s="58">
        <v>1.7500000000000002E-2</v>
      </c>
      <c r="R9" s="75">
        <v>3.5000000000000001E-3</v>
      </c>
      <c r="S9" s="59">
        <v>2</v>
      </c>
      <c r="T9" s="58">
        <v>2.5000000000000001E-3</v>
      </c>
      <c r="U9" s="57">
        <v>0.05</v>
      </c>
      <c r="V9" s="71" t="s">
        <v>288</v>
      </c>
      <c r="W9" s="130" t="s">
        <v>287</v>
      </c>
      <c r="X9" s="147"/>
    </row>
    <row r="10" spans="1:24" ht="58.5" customHeight="1" x14ac:dyDescent="0.2">
      <c r="A10" s="70"/>
      <c r="B10" s="67" t="s">
        <v>285</v>
      </c>
      <c r="C10" s="66">
        <v>1</v>
      </c>
      <c r="D10" s="65">
        <v>93.25</v>
      </c>
      <c r="E10" s="65">
        <v>1</v>
      </c>
      <c r="F10" s="64">
        <f>50000*D10/E10*C10</f>
        <v>4662500</v>
      </c>
      <c r="G10" s="48"/>
      <c r="H10" s="63">
        <v>3.5000000000000003E-2</v>
      </c>
      <c r="I10" s="125"/>
      <c r="J10" s="125"/>
      <c r="K10" s="62">
        <f>F10/1000000</f>
        <v>4.6624999999999996</v>
      </c>
      <c r="L10" s="62"/>
      <c r="M10" s="62"/>
      <c r="N10" s="62"/>
      <c r="O10" s="62"/>
      <c r="P10" s="61"/>
      <c r="Q10" s="58">
        <v>3.5000000000000003E-2</v>
      </c>
      <c r="R10" s="75">
        <v>2.6499999999999999E-2</v>
      </c>
      <c r="S10" s="59">
        <v>5</v>
      </c>
      <c r="T10" s="135">
        <v>6.4999999999999997E-3</v>
      </c>
      <c r="U10" s="134">
        <v>-0.1</v>
      </c>
      <c r="V10" s="71" t="s">
        <v>284</v>
      </c>
      <c r="W10" s="130" t="s">
        <v>279</v>
      </c>
      <c r="X10" s="147"/>
    </row>
    <row r="11" spans="1:24" ht="28.5" customHeight="1" x14ac:dyDescent="0.2">
      <c r="A11" s="70"/>
      <c r="B11" s="67" t="s">
        <v>281</v>
      </c>
      <c r="C11" s="66">
        <v>5</v>
      </c>
      <c r="D11" s="65">
        <v>91.25</v>
      </c>
      <c r="E11" s="65">
        <v>1.33</v>
      </c>
      <c r="F11" s="64">
        <f>15000*D11/E11*C11</f>
        <v>5145676.691729323</v>
      </c>
      <c r="G11" s="48"/>
      <c r="H11" s="63">
        <v>2.6499999999999999E-2</v>
      </c>
      <c r="I11" s="62">
        <f>F11/1000000</f>
        <v>5.1456766917293226</v>
      </c>
      <c r="J11" s="62"/>
      <c r="K11" s="62"/>
      <c r="L11" s="62"/>
      <c r="M11" s="62"/>
      <c r="N11" s="62"/>
      <c r="O11" s="62"/>
      <c r="P11" s="61"/>
      <c r="Q11" s="58">
        <v>2.6499999999999999E-2</v>
      </c>
      <c r="R11" s="75">
        <v>5.4999999999999997E-3</v>
      </c>
      <c r="S11" s="59">
        <v>1</v>
      </c>
      <c r="T11" s="58">
        <v>1.5E-3</v>
      </c>
      <c r="U11" s="72">
        <v>2.5000000000000001E-2</v>
      </c>
      <c r="V11" s="71" t="s">
        <v>280</v>
      </c>
      <c r="W11" s="130" t="s">
        <v>275</v>
      </c>
      <c r="X11" s="147"/>
    </row>
    <row r="12" spans="1:24" ht="63.75" customHeight="1" x14ac:dyDescent="0.2">
      <c r="A12" s="70"/>
      <c r="B12" s="67" t="s">
        <v>277</v>
      </c>
      <c r="C12" s="66">
        <v>5</v>
      </c>
      <c r="D12" s="65">
        <v>64</v>
      </c>
      <c r="E12" s="65">
        <v>1</v>
      </c>
      <c r="F12" s="64">
        <f>30000*D12*E12*C12</f>
        <v>9600000</v>
      </c>
      <c r="G12" s="48"/>
      <c r="H12" s="63">
        <v>2.75E-2</v>
      </c>
      <c r="I12" s="129"/>
      <c r="J12" s="129"/>
      <c r="K12" s="128">
        <v>2</v>
      </c>
      <c r="L12" s="128">
        <f>F12/1000000-K12</f>
        <v>7.6</v>
      </c>
      <c r="M12" s="128"/>
      <c r="N12" s="128"/>
      <c r="O12" s="128"/>
      <c r="P12" s="127"/>
      <c r="Q12" s="58"/>
      <c r="R12" s="75"/>
      <c r="S12" s="59"/>
      <c r="T12" s="58"/>
      <c r="U12" s="57"/>
      <c r="V12" s="71" t="s">
        <v>276</v>
      </c>
      <c r="W12" s="130" t="s">
        <v>272</v>
      </c>
      <c r="X12" s="147"/>
    </row>
    <row r="13" spans="1:24" ht="60" x14ac:dyDescent="0.2">
      <c r="A13" s="70"/>
      <c r="B13" s="67" t="s">
        <v>273</v>
      </c>
      <c r="C13" s="66">
        <v>4</v>
      </c>
      <c r="D13" s="65">
        <v>94</v>
      </c>
      <c r="E13" s="65">
        <v>1</v>
      </c>
      <c r="F13" s="64">
        <f>10000*D13*E13*C13</f>
        <v>3760000</v>
      </c>
      <c r="G13" s="48"/>
      <c r="H13" s="63">
        <v>6.25E-2</v>
      </c>
      <c r="I13" s="125"/>
      <c r="J13" s="125"/>
      <c r="K13" s="125"/>
      <c r="L13" s="125"/>
      <c r="M13" s="62">
        <v>2</v>
      </c>
      <c r="N13" s="62">
        <v>2</v>
      </c>
      <c r="O13" s="62">
        <f>F13/1000000-M13-N13</f>
        <v>-0.24000000000000021</v>
      </c>
      <c r="P13" s="61"/>
      <c r="Q13" s="58"/>
      <c r="R13" s="75"/>
      <c r="S13" s="59"/>
      <c r="T13" s="58"/>
      <c r="U13" s="57"/>
      <c r="V13" s="71" t="s">
        <v>267</v>
      </c>
      <c r="W13" s="130" t="s">
        <v>283</v>
      </c>
      <c r="X13" s="147"/>
    </row>
    <row r="14" spans="1:24" ht="56.25" customHeight="1" x14ac:dyDescent="0.2">
      <c r="A14" s="70"/>
      <c r="B14" s="67" t="s">
        <v>270</v>
      </c>
      <c r="C14" s="66">
        <v>4</v>
      </c>
      <c r="D14" s="65">
        <v>107</v>
      </c>
      <c r="E14" s="65">
        <v>1</v>
      </c>
      <c r="F14" s="64">
        <f>10000*D14*E14*C14</f>
        <v>4280000</v>
      </c>
      <c r="G14" s="48"/>
      <c r="H14" s="63">
        <v>4.4999999999999998E-2</v>
      </c>
      <c r="I14" s="125"/>
      <c r="J14" s="125"/>
      <c r="K14" s="62">
        <v>2</v>
      </c>
      <c r="L14" s="62">
        <f>F14/1000000-K14</f>
        <v>2.2800000000000002</v>
      </c>
      <c r="M14" s="62"/>
      <c r="N14" s="62"/>
      <c r="O14" s="62"/>
      <c r="P14" s="61"/>
      <c r="Q14" s="58"/>
      <c r="R14" s="75"/>
      <c r="S14" s="59"/>
      <c r="T14" s="58"/>
      <c r="U14" s="72"/>
      <c r="V14" s="71" t="s">
        <v>267</v>
      </c>
      <c r="W14" s="130" t="s">
        <v>269</v>
      </c>
      <c r="X14" s="147"/>
    </row>
    <row r="15" spans="1:24" ht="60.75" customHeight="1" x14ac:dyDescent="0.2">
      <c r="A15" s="70"/>
      <c r="B15" s="67" t="s">
        <v>268</v>
      </c>
      <c r="C15" s="66">
        <v>4</v>
      </c>
      <c r="D15" s="65">
        <v>106.25</v>
      </c>
      <c r="E15" s="65">
        <v>1</v>
      </c>
      <c r="F15" s="64">
        <f>10000*D15/E15*C15</f>
        <v>4250000</v>
      </c>
      <c r="G15" s="48"/>
      <c r="H15" s="63">
        <v>4.4999999999999998E-2</v>
      </c>
      <c r="I15" s="125"/>
      <c r="J15" s="125"/>
      <c r="K15" s="62">
        <v>1</v>
      </c>
      <c r="L15" s="62">
        <f>F15/1000000</f>
        <v>4.25</v>
      </c>
      <c r="M15" s="62"/>
      <c r="N15" s="62"/>
      <c r="O15" s="62"/>
      <c r="P15" s="61"/>
      <c r="Q15" s="58"/>
      <c r="R15" s="75"/>
      <c r="S15" s="59"/>
      <c r="T15" s="58"/>
      <c r="U15" s="72"/>
      <c r="V15" s="71" t="s">
        <v>267</v>
      </c>
      <c r="W15" s="130" t="s">
        <v>266</v>
      </c>
      <c r="X15" s="147"/>
    </row>
    <row r="16" spans="1:24" ht="25.5" customHeight="1" x14ac:dyDescent="0.2">
      <c r="A16" s="70"/>
      <c r="B16" s="74"/>
      <c r="C16" s="66"/>
      <c r="D16" s="65"/>
      <c r="E16" s="65"/>
      <c r="F16" s="64"/>
      <c r="G16" s="48"/>
      <c r="H16" s="63"/>
      <c r="I16" s="128"/>
      <c r="J16" s="128"/>
      <c r="K16" s="128"/>
      <c r="L16" s="128"/>
      <c r="M16" s="128"/>
      <c r="N16" s="128"/>
      <c r="O16" s="128"/>
      <c r="P16" s="127"/>
      <c r="Q16" s="60"/>
      <c r="R16" s="66"/>
      <c r="S16" s="59"/>
      <c r="T16" s="60"/>
      <c r="U16" s="66"/>
      <c r="V16" s="71"/>
      <c r="W16" s="126"/>
      <c r="X16" s="136"/>
    </row>
    <row r="17" spans="1:24" x14ac:dyDescent="0.2">
      <c r="A17" s="68" t="s">
        <v>203</v>
      </c>
      <c r="B17" s="74"/>
      <c r="C17" s="66"/>
      <c r="D17" s="65"/>
      <c r="E17" s="65"/>
      <c r="F17" s="64"/>
      <c r="G17" s="48"/>
      <c r="H17" s="63"/>
      <c r="I17" s="128"/>
      <c r="J17" s="128"/>
      <c r="K17" s="128"/>
      <c r="L17" s="128"/>
      <c r="M17" s="128"/>
      <c r="N17" s="128"/>
      <c r="O17" s="128"/>
      <c r="P17" s="127"/>
      <c r="Q17" s="60"/>
      <c r="R17" s="66"/>
      <c r="S17" s="59"/>
      <c r="T17" s="60"/>
      <c r="U17" s="66"/>
      <c r="V17" s="71"/>
      <c r="W17" s="126"/>
      <c r="X17" s="54"/>
    </row>
    <row r="18" spans="1:24" ht="45" x14ac:dyDescent="0.2">
      <c r="A18" s="70"/>
      <c r="B18" s="74" t="s">
        <v>264</v>
      </c>
      <c r="C18" s="73">
        <v>175000</v>
      </c>
      <c r="D18" s="65">
        <f>39.42*0.8</f>
        <v>31.536000000000001</v>
      </c>
      <c r="E18" s="65">
        <v>1</v>
      </c>
      <c r="F18" s="64">
        <f>C18*D18/E18</f>
        <v>5518800</v>
      </c>
      <c r="G18" s="48"/>
      <c r="H18" s="63">
        <v>0</v>
      </c>
      <c r="I18" s="128">
        <v>2</v>
      </c>
      <c r="J18" s="128">
        <v>3</v>
      </c>
      <c r="K18" s="128">
        <f>F18/1000000-I18-J18</f>
        <v>0.51879999999999971</v>
      </c>
      <c r="L18" s="128"/>
      <c r="M18" s="128"/>
      <c r="N18" s="128"/>
      <c r="O18" s="128"/>
      <c r="P18" s="127"/>
      <c r="Q18" s="58">
        <v>0</v>
      </c>
      <c r="R18" s="57">
        <v>0.22</v>
      </c>
      <c r="S18" s="59">
        <v>1</v>
      </c>
      <c r="T18" s="58">
        <v>4.2500000000000003E-2</v>
      </c>
      <c r="U18" s="57">
        <v>-0.15</v>
      </c>
      <c r="V18" s="71" t="s">
        <v>263</v>
      </c>
      <c r="W18" s="126"/>
      <c r="X18" s="147"/>
    </row>
    <row r="19" spans="1:24" ht="60" x14ac:dyDescent="0.2">
      <c r="A19" s="70"/>
      <c r="B19" s="74" t="s">
        <v>261</v>
      </c>
      <c r="C19" s="73">
        <v>470000</v>
      </c>
      <c r="D19" s="65">
        <f>24.94*0.95</f>
        <v>23.693000000000001</v>
      </c>
      <c r="E19" s="65">
        <v>1.33</v>
      </c>
      <c r="F19" s="64">
        <f>C19*D19/E19</f>
        <v>8372714.2857142854</v>
      </c>
      <c r="G19" s="48"/>
      <c r="H19" s="63">
        <v>1.4999999999999999E-2</v>
      </c>
      <c r="I19" s="128"/>
      <c r="J19" s="128">
        <v>1</v>
      </c>
      <c r="K19" s="128">
        <v>2</v>
      </c>
      <c r="L19" s="128">
        <v>2</v>
      </c>
      <c r="M19" s="128">
        <f>F19/1000000-J19-K19-L19</f>
        <v>3.3727142857142862</v>
      </c>
      <c r="N19" s="128"/>
      <c r="O19" s="128"/>
      <c r="P19" s="127"/>
      <c r="Q19" s="58">
        <v>1.4999999999999999E-2</v>
      </c>
      <c r="R19" s="57">
        <v>0.12</v>
      </c>
      <c r="S19" s="59">
        <v>2</v>
      </c>
      <c r="T19" s="58">
        <v>2.5000000000000001E-2</v>
      </c>
      <c r="U19" s="72">
        <v>-7.4999999999999997E-2</v>
      </c>
      <c r="V19" s="71" t="s">
        <v>260</v>
      </c>
      <c r="W19" s="126"/>
      <c r="X19" s="147"/>
    </row>
    <row r="20" spans="1:24" ht="30" x14ac:dyDescent="0.2">
      <c r="A20" s="70"/>
      <c r="B20" s="74" t="s">
        <v>258</v>
      </c>
      <c r="C20" s="73">
        <v>175000</v>
      </c>
      <c r="D20" s="73">
        <f>6233*0.9</f>
        <v>5609.7</v>
      </c>
      <c r="E20" s="148">
        <v>122</v>
      </c>
      <c r="F20" s="64">
        <f>C20*D20/E20</f>
        <v>8046700.819672131</v>
      </c>
      <c r="G20" s="48"/>
      <c r="H20" s="63">
        <v>2.5000000000000001E-2</v>
      </c>
      <c r="I20" s="125"/>
      <c r="J20" s="125"/>
      <c r="K20" s="62">
        <v>2</v>
      </c>
      <c r="L20" s="62">
        <v>3</v>
      </c>
      <c r="M20" s="62">
        <f>F20/1000000-K20-L20</f>
        <v>3.0467008196721306</v>
      </c>
      <c r="N20" s="62"/>
      <c r="O20" s="62"/>
      <c r="P20" s="61"/>
      <c r="Q20" s="58">
        <v>2.5000000000000001E-2</v>
      </c>
      <c r="R20" s="57">
        <v>0.34</v>
      </c>
      <c r="S20" s="59">
        <v>4</v>
      </c>
      <c r="T20" s="135">
        <v>6.7500000000000004E-2</v>
      </c>
      <c r="U20" s="134">
        <v>-0.15</v>
      </c>
      <c r="V20" s="71" t="s">
        <v>257</v>
      </c>
      <c r="W20" s="55"/>
      <c r="X20" s="147"/>
    </row>
    <row r="21" spans="1:24" ht="45" x14ac:dyDescent="0.2">
      <c r="A21" s="70"/>
      <c r="B21" s="74" t="s">
        <v>255</v>
      </c>
      <c r="C21" s="73">
        <v>125000</v>
      </c>
      <c r="D21" s="65">
        <f>46.3*0.8</f>
        <v>37.04</v>
      </c>
      <c r="E21" s="65">
        <v>1.02</v>
      </c>
      <c r="F21" s="64">
        <f>C21*D21*E21</f>
        <v>4722600</v>
      </c>
      <c r="G21" s="48"/>
      <c r="H21" s="63">
        <v>2.5000000000000001E-3</v>
      </c>
      <c r="I21" s="125"/>
      <c r="J21" s="62">
        <v>3</v>
      </c>
      <c r="K21" s="62">
        <f>F21/1000000-J21</f>
        <v>1.7225999999999999</v>
      </c>
      <c r="L21" s="62"/>
      <c r="M21" s="62"/>
      <c r="N21" s="62"/>
      <c r="O21" s="62"/>
      <c r="P21" s="61"/>
      <c r="Q21" s="58">
        <v>2.5000000000000001E-3</v>
      </c>
      <c r="R21" s="57">
        <v>0.15</v>
      </c>
      <c r="S21" s="59">
        <v>2</v>
      </c>
      <c r="T21" s="58">
        <v>3.5000000000000003E-2</v>
      </c>
      <c r="U21" s="72">
        <v>-7.4999999999999997E-2</v>
      </c>
      <c r="V21" s="71" t="s">
        <v>254</v>
      </c>
      <c r="W21" s="55"/>
      <c r="X21" s="147"/>
    </row>
    <row r="22" spans="1:24" x14ac:dyDescent="0.2">
      <c r="A22" s="70"/>
      <c r="B22" s="74"/>
      <c r="C22" s="73"/>
      <c r="D22" s="65"/>
      <c r="E22" s="65"/>
      <c r="F22" s="64"/>
      <c r="G22" s="48"/>
      <c r="H22" s="63"/>
      <c r="I22" s="62"/>
      <c r="J22" s="62"/>
      <c r="K22" s="62"/>
      <c r="L22" s="62"/>
      <c r="M22" s="62"/>
      <c r="N22" s="62"/>
      <c r="O22" s="62"/>
      <c r="P22" s="61"/>
      <c r="Q22" s="58"/>
      <c r="R22" s="57"/>
      <c r="S22" s="59"/>
      <c r="T22" s="58"/>
      <c r="U22" s="72"/>
      <c r="V22" s="71"/>
      <c r="W22" s="55"/>
      <c r="X22" s="54"/>
    </row>
    <row r="23" spans="1:24" x14ac:dyDescent="0.2">
      <c r="A23" s="68" t="s">
        <v>252</v>
      </c>
      <c r="B23" s="74"/>
      <c r="C23" s="66"/>
      <c r="D23" s="65"/>
      <c r="E23" s="65"/>
      <c r="F23" s="64"/>
      <c r="G23" s="48"/>
      <c r="H23" s="63"/>
      <c r="I23" s="62"/>
      <c r="J23" s="62"/>
      <c r="K23" s="62"/>
      <c r="L23" s="62"/>
      <c r="M23" s="62"/>
      <c r="N23" s="62"/>
      <c r="O23" s="62"/>
      <c r="P23" s="61"/>
      <c r="Q23" s="60"/>
      <c r="R23" s="66"/>
      <c r="S23" s="59"/>
      <c r="T23" s="133" t="s">
        <v>247</v>
      </c>
      <c r="U23" s="66"/>
      <c r="V23" s="56"/>
      <c r="W23" s="55"/>
      <c r="X23" s="54"/>
    </row>
    <row r="24" spans="1:24" x14ac:dyDescent="0.2">
      <c r="A24" s="70"/>
      <c r="B24" s="74" t="s">
        <v>251</v>
      </c>
      <c r="C24" s="73">
        <v>3000000</v>
      </c>
      <c r="D24" s="65">
        <v>1.0900000000000001</v>
      </c>
      <c r="E24" s="65">
        <v>1</v>
      </c>
      <c r="F24" s="64">
        <f>(D24-1.02)*C24</f>
        <v>210000.00000000017</v>
      </c>
      <c r="G24" s="48"/>
      <c r="H24" s="63" t="s">
        <v>193</v>
      </c>
      <c r="I24" s="62"/>
      <c r="J24" s="62"/>
      <c r="K24" s="62"/>
      <c r="L24" s="62"/>
      <c r="M24" s="62"/>
      <c r="N24" s="62"/>
      <c r="O24" s="62"/>
      <c r="P24" s="61"/>
      <c r="Q24" s="58">
        <v>5.0000000000000001E-3</v>
      </c>
      <c r="R24" s="75">
        <v>2.75E-2</v>
      </c>
      <c r="S24" s="59">
        <v>1</v>
      </c>
      <c r="T24" s="58">
        <v>1.2500000000000001E-2</v>
      </c>
      <c r="U24" s="57">
        <v>-0.05</v>
      </c>
      <c r="V24" s="71" t="s">
        <v>249</v>
      </c>
      <c r="W24" s="55"/>
      <c r="X24" s="54"/>
    </row>
    <row r="25" spans="1:24" x14ac:dyDescent="0.2">
      <c r="A25" s="70"/>
      <c r="B25" s="74" t="s">
        <v>250</v>
      </c>
      <c r="C25" s="73">
        <v>5000000</v>
      </c>
      <c r="D25" s="65">
        <v>1.33</v>
      </c>
      <c r="E25" s="65">
        <v>1</v>
      </c>
      <c r="F25" s="64">
        <f>(D25-1.35)*C25</f>
        <v>-100000.00000000009</v>
      </c>
      <c r="G25" s="48"/>
      <c r="H25" s="63" t="s">
        <v>193</v>
      </c>
      <c r="I25" s="62"/>
      <c r="J25" s="62"/>
      <c r="K25" s="62"/>
      <c r="L25" s="62"/>
      <c r="M25" s="62"/>
      <c r="N25" s="62"/>
      <c r="O25" s="62"/>
      <c r="P25" s="61"/>
      <c r="Q25" s="58">
        <v>2E-3</v>
      </c>
      <c r="R25" s="75">
        <v>1.7500000000000002E-2</v>
      </c>
      <c r="S25" s="59">
        <v>1</v>
      </c>
      <c r="T25" s="58">
        <v>1.2999999999999999E-2</v>
      </c>
      <c r="U25" s="57">
        <v>-0.05</v>
      </c>
      <c r="V25" s="71" t="s">
        <v>249</v>
      </c>
      <c r="W25" s="55"/>
      <c r="X25" s="54"/>
    </row>
    <row r="26" spans="1:24" ht="13.5" customHeight="1" x14ac:dyDescent="0.2">
      <c r="A26" s="70"/>
      <c r="B26" s="74"/>
      <c r="C26" s="66"/>
      <c r="D26" s="65"/>
      <c r="E26" s="65"/>
      <c r="F26" s="64"/>
      <c r="G26" s="48"/>
      <c r="H26" s="63"/>
      <c r="I26" s="62"/>
      <c r="J26" s="62"/>
      <c r="K26" s="62"/>
      <c r="L26" s="62"/>
      <c r="M26" s="62"/>
      <c r="N26" s="62"/>
      <c r="O26" s="62"/>
      <c r="P26" s="61"/>
      <c r="Q26" s="60"/>
      <c r="R26" s="66"/>
      <c r="S26" s="59"/>
      <c r="T26" s="60"/>
      <c r="U26" s="66"/>
      <c r="V26" s="56"/>
      <c r="W26" s="55"/>
      <c r="X26" s="54"/>
    </row>
    <row r="27" spans="1:24" x14ac:dyDescent="0.2">
      <c r="A27" s="68" t="s">
        <v>248</v>
      </c>
      <c r="B27" s="74"/>
      <c r="C27" s="66"/>
      <c r="D27" s="65"/>
      <c r="E27" s="65"/>
      <c r="F27" s="64"/>
      <c r="G27" s="48"/>
      <c r="H27" s="63"/>
      <c r="I27" s="62"/>
      <c r="J27" s="62"/>
      <c r="K27" s="62"/>
      <c r="L27" s="62"/>
      <c r="M27" s="62"/>
      <c r="N27" s="62"/>
      <c r="O27" s="62"/>
      <c r="P27" s="61"/>
      <c r="Q27" s="60"/>
      <c r="R27" s="66"/>
      <c r="S27" s="59"/>
      <c r="T27" s="133" t="s">
        <v>247</v>
      </c>
      <c r="U27" s="66"/>
      <c r="V27" s="56"/>
      <c r="W27" s="55"/>
      <c r="X27" s="54"/>
    </row>
    <row r="28" spans="1:24" ht="15.75" customHeight="1" x14ac:dyDescent="0.2">
      <c r="A28" s="70"/>
      <c r="B28" s="74" t="s">
        <v>246</v>
      </c>
      <c r="C28" s="66">
        <v>60</v>
      </c>
      <c r="D28" s="132">
        <f>1021.97*2.5*1.4</f>
        <v>3576.895</v>
      </c>
      <c r="E28" s="65">
        <v>1</v>
      </c>
      <c r="F28" s="64">
        <f>C28*D28*E28</f>
        <v>214613.7</v>
      </c>
      <c r="G28" s="48"/>
      <c r="H28" s="63" t="s">
        <v>193</v>
      </c>
      <c r="I28" s="62"/>
      <c r="J28" s="62"/>
      <c r="K28" s="62"/>
      <c r="L28" s="62"/>
      <c r="M28" s="62"/>
      <c r="N28" s="62"/>
      <c r="O28" s="62"/>
      <c r="P28" s="61"/>
      <c r="Q28" s="60" t="s">
        <v>193</v>
      </c>
      <c r="R28" s="57">
        <v>0.66</v>
      </c>
      <c r="S28" s="59">
        <v>1</v>
      </c>
      <c r="T28" s="58">
        <v>8.3000000000000004E-2</v>
      </c>
      <c r="U28" s="57">
        <v>0.3</v>
      </c>
      <c r="V28" s="71" t="s">
        <v>242</v>
      </c>
      <c r="W28" s="55"/>
      <c r="X28" s="54"/>
    </row>
    <row r="29" spans="1:24" ht="18" customHeight="1" x14ac:dyDescent="0.2">
      <c r="A29" s="70"/>
      <c r="B29" s="74" t="s">
        <v>245</v>
      </c>
      <c r="C29" s="66">
        <v>150</v>
      </c>
      <c r="D29" s="132">
        <f>441.82*3*1.5</f>
        <v>1988.19</v>
      </c>
      <c r="E29" s="65">
        <v>1.02</v>
      </c>
      <c r="F29" s="64">
        <f>C29*D29*E29</f>
        <v>304193.07</v>
      </c>
      <c r="G29" s="48"/>
      <c r="H29" s="63" t="s">
        <v>193</v>
      </c>
      <c r="I29" s="62"/>
      <c r="J29" s="62"/>
      <c r="K29" s="62"/>
      <c r="L29" s="62"/>
      <c r="M29" s="62"/>
      <c r="N29" s="62"/>
      <c r="O29" s="62"/>
      <c r="P29" s="61"/>
      <c r="Q29" s="60" t="s">
        <v>193</v>
      </c>
      <c r="R29" s="57">
        <v>0.28000000000000003</v>
      </c>
      <c r="S29" s="59">
        <v>1</v>
      </c>
      <c r="T29" s="58">
        <v>6.9500000000000006E-2</v>
      </c>
      <c r="U29" s="57">
        <v>0.25</v>
      </c>
      <c r="V29" s="71" t="s">
        <v>242</v>
      </c>
      <c r="W29" s="55"/>
      <c r="X29" s="54"/>
    </row>
    <row r="30" spans="1:24" ht="16.5" customHeight="1" x14ac:dyDescent="0.2">
      <c r="A30" s="70"/>
      <c r="B30" s="74" t="s">
        <v>244</v>
      </c>
      <c r="C30" s="66">
        <v>90</v>
      </c>
      <c r="D30" s="132">
        <f>72500*2.5*1.4</f>
        <v>253749.99999999997</v>
      </c>
      <c r="E30" s="148">
        <v>122</v>
      </c>
      <c r="F30" s="64">
        <f>C30*D30/E30</f>
        <v>187192.62295081964</v>
      </c>
      <c r="G30" s="48"/>
      <c r="H30" s="63" t="s">
        <v>193</v>
      </c>
      <c r="I30" s="62"/>
      <c r="J30" s="62"/>
      <c r="K30" s="62"/>
      <c r="L30" s="62"/>
      <c r="M30" s="62"/>
      <c r="N30" s="62"/>
      <c r="O30" s="62"/>
      <c r="P30" s="61"/>
      <c r="Q30" s="60" t="s">
        <v>193</v>
      </c>
      <c r="R30" s="57">
        <v>0.32</v>
      </c>
      <c r="S30" s="59">
        <v>1</v>
      </c>
      <c r="T30" s="58">
        <v>5.7500000000000002E-2</v>
      </c>
      <c r="U30" s="57">
        <v>0.25</v>
      </c>
      <c r="V30" s="71" t="s">
        <v>242</v>
      </c>
      <c r="W30" s="55"/>
      <c r="X30" s="54"/>
    </row>
    <row r="31" spans="1:24" ht="16.5" customHeight="1" x14ac:dyDescent="0.2">
      <c r="A31" s="70"/>
      <c r="B31" s="74" t="s">
        <v>243</v>
      </c>
      <c r="C31" s="66">
        <v>125</v>
      </c>
      <c r="D31" s="132">
        <f>764.54*2*1.3</f>
        <v>1987.8039999999999</v>
      </c>
      <c r="E31" s="65">
        <v>1.33</v>
      </c>
      <c r="F31" s="64">
        <f>C31*D31/E31</f>
        <v>186823.68421052629</v>
      </c>
      <c r="G31" s="48"/>
      <c r="H31" s="63" t="s">
        <v>193</v>
      </c>
      <c r="I31" s="62"/>
      <c r="J31" s="62"/>
      <c r="K31" s="62"/>
      <c r="L31" s="62"/>
      <c r="M31" s="62"/>
      <c r="N31" s="62"/>
      <c r="O31" s="62"/>
      <c r="P31" s="61"/>
      <c r="Q31" s="60"/>
      <c r="R31" s="57"/>
      <c r="S31" s="59"/>
      <c r="T31" s="58"/>
      <c r="U31" s="57"/>
      <c r="V31" s="71" t="s">
        <v>242</v>
      </c>
      <c r="W31" s="55"/>
      <c r="X31" s="54"/>
    </row>
    <row r="32" spans="1:24" x14ac:dyDescent="0.2">
      <c r="A32" s="70"/>
      <c r="B32" s="74"/>
      <c r="C32" s="66"/>
      <c r="D32" s="65"/>
      <c r="E32" s="65"/>
      <c r="F32" s="64"/>
      <c r="G32" s="48"/>
      <c r="H32" s="63"/>
      <c r="I32" s="62"/>
      <c r="J32" s="62"/>
      <c r="K32" s="62"/>
      <c r="L32" s="62"/>
      <c r="M32" s="62"/>
      <c r="N32" s="62"/>
      <c r="O32" s="62"/>
      <c r="P32" s="61"/>
      <c r="Q32" s="60"/>
      <c r="R32" s="66"/>
      <c r="S32" s="59"/>
      <c r="T32" s="60"/>
      <c r="U32" s="66"/>
      <c r="V32" s="56"/>
      <c r="W32" s="55"/>
      <c r="X32" s="54"/>
    </row>
    <row r="33" spans="1:24" ht="15.75" customHeight="1" x14ac:dyDescent="0.2">
      <c r="A33" s="68" t="s">
        <v>202</v>
      </c>
      <c r="B33" s="74"/>
      <c r="C33" s="66"/>
      <c r="D33" s="65"/>
      <c r="E33" s="65"/>
      <c r="F33" s="64"/>
      <c r="G33" s="48"/>
      <c r="H33" s="63"/>
      <c r="I33" s="128"/>
      <c r="J33" s="128"/>
      <c r="K33" s="128"/>
      <c r="L33" s="128"/>
      <c r="M33" s="128"/>
      <c r="N33" s="128"/>
      <c r="O33" s="128"/>
      <c r="P33" s="127"/>
      <c r="Q33" s="60"/>
      <c r="R33" s="57"/>
      <c r="S33" s="59"/>
      <c r="T33" s="58"/>
      <c r="U33" s="57"/>
      <c r="V33" s="56"/>
      <c r="W33" s="126"/>
      <c r="X33" s="54"/>
    </row>
    <row r="34" spans="1:24" ht="33" customHeight="1" x14ac:dyDescent="0.2">
      <c r="A34" s="131"/>
      <c r="B34" s="67" t="s">
        <v>241</v>
      </c>
      <c r="C34" s="65">
        <v>0.3</v>
      </c>
      <c r="D34" s="73">
        <f>30000000*0.997</f>
        <v>29910000</v>
      </c>
      <c r="E34" s="65">
        <v>1</v>
      </c>
      <c r="F34" s="64">
        <f>D34*C34</f>
        <v>8973000</v>
      </c>
      <c r="G34" s="48"/>
      <c r="H34" s="63">
        <v>4.7500000000000001E-2</v>
      </c>
      <c r="I34" s="129"/>
      <c r="J34" s="129"/>
      <c r="K34" s="129"/>
      <c r="L34" s="129"/>
      <c r="M34" s="129"/>
      <c r="N34" s="129"/>
      <c r="O34" s="128">
        <f>F34/1000000</f>
        <v>8.9730000000000008</v>
      </c>
      <c r="P34" s="127"/>
      <c r="Q34" s="60"/>
      <c r="R34" s="57"/>
      <c r="S34" s="59"/>
      <c r="T34" s="58"/>
      <c r="U34" s="57"/>
      <c r="V34" s="71" t="s">
        <v>240</v>
      </c>
      <c r="W34" s="130" t="s">
        <v>239</v>
      </c>
      <c r="X34" s="147"/>
    </row>
    <row r="35" spans="1:24" ht="33" customHeight="1" x14ac:dyDescent="0.2">
      <c r="A35" s="131"/>
      <c r="B35" s="67" t="s">
        <v>237</v>
      </c>
      <c r="C35" s="65">
        <f>F35/D35</f>
        <v>0.11166945840312674</v>
      </c>
      <c r="D35" s="73">
        <f>45000000*0.995</f>
        <v>44775000</v>
      </c>
      <c r="E35" s="65">
        <v>1</v>
      </c>
      <c r="F35" s="64">
        <v>5000000</v>
      </c>
      <c r="G35" s="48"/>
      <c r="H35" s="63">
        <v>5.2499999999999998E-2</v>
      </c>
      <c r="I35" s="125"/>
      <c r="J35" s="125"/>
      <c r="K35" s="125"/>
      <c r="L35" s="125"/>
      <c r="M35" s="125"/>
      <c r="N35" s="125"/>
      <c r="O35" s="62">
        <f>F35/1000000</f>
        <v>5</v>
      </c>
      <c r="P35" s="61"/>
      <c r="Q35" s="60"/>
      <c r="R35" s="57"/>
      <c r="S35" s="59"/>
      <c r="T35" s="58"/>
      <c r="U35" s="57"/>
      <c r="V35" s="71" t="s">
        <v>234</v>
      </c>
      <c r="W35" s="130" t="s">
        <v>233</v>
      </c>
      <c r="X35" s="147"/>
    </row>
    <row r="36" spans="1:24" ht="33" customHeight="1" x14ac:dyDescent="0.2">
      <c r="A36" s="131"/>
      <c r="B36" s="67" t="s">
        <v>235</v>
      </c>
      <c r="C36" s="65">
        <f>F36/D36</f>
        <v>0.66006600660065995</v>
      </c>
      <c r="D36" s="73">
        <f>75000000*0.101</f>
        <v>7575000.0000000009</v>
      </c>
      <c r="E36" s="65">
        <v>1</v>
      </c>
      <c r="F36" s="64">
        <v>5000000</v>
      </c>
      <c r="G36" s="48"/>
      <c r="H36" s="63">
        <v>5.8500000000000003E-2</v>
      </c>
      <c r="I36" s="125"/>
      <c r="J36" s="125"/>
      <c r="K36" s="125"/>
      <c r="L36" s="125"/>
      <c r="M36" s="125"/>
      <c r="N36" s="125"/>
      <c r="O36" s="62">
        <f>F36/1000000</f>
        <v>5</v>
      </c>
      <c r="P36" s="61"/>
      <c r="Q36" s="60"/>
      <c r="R36" s="57"/>
      <c r="S36" s="59"/>
      <c r="T36" s="58"/>
      <c r="U36" s="57"/>
      <c r="V36" s="71" t="s">
        <v>234</v>
      </c>
      <c r="W36" s="130" t="s">
        <v>233</v>
      </c>
      <c r="X36" s="147"/>
    </row>
    <row r="37" spans="1:24" ht="14.25" customHeight="1" x14ac:dyDescent="0.2">
      <c r="A37" s="70"/>
      <c r="B37" s="67"/>
      <c r="C37" s="66"/>
      <c r="D37" s="65"/>
      <c r="E37" s="65"/>
      <c r="F37" s="64"/>
      <c r="G37" s="48"/>
      <c r="H37" s="63"/>
      <c r="I37" s="128"/>
      <c r="J37" s="128"/>
      <c r="K37" s="128"/>
      <c r="L37" s="128"/>
      <c r="M37" s="128"/>
      <c r="N37" s="128"/>
      <c r="O37" s="128"/>
      <c r="P37" s="127"/>
      <c r="Q37" s="60"/>
      <c r="R37" s="57"/>
      <c r="S37" s="59"/>
      <c r="T37" s="58"/>
      <c r="U37" s="57"/>
      <c r="V37" s="56"/>
      <c r="W37" s="126"/>
      <c r="X37" s="54"/>
    </row>
    <row r="38" spans="1:24" ht="17.25" customHeight="1" x14ac:dyDescent="0.2">
      <c r="A38" s="68" t="s">
        <v>201</v>
      </c>
      <c r="B38" s="67"/>
      <c r="C38" s="66"/>
      <c r="D38" s="65"/>
      <c r="E38" s="65"/>
      <c r="F38" s="64"/>
      <c r="G38" s="48"/>
      <c r="H38" s="63"/>
      <c r="I38" s="128"/>
      <c r="J38" s="128"/>
      <c r="K38" s="128"/>
      <c r="L38" s="128"/>
      <c r="M38" s="128"/>
      <c r="N38" s="128"/>
      <c r="O38" s="128"/>
      <c r="P38" s="127"/>
      <c r="Q38" s="60"/>
      <c r="R38" s="57"/>
      <c r="S38" s="59"/>
      <c r="T38" s="58"/>
      <c r="U38" s="57"/>
      <c r="V38" s="56"/>
      <c r="W38" s="126"/>
      <c r="X38" s="54"/>
    </row>
    <row r="39" spans="1:24" ht="31.5" customHeight="1" x14ac:dyDescent="0.2">
      <c r="A39" s="70"/>
      <c r="B39" s="67" t="s">
        <v>231</v>
      </c>
      <c r="C39" s="73">
        <v>5000000</v>
      </c>
      <c r="D39" s="65">
        <v>1.02</v>
      </c>
      <c r="E39" s="65">
        <v>1</v>
      </c>
      <c r="F39" s="64">
        <f>D39*C39</f>
        <v>5100000</v>
      </c>
      <c r="G39" s="48"/>
      <c r="H39" s="63">
        <v>3.7499999999999999E-2</v>
      </c>
      <c r="I39" s="129"/>
      <c r="J39" s="129"/>
      <c r="K39" s="129"/>
      <c r="L39" s="129"/>
      <c r="M39" s="129"/>
      <c r="N39" s="128">
        <f>F39/1000000</f>
        <v>5.0999999999999996</v>
      </c>
      <c r="O39" s="128"/>
      <c r="P39" s="127"/>
      <c r="Q39" s="60"/>
      <c r="R39" s="57"/>
      <c r="S39" s="59"/>
      <c r="T39" s="58"/>
      <c r="U39" s="57"/>
      <c r="V39" s="71" t="s">
        <v>230</v>
      </c>
      <c r="W39" s="126"/>
      <c r="X39" s="147"/>
    </row>
    <row r="40" spans="1:24" ht="30" customHeight="1" x14ac:dyDescent="0.2">
      <c r="A40" s="70"/>
      <c r="B40" s="67" t="s">
        <v>228</v>
      </c>
      <c r="C40" s="73">
        <v>3000000</v>
      </c>
      <c r="D40" s="65">
        <v>1.01</v>
      </c>
      <c r="E40" s="65">
        <v>1</v>
      </c>
      <c r="F40" s="64">
        <f>D40*C40</f>
        <v>3030000</v>
      </c>
      <c r="G40" s="48"/>
      <c r="H40" s="63">
        <v>5.8000000000000003E-2</v>
      </c>
      <c r="I40" s="125"/>
      <c r="J40" s="125"/>
      <c r="K40" s="125"/>
      <c r="L40" s="125"/>
      <c r="M40" s="125"/>
      <c r="N40" s="125"/>
      <c r="O40" s="62">
        <f>F40/1000000</f>
        <v>3.03</v>
      </c>
      <c r="P40" s="61"/>
      <c r="Q40" s="60"/>
      <c r="R40" s="57"/>
      <c r="S40" s="59"/>
      <c r="T40" s="58"/>
      <c r="U40" s="57"/>
      <c r="V40" s="71" t="s">
        <v>227</v>
      </c>
      <c r="W40" s="55"/>
      <c r="X40" s="147"/>
    </row>
    <row r="41" spans="1:24" ht="50.25" customHeight="1" x14ac:dyDescent="0.2">
      <c r="A41" s="70"/>
      <c r="B41" s="67" t="s">
        <v>225</v>
      </c>
      <c r="C41" s="73">
        <v>2000000</v>
      </c>
      <c r="D41" s="65">
        <v>0.98</v>
      </c>
      <c r="E41" s="65">
        <v>1</v>
      </c>
      <c r="F41" s="64">
        <f>D41*C41</f>
        <v>1960000</v>
      </c>
      <c r="G41" s="48"/>
      <c r="H41" s="63">
        <v>4.9500000000000002E-2</v>
      </c>
      <c r="I41" s="125"/>
      <c r="J41" s="125"/>
      <c r="K41" s="125"/>
      <c r="L41" s="125"/>
      <c r="M41" s="125"/>
      <c r="N41" s="125"/>
      <c r="O41" s="62">
        <f>F41/1000000</f>
        <v>1.96</v>
      </c>
      <c r="P41" s="61"/>
      <c r="Q41" s="60"/>
      <c r="R41" s="57"/>
      <c r="S41" s="59"/>
      <c r="T41" s="58"/>
      <c r="U41" s="57"/>
      <c r="V41" s="71" t="s">
        <v>224</v>
      </c>
      <c r="W41" s="55"/>
      <c r="X41" s="147"/>
    </row>
    <row r="42" spans="1:24" x14ac:dyDescent="0.2">
      <c r="A42" s="53"/>
      <c r="B42" s="52"/>
      <c r="C42" s="122"/>
      <c r="D42" s="50"/>
      <c r="E42" s="50"/>
      <c r="F42" s="49"/>
      <c r="G42" s="7"/>
      <c r="H42" s="47"/>
      <c r="I42" s="124"/>
      <c r="J42" s="124"/>
      <c r="K42" s="124"/>
      <c r="L42" s="124"/>
      <c r="M42" s="124"/>
      <c r="N42" s="124"/>
      <c r="O42" s="124"/>
      <c r="P42" s="123"/>
      <c r="Q42" s="44"/>
      <c r="R42" s="122"/>
      <c r="S42" s="43"/>
      <c r="T42" s="44"/>
      <c r="U42" s="122"/>
      <c r="V42" s="121"/>
      <c r="W42" s="120"/>
      <c r="X42" s="38"/>
    </row>
    <row r="43" spans="1:24" x14ac:dyDescent="0.2">
      <c r="H43" s="106"/>
      <c r="I43" s="106"/>
      <c r="J43" s="106"/>
      <c r="K43" s="106"/>
      <c r="L43" s="106"/>
      <c r="M43" s="106"/>
      <c r="N43" s="106"/>
      <c r="O43" s="106"/>
      <c r="P43" s="106"/>
      <c r="X43" s="54"/>
    </row>
    <row r="44" spans="1:24" x14ac:dyDescent="0.2">
      <c r="A44" s="117"/>
      <c r="B44" s="119"/>
      <c r="C44" s="34" t="s">
        <v>200</v>
      </c>
      <c r="D44" s="34"/>
      <c r="E44" s="34"/>
      <c r="F44" s="37">
        <f>SUM(F7:F42)</f>
        <v>97623024.874277085</v>
      </c>
      <c r="H44" s="36">
        <f>SUM(F8*H8+F9*H9+F12*H12+F13*H13+F10*H10+F11*H11+F14*H14+F15*H15+F18*H18+F19*H19+F20*H20+F21*H21+F34*H34+F35*H35+F36*H36+F39*H39+F40*H40+F41*H41)/F44</f>
        <v>3.1871812987923312E-2</v>
      </c>
      <c r="I44" s="35">
        <f t="shared" ref="I44:P44" si="0">SUM(I6:I42)</f>
        <v>11.292886691729322</v>
      </c>
      <c r="J44" s="35">
        <f t="shared" si="0"/>
        <v>11</v>
      </c>
      <c r="K44" s="35">
        <f t="shared" si="0"/>
        <v>16.954899999999999</v>
      </c>
      <c r="L44" s="35">
        <f t="shared" si="0"/>
        <v>19.13</v>
      </c>
      <c r="M44" s="35">
        <f t="shared" si="0"/>
        <v>8.4194151053864168</v>
      </c>
      <c r="N44" s="35">
        <f t="shared" si="0"/>
        <v>7.1</v>
      </c>
      <c r="O44" s="35">
        <f t="shared" si="0"/>
        <v>23.723000000000003</v>
      </c>
      <c r="P44" s="35">
        <f t="shared" si="0"/>
        <v>0</v>
      </c>
      <c r="S44" s="34" t="s">
        <v>200</v>
      </c>
      <c r="T44" s="33" t="e">
        <f>SUM(F8*T8,F9*T9,F11*T11,F18*T18,F19*T19,#REF!*#REF!,-C24*R24,-F28*T28,-F29*T29,-F30*T30)*85%</f>
        <v>#REF!</v>
      </c>
      <c r="U44" s="33" t="e">
        <f>SUM(F8*U8,F9*U9,F11*U11,F18*U18,F19*U19,#REF!*#REF!,C24*U24,F28*U28,F29*U29,F30*U30)</f>
        <v>#REF!</v>
      </c>
      <c r="V44" s="118">
        <f>SUM(I44:P44)</f>
        <v>97.620201797115726</v>
      </c>
      <c r="X44" s="54"/>
    </row>
    <row r="45" spans="1:24" x14ac:dyDescent="0.2">
      <c r="A45" s="117"/>
      <c r="B45" s="116"/>
      <c r="H45" s="30" t="s">
        <v>222</v>
      </c>
      <c r="R45" s="29"/>
      <c r="T45" s="28" t="s">
        <v>198</v>
      </c>
      <c r="X45" s="54"/>
    </row>
    <row r="46" spans="1:24" x14ac:dyDescent="0.2">
      <c r="A46" s="115"/>
      <c r="B46" s="114"/>
      <c r="E46" s="27"/>
      <c r="F46" s="26" t="s">
        <v>221</v>
      </c>
      <c r="G46" s="26"/>
      <c r="H46" s="26"/>
      <c r="I46" s="24">
        <f>I44*1000000/$F$44</f>
        <v>0.11567851647982391</v>
      </c>
      <c r="J46" s="24">
        <f>SUM(I44:J44)*1000000/$F$44</f>
        <v>0.22835685249908011</v>
      </c>
      <c r="K46" s="24">
        <f>SUM(I44:K44)*1000000/$F$44</f>
        <v>0.40203411789661525</v>
      </c>
      <c r="L46" s="24">
        <f>SUM(I44:L44)*1000000/$F$44</f>
        <v>0.59799198771919437</v>
      </c>
      <c r="M46" s="24">
        <f>SUM(I44:M44)*1000000/$F$44</f>
        <v>0.68423614084013373</v>
      </c>
      <c r="N46" s="24">
        <f>SUM(I44:N44)*1000000/$F$44</f>
        <v>0.75696488499801717</v>
      </c>
      <c r="O46" s="24">
        <f>SUM(I44:O44)*1000000/$F$44</f>
        <v>0.99997108185118222</v>
      </c>
      <c r="P46" s="24">
        <f>SUM(I44:P44)*1000000/$F$44</f>
        <v>0.99997108185118222</v>
      </c>
      <c r="X46" s="54"/>
    </row>
    <row r="47" spans="1:24" hidden="1" x14ac:dyDescent="0.2">
      <c r="A47" s="113"/>
      <c r="B47" s="112"/>
      <c r="C47" s="108"/>
      <c r="D47" s="108"/>
      <c r="E47" s="111"/>
      <c r="F47" s="110"/>
      <c r="G47" s="110"/>
      <c r="H47" s="110"/>
      <c r="I47" s="109"/>
      <c r="J47" s="109"/>
      <c r="K47" s="109"/>
      <c r="L47" s="109"/>
      <c r="M47" s="109"/>
      <c r="N47" s="109"/>
      <c r="O47" s="109"/>
      <c r="P47" s="109"/>
      <c r="Q47" s="108"/>
      <c r="R47" s="108"/>
      <c r="S47" s="108"/>
      <c r="T47" s="108"/>
      <c r="U47" s="108"/>
      <c r="V47" s="108"/>
      <c r="W47" s="108"/>
      <c r="X47" s="54"/>
    </row>
    <row r="48" spans="1:24" hidden="1" x14ac:dyDescent="0.2">
      <c r="B48" s="34"/>
      <c r="H48" s="106"/>
      <c r="X48" s="54"/>
    </row>
    <row r="49" spans="1:24" hidden="1" x14ac:dyDescent="0.2">
      <c r="B49" s="107" t="s">
        <v>220</v>
      </c>
      <c r="H49" s="106"/>
      <c r="J49" s="105" t="s">
        <v>219</v>
      </c>
      <c r="X49" s="54"/>
    </row>
    <row r="50" spans="1:24" hidden="1" x14ac:dyDescent="0.2">
      <c r="A50" s="170"/>
      <c r="B50" s="171"/>
      <c r="C50" s="171"/>
      <c r="D50" s="172">
        <v>42460</v>
      </c>
      <c r="E50" s="173"/>
      <c r="F50" s="174"/>
      <c r="G50" s="7"/>
      <c r="H50" s="104" t="s">
        <v>217</v>
      </c>
      <c r="I50" s="175" t="s">
        <v>218</v>
      </c>
      <c r="J50" s="175"/>
      <c r="K50" s="175"/>
      <c r="L50" s="175"/>
      <c r="M50" s="175"/>
      <c r="N50" s="175"/>
      <c r="O50" s="175"/>
      <c r="P50" s="176"/>
      <c r="Q50" s="177" t="s">
        <v>217</v>
      </c>
      <c r="R50" s="178"/>
      <c r="S50" s="179"/>
      <c r="T50" s="177" t="s">
        <v>216</v>
      </c>
      <c r="U50" s="179"/>
      <c r="V50" s="103"/>
      <c r="W50" s="85"/>
      <c r="X50" s="54"/>
    </row>
    <row r="51" spans="1:24" ht="16" hidden="1" x14ac:dyDescent="0.2">
      <c r="A51" s="180" t="s">
        <v>187</v>
      </c>
      <c r="B51" s="181"/>
      <c r="C51" s="101" t="s">
        <v>215</v>
      </c>
      <c r="D51" s="100" t="s">
        <v>214</v>
      </c>
      <c r="E51" s="101" t="s">
        <v>213</v>
      </c>
      <c r="F51" s="99" t="s">
        <v>212</v>
      </c>
      <c r="G51" s="7"/>
      <c r="H51" s="102" t="s">
        <v>211</v>
      </c>
      <c r="I51" s="101">
        <v>1</v>
      </c>
      <c r="J51" s="101">
        <v>2</v>
      </c>
      <c r="K51" s="101">
        <v>5</v>
      </c>
      <c r="L51" s="101">
        <v>10</v>
      </c>
      <c r="M51" s="101">
        <v>30</v>
      </c>
      <c r="N51" s="101">
        <v>60</v>
      </c>
      <c r="O51" s="101">
        <v>180</v>
      </c>
      <c r="P51" s="99">
        <v>360</v>
      </c>
      <c r="Q51" s="100" t="s">
        <v>211</v>
      </c>
      <c r="R51" s="101" t="s">
        <v>210</v>
      </c>
      <c r="S51" s="99" t="s">
        <v>209</v>
      </c>
      <c r="T51" s="100" t="s">
        <v>208</v>
      </c>
      <c r="U51" s="99" t="s">
        <v>207</v>
      </c>
      <c r="V51" s="98" t="s">
        <v>206</v>
      </c>
      <c r="W51" s="97" t="s">
        <v>205</v>
      </c>
      <c r="X51" s="54"/>
    </row>
    <row r="52" spans="1:24" hidden="1" x14ac:dyDescent="0.2">
      <c r="A52" s="96"/>
      <c r="B52" s="95"/>
      <c r="C52" s="87"/>
      <c r="D52" s="94"/>
      <c r="E52" s="94"/>
      <c r="F52" s="93"/>
      <c r="G52" s="7"/>
      <c r="H52" s="92"/>
      <c r="I52" s="91"/>
      <c r="J52" s="91"/>
      <c r="K52" s="91"/>
      <c r="L52" s="91"/>
      <c r="M52" s="91"/>
      <c r="N52" s="91"/>
      <c r="O52" s="91"/>
      <c r="P52" s="90"/>
      <c r="Q52" s="88"/>
      <c r="R52" s="87"/>
      <c r="S52" s="89"/>
      <c r="T52" s="88"/>
      <c r="U52" s="87"/>
      <c r="V52" s="86"/>
      <c r="W52" s="85"/>
      <c r="X52" s="54"/>
    </row>
    <row r="53" spans="1:24" hidden="1" x14ac:dyDescent="0.2">
      <c r="A53" s="68" t="s">
        <v>204</v>
      </c>
      <c r="C53" s="76"/>
      <c r="D53" s="84"/>
      <c r="E53" s="84"/>
      <c r="F53" s="83"/>
      <c r="G53" s="82"/>
      <c r="H53" s="81"/>
      <c r="I53" s="80"/>
      <c r="J53" s="80"/>
      <c r="K53" s="80"/>
      <c r="L53" s="80"/>
      <c r="M53" s="80"/>
      <c r="N53" s="80"/>
      <c r="O53" s="80"/>
      <c r="P53" s="79"/>
      <c r="Q53" s="77"/>
      <c r="R53" s="76"/>
      <c r="S53" s="78"/>
      <c r="T53" s="77"/>
      <c r="U53" s="76"/>
      <c r="V53" s="56"/>
      <c r="W53" s="55"/>
      <c r="X53" s="54"/>
    </row>
    <row r="54" spans="1:24" hidden="1" x14ac:dyDescent="0.2">
      <c r="A54" s="70"/>
      <c r="B54" s="67"/>
      <c r="C54" s="66"/>
      <c r="D54" s="65"/>
      <c r="E54" s="65"/>
      <c r="F54" s="64"/>
      <c r="G54" s="48"/>
      <c r="H54" s="63"/>
      <c r="I54" s="62"/>
      <c r="J54" s="62"/>
      <c r="K54" s="62"/>
      <c r="L54" s="62"/>
      <c r="M54" s="62"/>
      <c r="N54" s="62"/>
      <c r="O54" s="62"/>
      <c r="P54" s="61"/>
      <c r="Q54" s="58"/>
      <c r="R54" s="75"/>
      <c r="S54" s="59"/>
      <c r="T54" s="58"/>
      <c r="U54" s="57"/>
      <c r="V54" s="71"/>
      <c r="W54" s="55"/>
      <c r="X54" s="54"/>
    </row>
    <row r="55" spans="1:24" hidden="1" x14ac:dyDescent="0.2">
      <c r="A55" s="68" t="s">
        <v>203</v>
      </c>
      <c r="B55" s="74"/>
      <c r="C55" s="66"/>
      <c r="D55" s="65"/>
      <c r="E55" s="65"/>
      <c r="F55" s="64"/>
      <c r="G55" s="48"/>
      <c r="H55" s="63"/>
      <c r="I55" s="62"/>
      <c r="J55" s="62"/>
      <c r="K55" s="62"/>
      <c r="L55" s="62"/>
      <c r="M55" s="62"/>
      <c r="N55" s="62"/>
      <c r="O55" s="62"/>
      <c r="P55" s="61"/>
      <c r="Q55" s="60"/>
      <c r="R55" s="66"/>
      <c r="S55" s="59"/>
      <c r="T55" s="60"/>
      <c r="U55" s="66"/>
      <c r="V55" s="71"/>
      <c r="W55" s="55"/>
      <c r="X55" s="54"/>
    </row>
    <row r="56" spans="1:24" hidden="1" x14ac:dyDescent="0.2">
      <c r="A56" s="68" t="s">
        <v>202</v>
      </c>
      <c r="B56" s="74"/>
      <c r="C56" s="73"/>
      <c r="D56" s="65"/>
      <c r="E56" s="65"/>
      <c r="F56" s="64"/>
      <c r="G56" s="48"/>
      <c r="H56" s="63"/>
      <c r="I56" s="62"/>
      <c r="J56" s="62"/>
      <c r="K56" s="62"/>
      <c r="L56" s="62"/>
      <c r="M56" s="62"/>
      <c r="N56" s="62"/>
      <c r="O56" s="62"/>
      <c r="P56" s="61"/>
      <c r="Q56" s="58"/>
      <c r="R56" s="57"/>
      <c r="S56" s="59"/>
      <c r="T56" s="58"/>
      <c r="U56" s="72"/>
      <c r="V56" s="71"/>
      <c r="W56" s="55"/>
      <c r="X56" s="54"/>
    </row>
    <row r="57" spans="1:24" hidden="1" x14ac:dyDescent="0.2">
      <c r="A57" s="70"/>
      <c r="C57" s="66"/>
      <c r="D57" s="65"/>
      <c r="E57" s="65"/>
      <c r="F57" s="69"/>
      <c r="G57" s="48"/>
      <c r="H57" s="63"/>
      <c r="I57" s="62"/>
      <c r="J57" s="62"/>
      <c r="K57" s="62"/>
      <c r="L57" s="62"/>
      <c r="M57" s="62"/>
      <c r="N57" s="62"/>
      <c r="O57" s="62"/>
      <c r="P57" s="61"/>
      <c r="Q57" s="60"/>
      <c r="R57" s="57"/>
      <c r="S57" s="59"/>
      <c r="T57" s="58"/>
      <c r="U57" s="57"/>
      <c r="V57" s="56"/>
      <c r="W57" s="55"/>
      <c r="X57" s="54"/>
    </row>
    <row r="58" spans="1:24" hidden="1" x14ac:dyDescent="0.2">
      <c r="A58" s="68" t="s">
        <v>201</v>
      </c>
      <c r="B58" s="67"/>
      <c r="C58" s="66"/>
      <c r="D58" s="65"/>
      <c r="E58" s="65"/>
      <c r="F58" s="64"/>
      <c r="G58" s="48"/>
      <c r="H58" s="63"/>
      <c r="I58" s="62"/>
      <c r="J58" s="62"/>
      <c r="K58" s="62"/>
      <c r="L58" s="62"/>
      <c r="M58" s="62"/>
      <c r="N58" s="62"/>
      <c r="O58" s="62"/>
      <c r="P58" s="61"/>
      <c r="Q58" s="60"/>
      <c r="R58" s="57"/>
      <c r="S58" s="59"/>
      <c r="T58" s="58"/>
      <c r="U58" s="57"/>
      <c r="V58" s="56"/>
      <c r="W58" s="55"/>
      <c r="X58" s="54"/>
    </row>
    <row r="59" spans="1:24" hidden="1" x14ac:dyDescent="0.2">
      <c r="A59" s="53"/>
      <c r="B59" s="52"/>
      <c r="C59" s="51"/>
      <c r="D59" s="50"/>
      <c r="E59" s="50"/>
      <c r="F59" s="49"/>
      <c r="G59" s="48"/>
      <c r="H59" s="47"/>
      <c r="I59" s="46"/>
      <c r="J59" s="46"/>
      <c r="K59" s="46"/>
      <c r="L59" s="46"/>
      <c r="M59" s="46"/>
      <c r="N59" s="46"/>
      <c r="O59" s="46"/>
      <c r="P59" s="45"/>
      <c r="Q59" s="44"/>
      <c r="R59" s="41"/>
      <c r="S59" s="43"/>
      <c r="T59" s="42"/>
      <c r="U59" s="41"/>
      <c r="V59" s="40"/>
      <c r="W59" s="39"/>
      <c r="X59" s="38"/>
    </row>
    <row r="60" spans="1:24" hidden="1" x14ac:dyDescent="0.2"/>
    <row r="61" spans="1:24" hidden="1" x14ac:dyDescent="0.2">
      <c r="C61" s="34" t="s">
        <v>200</v>
      </c>
      <c r="D61" s="34"/>
      <c r="E61" s="34"/>
      <c r="F61" s="37">
        <f>SUM(F44,F10:F60)</f>
        <v>283670864.62283128</v>
      </c>
      <c r="H61" s="36">
        <f>SUM(F8*H8+F9*H9+F12*H12+F18*H18+F19*H19+F34*H34+F39*H39+F13*H13+F10*H10+F11*H11+F14*H14+F15*H15+F20*H20+F21*H21+F35*H35+F36*H36+F40*H40+F41*H41)/F61</f>
        <v>1.0968425665587095E-2</v>
      </c>
      <c r="I61" s="35">
        <f t="shared" ref="I61:P61" si="1">SUM(I10:I58,I44)</f>
        <v>30.84712859166779</v>
      </c>
      <c r="J61" s="35">
        <f t="shared" si="1"/>
        <v>31.228356852499079</v>
      </c>
      <c r="K61" s="35">
        <f t="shared" si="1"/>
        <v>55.215734117896616</v>
      </c>
      <c r="L61" s="35">
        <f t="shared" si="1"/>
        <v>67.987991987719198</v>
      </c>
      <c r="M61" s="35">
        <f t="shared" si="1"/>
        <v>55.942481456999388</v>
      </c>
      <c r="N61" s="35">
        <f t="shared" si="1"/>
        <v>82.05696488499801</v>
      </c>
      <c r="O61" s="35">
        <f t="shared" si="1"/>
        <v>252.1689710818512</v>
      </c>
      <c r="P61" s="35">
        <f t="shared" si="1"/>
        <v>360.99997108185119</v>
      </c>
      <c r="S61" s="34" t="s">
        <v>200</v>
      </c>
      <c r="T61" s="33" t="e">
        <f>SUM(F26*T26,F27*T27,F76*T76,F31*T31,F32*T32,#REF!*#REF!,-C85*R85,-F89*T89,-F90*T90,-F91*T91)*85%</f>
        <v>#VALUE!</v>
      </c>
      <c r="U61" s="33" t="e">
        <f>SUM(F26*U26,F27*U27,F76*U76,F31*U31,F32*U32,#REF!*#REF!,C85*U85,F89*U89,F90*U90,F91*U91)</f>
        <v>#REF!</v>
      </c>
      <c r="V61" s="32"/>
      <c r="W61" s="31">
        <f>F61-SUM(F24:F31)</f>
        <v>282668041.54566991</v>
      </c>
    </row>
    <row r="62" spans="1:24" hidden="1" x14ac:dyDescent="0.2">
      <c r="H62" s="30" t="s">
        <v>199</v>
      </c>
      <c r="R62" s="29"/>
      <c r="T62" s="28" t="s">
        <v>198</v>
      </c>
    </row>
    <row r="63" spans="1:24" hidden="1" x14ac:dyDescent="0.2">
      <c r="E63" s="27"/>
      <c r="F63" s="26" t="s">
        <v>197</v>
      </c>
      <c r="G63" s="26"/>
      <c r="H63" s="25" t="s">
        <v>196</v>
      </c>
      <c r="I63" s="24">
        <f>I61*1000000/$W$61</f>
        <v>0.10912846186286645</v>
      </c>
      <c r="J63" s="24">
        <f>SUM(I61:J61)*1000000/$W$61</f>
        <v>0.21960560205083354</v>
      </c>
      <c r="K63" s="24">
        <f>SUM(I61:K61)*1000000/$W$61</f>
        <v>0.41494333395702626</v>
      </c>
      <c r="L63" s="24">
        <f>SUM(I61:L61)*1000000/$W$61</f>
        <v>0.6554657206263893</v>
      </c>
      <c r="M63" s="24">
        <f>SUM(I61:M61)*1000000/$W$61</f>
        <v>0.85337448014196027</v>
      </c>
      <c r="N63" s="24">
        <f>SUM(I61:N61)*1000000/$W$61</f>
        <v>1.1436689345001487</v>
      </c>
      <c r="O63" s="24">
        <f>SUM(I61:O61)*1000000/$W$61</f>
        <v>2.0357718043645825</v>
      </c>
      <c r="P63" s="24">
        <f>SUM(I61:P61)*1000000/$W$61</f>
        <v>3.3128881317281249</v>
      </c>
    </row>
    <row r="64" spans="1:24" hidden="1" x14ac:dyDescent="0.2">
      <c r="D64" s="21"/>
      <c r="E64" s="21"/>
      <c r="F64" s="23" t="s">
        <v>195</v>
      </c>
      <c r="G64" s="21"/>
      <c r="H64" s="22">
        <v>1.8871091869209333E-2</v>
      </c>
      <c r="I64" s="21">
        <v>0.16999652836372298</v>
      </c>
      <c r="J64" s="21">
        <v>0.36932868808084701</v>
      </c>
      <c r="K64" s="21">
        <v>0.59700403853880257</v>
      </c>
      <c r="L64" s="21">
        <v>0.78165665896554992</v>
      </c>
      <c r="M64" s="21">
        <v>0.86250280794110623</v>
      </c>
      <c r="N64" s="21">
        <v>0.91000183792508771</v>
      </c>
      <c r="O64" s="21">
        <v>0.99999999999999989</v>
      </c>
      <c r="P64" s="21">
        <v>0.99999999999999989</v>
      </c>
    </row>
    <row r="65" spans="4:16" hidden="1" x14ac:dyDescent="0.2">
      <c r="I65" s="20" t="s">
        <v>193</v>
      </c>
      <c r="J65" s="20" t="s">
        <v>193</v>
      </c>
      <c r="K65" s="20" t="s">
        <v>194</v>
      </c>
      <c r="L65" s="20" t="s">
        <v>193</v>
      </c>
      <c r="M65" s="20" t="s">
        <v>193</v>
      </c>
      <c r="N65" s="20" t="s">
        <v>193</v>
      </c>
      <c r="O65" s="20" t="s">
        <v>192</v>
      </c>
      <c r="P65" s="20" t="s">
        <v>192</v>
      </c>
    </row>
    <row r="66" spans="4:16" hidden="1" x14ac:dyDescent="0.2">
      <c r="D66" s="19" t="s">
        <v>191</v>
      </c>
      <c r="E66" s="19"/>
      <c r="F66" s="19"/>
      <c r="G66" s="19"/>
      <c r="H66" s="19"/>
      <c r="I66" s="19"/>
    </row>
    <row r="67" spans="4:16" ht="30" hidden="1" customHeight="1" x14ac:dyDescent="0.2">
      <c r="D67" s="167" t="s">
        <v>190</v>
      </c>
      <c r="E67" s="168"/>
      <c r="F67" s="168"/>
      <c r="G67" s="168"/>
      <c r="H67" s="168"/>
      <c r="I67" s="168"/>
      <c r="J67" s="168"/>
      <c r="K67" s="168"/>
      <c r="L67" s="168"/>
      <c r="M67" s="168"/>
      <c r="N67" s="168"/>
      <c r="O67" s="168"/>
      <c r="P67" s="169"/>
    </row>
  </sheetData>
  <mergeCells count="13">
    <mergeCell ref="T50:U50"/>
    <mergeCell ref="A51:B51"/>
    <mergeCell ref="A4:C4"/>
    <mergeCell ref="D4:F4"/>
    <mergeCell ref="I4:P4"/>
    <mergeCell ref="Q4:S4"/>
    <mergeCell ref="T4:U4"/>
    <mergeCell ref="A5:B5"/>
    <mergeCell ref="D67:P67"/>
    <mergeCell ref="A50:C50"/>
    <mergeCell ref="D50:F50"/>
    <mergeCell ref="I50:P50"/>
    <mergeCell ref="Q50:S50"/>
  </mergeCells>
  <pageMargins left="0.45" right="0.45" top="0.5" bottom="0.5" header="0.3" footer="0.3"/>
  <pageSetup scale="57" orientation="landscape" horizontalDpi="4294967294"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508B7-FD7F-5B4E-850A-D2F784375BB7}">
  <sheetPr>
    <tabColor rgb="FFFFFF00"/>
  </sheetPr>
  <dimension ref="B1:C41"/>
  <sheetViews>
    <sheetView workbookViewId="0"/>
  </sheetViews>
  <sheetFormatPr baseColWidth="10" defaultRowHeight="26" x14ac:dyDescent="0.3"/>
  <cols>
    <col min="1" max="2" width="10.83203125" style="11"/>
    <col min="3" max="3" width="133.83203125" style="11" customWidth="1"/>
    <col min="4" max="16384" width="10.83203125" style="11"/>
  </cols>
  <sheetData>
    <row r="1" spans="2:3" ht="27" thickBot="1" x14ac:dyDescent="0.35"/>
    <row r="2" spans="2:3" ht="27" thickBot="1" x14ac:dyDescent="0.35">
      <c r="B2" s="152" t="s">
        <v>189</v>
      </c>
      <c r="C2" s="151" t="s">
        <v>317</v>
      </c>
    </row>
    <row r="3" spans="2:3" ht="51" x14ac:dyDescent="0.3">
      <c r="B3" s="162" t="s">
        <v>187</v>
      </c>
      <c r="C3" s="15" t="s">
        <v>316</v>
      </c>
    </row>
    <row r="4" spans="2:3" ht="51" x14ac:dyDescent="0.3">
      <c r="B4" s="166"/>
      <c r="C4" s="15" t="s">
        <v>315</v>
      </c>
    </row>
    <row r="5" spans="2:3" x14ac:dyDescent="0.3">
      <c r="B5" s="166"/>
      <c r="C5" s="15" t="s">
        <v>314</v>
      </c>
    </row>
    <row r="6" spans="2:3" x14ac:dyDescent="0.3">
      <c r="B6" s="166"/>
      <c r="C6" s="14" t="s">
        <v>313</v>
      </c>
    </row>
    <row r="7" spans="2:3" ht="68" x14ac:dyDescent="0.3">
      <c r="B7" s="166"/>
      <c r="C7" s="14" t="s">
        <v>320</v>
      </c>
    </row>
    <row r="8" spans="2:3" x14ac:dyDescent="0.3">
      <c r="B8" s="166"/>
      <c r="C8" s="14" t="s">
        <v>312</v>
      </c>
    </row>
    <row r="9" spans="2:3" ht="54" x14ac:dyDescent="0.3">
      <c r="B9" s="166"/>
      <c r="C9" s="14" t="s">
        <v>311</v>
      </c>
    </row>
    <row r="10" spans="2:3" x14ac:dyDescent="0.3">
      <c r="B10" s="166"/>
      <c r="C10" s="14" t="s">
        <v>310</v>
      </c>
    </row>
    <row r="11" spans="2:3" ht="51" x14ac:dyDescent="0.3">
      <c r="B11" s="166"/>
      <c r="C11" s="14" t="s">
        <v>318</v>
      </c>
    </row>
    <row r="12" spans="2:3" x14ac:dyDescent="0.3">
      <c r="B12" s="166"/>
      <c r="C12" s="14" t="s">
        <v>309</v>
      </c>
    </row>
    <row r="13" spans="2:3" ht="52" thickBot="1" x14ac:dyDescent="0.35">
      <c r="B13" s="166"/>
      <c r="C13" s="150" t="s">
        <v>319</v>
      </c>
    </row>
    <row r="14" spans="2:3" ht="34" x14ac:dyDescent="0.3">
      <c r="B14" s="162" t="s">
        <v>185</v>
      </c>
      <c r="C14" s="15" t="s">
        <v>308</v>
      </c>
    </row>
    <row r="15" spans="2:3" x14ac:dyDescent="0.3">
      <c r="B15" s="166"/>
      <c r="C15" s="149"/>
    </row>
    <row r="16" spans="2:3" x14ac:dyDescent="0.3">
      <c r="B16" s="166"/>
      <c r="C16" s="14" t="s">
        <v>307</v>
      </c>
    </row>
    <row r="17" spans="2:3" x14ac:dyDescent="0.3">
      <c r="B17" s="166"/>
      <c r="C17" s="14" t="s">
        <v>306</v>
      </c>
    </row>
    <row r="18" spans="2:3" x14ac:dyDescent="0.3">
      <c r="B18" s="166"/>
      <c r="C18" s="14" t="s">
        <v>305</v>
      </c>
    </row>
    <row r="19" spans="2:3" ht="27" thickBot="1" x14ac:dyDescent="0.35">
      <c r="B19" s="166"/>
      <c r="C19" s="14" t="s">
        <v>304</v>
      </c>
    </row>
    <row r="20" spans="2:3" x14ac:dyDescent="0.3">
      <c r="B20" s="162" t="s">
        <v>179</v>
      </c>
      <c r="C20" s="162" t="s">
        <v>303</v>
      </c>
    </row>
    <row r="21" spans="2:3" x14ac:dyDescent="0.3">
      <c r="B21" s="166"/>
      <c r="C21" s="166"/>
    </row>
    <row r="22" spans="2:3" x14ac:dyDescent="0.3">
      <c r="B22" s="166"/>
      <c r="C22" s="166"/>
    </row>
    <row r="23" spans="2:3" x14ac:dyDescent="0.3">
      <c r="B23" s="166"/>
      <c r="C23" s="166"/>
    </row>
    <row r="24" spans="2:3" ht="27" thickBot="1" x14ac:dyDescent="0.35">
      <c r="B24" s="166"/>
      <c r="C24" s="163"/>
    </row>
    <row r="25" spans="2:3" x14ac:dyDescent="0.3">
      <c r="B25" s="166"/>
      <c r="C25" s="162" t="s">
        <v>302</v>
      </c>
    </row>
    <row r="26" spans="2:3" x14ac:dyDescent="0.3">
      <c r="B26" s="166"/>
      <c r="C26" s="166"/>
    </row>
    <row r="27" spans="2:3" x14ac:dyDescent="0.3">
      <c r="B27" s="166"/>
      <c r="C27" s="166"/>
    </row>
    <row r="28" spans="2:3" x14ac:dyDescent="0.3">
      <c r="B28" s="166"/>
      <c r="C28" s="166"/>
    </row>
    <row r="29" spans="2:3" x14ac:dyDescent="0.3">
      <c r="B29" s="166"/>
      <c r="C29" s="166"/>
    </row>
    <row r="30" spans="2:3" x14ac:dyDescent="0.3">
      <c r="B30" s="166"/>
      <c r="C30" s="166"/>
    </row>
    <row r="31" spans="2:3" ht="27" thickBot="1" x14ac:dyDescent="0.35">
      <c r="B31" s="166"/>
      <c r="C31" s="163"/>
    </row>
    <row r="32" spans="2:3" x14ac:dyDescent="0.3">
      <c r="B32" s="166"/>
      <c r="C32" s="162" t="s">
        <v>301</v>
      </c>
    </row>
    <row r="33" spans="2:3" x14ac:dyDescent="0.3">
      <c r="B33" s="166"/>
      <c r="C33" s="166"/>
    </row>
    <row r="34" spans="2:3" x14ac:dyDescent="0.3">
      <c r="B34" s="166"/>
      <c r="C34" s="166"/>
    </row>
    <row r="35" spans="2:3" x14ac:dyDescent="0.3">
      <c r="B35" s="166"/>
      <c r="C35" s="166"/>
    </row>
    <row r="36" spans="2:3" ht="27" thickBot="1" x14ac:dyDescent="0.35">
      <c r="B36" s="166"/>
      <c r="C36" s="163"/>
    </row>
    <row r="37" spans="2:3" x14ac:dyDescent="0.3">
      <c r="B37" s="166"/>
      <c r="C37" s="162" t="s">
        <v>300</v>
      </c>
    </row>
    <row r="38" spans="2:3" x14ac:dyDescent="0.3">
      <c r="B38" s="166"/>
      <c r="C38" s="166"/>
    </row>
    <row r="39" spans="2:3" x14ac:dyDescent="0.3">
      <c r="B39" s="166"/>
      <c r="C39" s="166"/>
    </row>
    <row r="40" spans="2:3" x14ac:dyDescent="0.3">
      <c r="B40" s="166"/>
      <c r="C40" s="166"/>
    </row>
    <row r="41" spans="2:3" ht="27" thickBot="1" x14ac:dyDescent="0.35">
      <c r="B41" s="163"/>
      <c r="C41" s="163"/>
    </row>
  </sheetData>
  <mergeCells count="7">
    <mergeCell ref="B3:B13"/>
    <mergeCell ref="B14:B19"/>
    <mergeCell ref="B20:B41"/>
    <mergeCell ref="C20:C24"/>
    <mergeCell ref="C25:C31"/>
    <mergeCell ref="C32:C36"/>
    <mergeCell ref="C37:C4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Class13</vt:lpstr>
      <vt:lpstr>FinalExamReview</vt:lpstr>
      <vt:lpstr>FinalExam_EssayBank</vt:lpstr>
      <vt:lpstr>FinancialCrisisHistory</vt:lpstr>
      <vt:lpstr>LG_Reading</vt:lpstr>
      <vt:lpstr>LG_GoldmanTestimony</vt:lpstr>
      <vt:lpstr>LG_LehmanDocumentation</vt:lpstr>
      <vt:lpstr>LG_WinLose</vt:lpstr>
      <vt:lpstr>LG_DoneBetter</vt:lpstr>
      <vt:lpstr>LG_Lessons</vt:lpstr>
      <vt:lpstr>StressTesting</vt:lpstr>
      <vt:lpstr>O_Discussion</vt:lpstr>
      <vt:lpstr>Question1</vt:lpstr>
      <vt:lpstr>Vanderbilt_Portfolio</vt:lpstr>
      <vt:lpstr>Vanderbilt_Portfolio_Stressed</vt:lpstr>
      <vt:lpstr>Question2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2017-06-30T14:38:47Z</dcterms:created>
  <dcterms:modified xsi:type="dcterms:W3CDTF">2023-04-19T21:19:48Z</dcterms:modified>
</cp:coreProperties>
</file>